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ount\Desktop\"/>
    </mc:Choice>
  </mc:AlternateContent>
  <xr:revisionPtr revIDLastSave="0" documentId="8_{A8C02C48-A44C-43D0-A74E-36C6E468E53C}" xr6:coauthVersionLast="47" xr6:coauthVersionMax="47" xr10:uidLastSave="{00000000-0000-0000-0000-000000000000}"/>
  <bookViews>
    <workbookView xWindow="-120" yWindow="-120" windowWidth="29040" windowHeight="15720" xr2:uid="{13D2AC3D-74AD-4261-A70D-0D4E6F069F55}"/>
  </bookViews>
  <sheets>
    <sheet name="TB-31.12.24" sheetId="1" r:id="rId1"/>
  </sheets>
  <definedNames>
    <definedName name="AS2DocOpenMode" hidden="1">"AS2DocumentEdit"</definedName>
    <definedName name="_xlnm.Print_Area" localSheetId="0">'TB-31.12.24'!$A$1:$F$28</definedName>
    <definedName name="_xlnm.Print_Titles" localSheetId="0">'TB-31.12.24'!$1:$1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C18" i="1"/>
  <c r="C12" i="1"/>
  <c r="C7" i="1"/>
  <c r="C6" i="1"/>
  <c r="C20" i="1" s="1"/>
  <c r="C21" i="1" s="1"/>
</calcChain>
</file>

<file path=xl/sharedStrings.xml><?xml version="1.0" encoding="utf-8"?>
<sst xmlns="http://schemas.openxmlformats.org/spreadsheetml/2006/main" count="60" uniqueCount="51">
  <si>
    <t>Account ID</t>
  </si>
  <si>
    <t>Account Description</t>
  </si>
  <si>
    <t>Debit Amt</t>
  </si>
  <si>
    <t>Credit Amt</t>
  </si>
  <si>
    <t>1010</t>
  </si>
  <si>
    <t>HSB USD SA</t>
  </si>
  <si>
    <t>Bank balances</t>
    <phoneticPr fontId="8" type="noConversion"/>
  </si>
  <si>
    <t>1020</t>
  </si>
  <si>
    <t>HSBC HKD SA</t>
  </si>
  <si>
    <t>1030</t>
  </si>
  <si>
    <t>HSBC HKD CA</t>
  </si>
  <si>
    <t>2200</t>
  </si>
  <si>
    <t>Accruals</t>
  </si>
  <si>
    <t>Accruals</t>
    <phoneticPr fontId="8" type="noConversion"/>
  </si>
  <si>
    <t>2400</t>
  </si>
  <si>
    <t>Director's C/A</t>
  </si>
  <si>
    <t>Amount due to director</t>
    <phoneticPr fontId="8" type="noConversion"/>
  </si>
  <si>
    <t>2900</t>
  </si>
  <si>
    <t>Tax payable</t>
  </si>
  <si>
    <t>Tax repayable</t>
    <phoneticPr fontId="8" type="noConversion"/>
  </si>
  <si>
    <t>3910</t>
  </si>
  <si>
    <t>Retained Earnings</t>
  </si>
  <si>
    <t>Retained earnings</t>
    <phoneticPr fontId="8" type="noConversion"/>
  </si>
  <si>
    <t>3920</t>
  </si>
  <si>
    <t>Share capital</t>
  </si>
  <si>
    <t>Share capital</t>
    <phoneticPr fontId="8" type="noConversion"/>
  </si>
  <si>
    <t>4000</t>
  </si>
  <si>
    <t>Sales</t>
  </si>
  <si>
    <t>Revenue</t>
  </si>
  <si>
    <t>4100</t>
  </si>
  <si>
    <t>Bank interest income</t>
  </si>
  <si>
    <t>5000</t>
  </si>
  <si>
    <t>Purchases</t>
  </si>
  <si>
    <t>5310</t>
  </si>
  <si>
    <t>COS-bank charges</t>
  </si>
  <si>
    <t>6000</t>
  </si>
  <si>
    <t>Accounting fee</t>
  </si>
  <si>
    <t>6100</t>
  </si>
  <si>
    <t>Auditor's remuneration</t>
  </si>
  <si>
    <t>6200</t>
  </si>
  <si>
    <t>Bank charges</t>
  </si>
  <si>
    <t>6250</t>
  </si>
  <si>
    <t>Business registration fee</t>
  </si>
  <si>
    <t>Business registration fee</t>
    <phoneticPr fontId="8" type="noConversion"/>
  </si>
  <si>
    <t>6300</t>
  </si>
  <si>
    <t>Company secretarial fee</t>
  </si>
  <si>
    <t/>
  </si>
  <si>
    <t>Total:</t>
  </si>
  <si>
    <t xml:space="preserve">control: </t>
    <phoneticPr fontId="8" type="noConversion"/>
  </si>
  <si>
    <r>
      <t xml:space="preserve">Director: </t>
    </r>
    <r>
      <rPr>
        <sz val="10"/>
        <color rgb="FF000000"/>
        <rFont val="微軟正黑體"/>
        <family val="2"/>
        <charset val="136"/>
      </rPr>
      <t>陳柳仁</t>
    </r>
    <phoneticPr fontId="8" type="noConversion"/>
  </si>
  <si>
    <t>Date: 29 May 2025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</si>
</sst>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#,##0.00;\-#,##0.00;* ??"/>
  </numFmts>
  <fonts count="12" x14ac:knownFonts="1"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4"/>
      <scheme val="minor"/>
    </font>
    <font>
      <b/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/>
    <xf numFmtId="49" fontId="4" fillId="0" borderId="1" xfId="2" applyNumberFormat="1" applyFont="1" applyBorder="1" applyAlignment="1">
      <alignment horizontal="left" vertical="center"/>
    </xf>
    <xf numFmtId="49" fontId="4" fillId="0" borderId="1" xfId="2" applyNumberFormat="1" applyFont="1" applyBorder="1" applyAlignment="1">
      <alignment horizontal="right" vertical="center"/>
    </xf>
    <xf numFmtId="0" fontId="4" fillId="0" borderId="1" xfId="2" applyFont="1" applyBorder="1">
      <alignment vertical="center"/>
    </xf>
    <xf numFmtId="49" fontId="6" fillId="0" borderId="0" xfId="2" applyNumberFormat="1" applyFont="1" applyAlignment="1">
      <alignment horizontal="left" vertical="center"/>
    </xf>
    <xf numFmtId="43" fontId="6" fillId="0" borderId="0" xfId="1" applyFont="1" applyAlignment="1">
      <alignment horizontal="right" vertical="center"/>
    </xf>
    <xf numFmtId="0" fontId="6" fillId="0" borderId="0" xfId="2" applyFont="1">
      <alignment vertical="center"/>
    </xf>
    <xf numFmtId="0" fontId="6" fillId="0" borderId="0" xfId="3" applyFont="1">
      <alignment vertical="center"/>
    </xf>
    <xf numFmtId="0" fontId="6" fillId="0" borderId="0" xfId="4" applyFont="1">
      <alignment vertical="center"/>
    </xf>
    <xf numFmtId="0" fontId="6" fillId="0" borderId="0" xfId="0" applyFont="1" applyAlignment="1">
      <alignment vertical="center"/>
    </xf>
    <xf numFmtId="0" fontId="6" fillId="0" borderId="0" xfId="5" applyFont="1">
      <alignment vertical="center"/>
    </xf>
    <xf numFmtId="49" fontId="6" fillId="0" borderId="0" xfId="3" applyNumberFormat="1" applyFont="1" applyAlignment="1">
      <alignment horizontal="left" vertical="center"/>
    </xf>
    <xf numFmtId="49" fontId="6" fillId="0" borderId="0" xfId="6" applyNumberFormat="1" applyFont="1" applyAlignment="1">
      <alignment horizontal="left" vertical="center"/>
    </xf>
    <xf numFmtId="0" fontId="9" fillId="0" borderId="0" xfId="2" applyFont="1">
      <alignment vertical="center"/>
    </xf>
    <xf numFmtId="43" fontId="9" fillId="0" borderId="2" xfId="1" applyFont="1" applyBorder="1" applyAlignment="1">
      <alignment vertical="center"/>
    </xf>
    <xf numFmtId="49" fontId="4" fillId="0" borderId="0" xfId="3" applyNumberFormat="1" applyFont="1" applyAlignment="1">
      <alignment horizontal="left" vertical="center"/>
    </xf>
    <xf numFmtId="43" fontId="4" fillId="0" borderId="0" xfId="1" applyFont="1" applyAlignment="1">
      <alignment horizontal="right" vertical="center"/>
    </xf>
    <xf numFmtId="0" fontId="4" fillId="0" borderId="0" xfId="3" applyFont="1">
      <alignment vertical="center"/>
    </xf>
    <xf numFmtId="0" fontId="6" fillId="0" borderId="0" xfId="6" applyFont="1">
      <alignment vertical="center"/>
    </xf>
    <xf numFmtId="0" fontId="9" fillId="0" borderId="3" xfId="3" applyFont="1" applyBorder="1">
      <alignment vertical="center"/>
    </xf>
    <xf numFmtId="0" fontId="10" fillId="0" borderId="3" xfId="3" applyFont="1" applyBorder="1">
      <alignment vertical="center"/>
    </xf>
    <xf numFmtId="43" fontId="10" fillId="0" borderId="4" xfId="1" applyFont="1" applyBorder="1" applyAlignment="1">
      <alignment vertical="center"/>
    </xf>
    <xf numFmtId="43" fontId="9" fillId="0" borderId="4" xfId="1" applyFont="1" applyBorder="1" applyAlignment="1">
      <alignment vertical="center"/>
    </xf>
    <xf numFmtId="0" fontId="9" fillId="0" borderId="0" xfId="3" applyFont="1">
      <alignment vertical="center"/>
    </xf>
    <xf numFmtId="176" fontId="6" fillId="0" borderId="0" xfId="3" applyNumberFormat="1" applyFont="1" applyAlignment="1">
      <alignment horizontal="right" vertical="center"/>
    </xf>
    <xf numFmtId="49" fontId="6" fillId="0" borderId="5" xfId="3" applyNumberFormat="1" applyFont="1" applyBorder="1" applyAlignment="1">
      <alignment horizontal="left" vertical="center"/>
    </xf>
    <xf numFmtId="176" fontId="6" fillId="0" borderId="0" xfId="2" applyNumberFormat="1" applyFont="1" applyAlignment="1">
      <alignment horizontal="right" vertical="center"/>
    </xf>
  </cellXfs>
  <cellStyles count="7">
    <cellStyle name="一般" xfId="0" builtinId="0"/>
    <cellStyle name="一般 10" xfId="3" xr:uid="{E0F4BF80-07FD-48EF-B73E-E2A82CABFE63}"/>
    <cellStyle name="一般 11" xfId="2" xr:uid="{3D5E511E-556F-41CC-8246-175212D64F74}"/>
    <cellStyle name="一般 7" xfId="6" xr:uid="{907FA697-1394-4BFE-9F66-003DD7D34DF8}"/>
    <cellStyle name="一般 8" xfId="4" xr:uid="{96F223D4-662E-4F90-AA17-13012EA5E92D}"/>
    <cellStyle name="一般 9" xfId="5" xr:uid="{D4E4512B-1DCE-4B7F-846E-967C2F2BAD08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9D26-2433-483B-91EE-16B8C257E556}">
  <dimension ref="A1:G28"/>
  <sheetViews>
    <sheetView tabSelected="1" view="pageBreakPreview" zoomScaleNormal="100" zoomScaleSheetLayoutView="100" workbookViewId="0">
      <selection activeCell="N15" sqref="N15"/>
    </sheetView>
  </sheetViews>
  <sheetFormatPr defaultColWidth="9" defaultRowHeight="12.75" x14ac:dyDescent="0.2"/>
  <cols>
    <col min="1" max="1" width="10.5703125" style="4" customWidth="1"/>
    <col min="2" max="2" width="19.5703125" style="4" customWidth="1"/>
    <col min="3" max="3" width="14.140625" style="26" bestFit="1" customWidth="1"/>
    <col min="4" max="4" width="14.5703125" style="26" bestFit="1" customWidth="1"/>
    <col min="5" max="5" width="1.7109375" style="6" customWidth="1"/>
    <col min="6" max="6" width="23.5703125" style="6" bestFit="1" customWidth="1"/>
    <col min="7" max="16384" width="9" style="6"/>
  </cols>
  <sheetData>
    <row r="1" spans="1:6" s="3" customFormat="1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6" x14ac:dyDescent="0.2">
      <c r="A2" s="4" t="s">
        <v>4</v>
      </c>
      <c r="B2" s="4" t="s">
        <v>5</v>
      </c>
      <c r="C2" s="5">
        <v>45849.95</v>
      </c>
      <c r="D2" s="5"/>
      <c r="F2" s="7" t="s">
        <v>6</v>
      </c>
    </row>
    <row r="3" spans="1:6" x14ac:dyDescent="0.2">
      <c r="A3" s="4" t="s">
        <v>7</v>
      </c>
      <c r="B3" s="4" t="s">
        <v>8</v>
      </c>
      <c r="C3" s="5">
        <v>3237.62</v>
      </c>
      <c r="D3" s="5"/>
      <c r="F3" s="7" t="s">
        <v>6</v>
      </c>
    </row>
    <row r="4" spans="1:6" x14ac:dyDescent="0.2">
      <c r="A4" s="4" t="s">
        <v>9</v>
      </c>
      <c r="B4" s="4" t="s">
        <v>10</v>
      </c>
      <c r="C4" s="5">
        <v>17954.38</v>
      </c>
      <c r="D4" s="5"/>
      <c r="F4" s="7" t="s">
        <v>6</v>
      </c>
    </row>
    <row r="5" spans="1:6" x14ac:dyDescent="0.2">
      <c r="A5" s="4" t="s">
        <v>11</v>
      </c>
      <c r="B5" s="4" t="s">
        <v>12</v>
      </c>
      <c r="C5" s="5"/>
      <c r="D5" s="5">
        <v>-10200</v>
      </c>
      <c r="F5" s="7" t="s">
        <v>13</v>
      </c>
    </row>
    <row r="6" spans="1:6" x14ac:dyDescent="0.2">
      <c r="A6" s="4" t="s">
        <v>14</v>
      </c>
      <c r="B6" s="4" t="s">
        <v>15</v>
      </c>
      <c r="C6" s="5">
        <f>1322577.84+16212</f>
        <v>1338789.8400000001</v>
      </c>
      <c r="D6" s="5"/>
      <c r="F6" s="7" t="s">
        <v>16</v>
      </c>
    </row>
    <row r="7" spans="1:6" x14ac:dyDescent="0.2">
      <c r="A7" s="4" t="s">
        <v>17</v>
      </c>
      <c r="B7" s="4" t="s">
        <v>18</v>
      </c>
      <c r="C7" s="5">
        <f>23589-16212</f>
        <v>7377</v>
      </c>
      <c r="D7" s="5"/>
      <c r="F7" s="7" t="s">
        <v>19</v>
      </c>
    </row>
    <row r="8" spans="1:6" x14ac:dyDescent="0.2">
      <c r="A8" s="4" t="s">
        <v>20</v>
      </c>
      <c r="B8" s="4" t="s">
        <v>21</v>
      </c>
      <c r="C8" s="5"/>
      <c r="D8" s="5">
        <v>-1392261.39</v>
      </c>
      <c r="F8" s="8" t="s">
        <v>22</v>
      </c>
    </row>
    <row r="9" spans="1:6" x14ac:dyDescent="0.2">
      <c r="A9" s="4" t="s">
        <v>23</v>
      </c>
      <c r="B9" s="4" t="s">
        <v>24</v>
      </c>
      <c r="C9" s="5"/>
      <c r="D9" s="5">
        <v>-1</v>
      </c>
      <c r="F9" s="9" t="s">
        <v>25</v>
      </c>
    </row>
    <row r="10" spans="1:6" x14ac:dyDescent="0.2">
      <c r="A10" s="4" t="s">
        <v>26</v>
      </c>
      <c r="B10" s="4" t="s">
        <v>27</v>
      </c>
      <c r="C10" s="5"/>
      <c r="D10" s="5">
        <v>-415455.85</v>
      </c>
      <c r="F10" s="10" t="s">
        <v>28</v>
      </c>
    </row>
    <row r="11" spans="1:6" x14ac:dyDescent="0.2">
      <c r="A11" s="4" t="s">
        <v>29</v>
      </c>
      <c r="B11" s="4" t="s">
        <v>30</v>
      </c>
      <c r="C11" s="5"/>
      <c r="D11" s="5">
        <v>-12111.01</v>
      </c>
      <c r="F11" s="10" t="s">
        <v>30</v>
      </c>
    </row>
    <row r="12" spans="1:6" x14ac:dyDescent="0.2">
      <c r="A12" s="4" t="s">
        <v>31</v>
      </c>
      <c r="B12" s="4" t="s">
        <v>32</v>
      </c>
      <c r="C12" s="5">
        <f>2269800-1872000</f>
        <v>397800</v>
      </c>
      <c r="D12" s="5"/>
      <c r="F12" s="8" t="s">
        <v>32</v>
      </c>
    </row>
    <row r="13" spans="1:6" x14ac:dyDescent="0.2">
      <c r="A13" s="4" t="s">
        <v>33</v>
      </c>
      <c r="B13" s="4" t="s">
        <v>34</v>
      </c>
      <c r="C13" s="5">
        <v>440.46</v>
      </c>
      <c r="D13" s="5"/>
      <c r="F13" s="11" t="s">
        <v>34</v>
      </c>
    </row>
    <row r="14" spans="1:6" x14ac:dyDescent="0.2">
      <c r="A14" s="4" t="s">
        <v>35</v>
      </c>
      <c r="B14" s="4" t="s">
        <v>36</v>
      </c>
      <c r="C14" s="5">
        <v>4000</v>
      </c>
      <c r="D14" s="5"/>
      <c r="F14" s="10" t="s">
        <v>36</v>
      </c>
    </row>
    <row r="15" spans="1:6" x14ac:dyDescent="0.2">
      <c r="A15" s="4" t="s">
        <v>37</v>
      </c>
      <c r="B15" s="4" t="s">
        <v>38</v>
      </c>
      <c r="C15" s="5">
        <v>6200</v>
      </c>
      <c r="D15" s="5"/>
      <c r="F15" s="10" t="s">
        <v>38</v>
      </c>
    </row>
    <row r="16" spans="1:6" x14ac:dyDescent="0.2">
      <c r="A16" s="4" t="s">
        <v>39</v>
      </c>
      <c r="B16" s="4" t="s">
        <v>40</v>
      </c>
      <c r="C16" s="5">
        <v>1075</v>
      </c>
      <c r="D16" s="5"/>
      <c r="F16" s="12" t="s">
        <v>40</v>
      </c>
    </row>
    <row r="17" spans="1:7" x14ac:dyDescent="0.2">
      <c r="A17" s="4" t="s">
        <v>41</v>
      </c>
      <c r="B17" s="4" t="s">
        <v>42</v>
      </c>
      <c r="C17" s="5">
        <v>2200</v>
      </c>
      <c r="D17" s="5"/>
      <c r="F17" s="11" t="s">
        <v>43</v>
      </c>
    </row>
    <row r="18" spans="1:7" x14ac:dyDescent="0.2">
      <c r="A18" s="4" t="s">
        <v>44</v>
      </c>
      <c r="B18" s="4" t="s">
        <v>45</v>
      </c>
      <c r="C18" s="5">
        <f>7305-2200</f>
        <v>5105</v>
      </c>
      <c r="D18" s="5"/>
      <c r="F18" s="10" t="s">
        <v>45</v>
      </c>
    </row>
    <row r="19" spans="1:7" s="13" customFormat="1" x14ac:dyDescent="0.2">
      <c r="C19" s="14"/>
      <c r="D19" s="14"/>
      <c r="F19" s="10"/>
    </row>
    <row r="20" spans="1:7" s="17" customFormat="1" ht="13.5" thickBot="1" x14ac:dyDescent="0.25">
      <c r="A20" s="15" t="s">
        <v>46</v>
      </c>
      <c r="B20" s="15" t="s">
        <v>47</v>
      </c>
      <c r="C20" s="16">
        <f>SUM(C1:C19)</f>
        <v>1830029.25</v>
      </c>
      <c r="D20" s="16">
        <f>SUM(D1:D19)</f>
        <v>-1830029.2499999998</v>
      </c>
      <c r="G20" s="18"/>
    </row>
    <row r="21" spans="1:7" s="23" customFormat="1" ht="14.25" thickTop="1" thickBot="1" x14ac:dyDescent="0.25">
      <c r="A21" s="19"/>
      <c r="B21" s="20" t="s">
        <v>48</v>
      </c>
      <c r="C21" s="21">
        <f>C20+D20</f>
        <v>0</v>
      </c>
      <c r="D21" s="22"/>
      <c r="F21" s="12"/>
      <c r="G21" s="18"/>
    </row>
    <row r="22" spans="1:7" s="7" customFormat="1" x14ac:dyDescent="0.2">
      <c r="A22" s="11"/>
      <c r="B22" s="11"/>
      <c r="C22" s="24"/>
      <c r="D22" s="24"/>
    </row>
    <row r="23" spans="1:7" s="7" customFormat="1" x14ac:dyDescent="0.2">
      <c r="A23" s="11"/>
      <c r="B23" s="11"/>
      <c r="C23" s="24"/>
      <c r="D23" s="24"/>
    </row>
    <row r="24" spans="1:7" s="7" customFormat="1" x14ac:dyDescent="0.2">
      <c r="A24" s="11"/>
      <c r="B24" s="11"/>
      <c r="C24" s="24"/>
      <c r="D24" s="24"/>
    </row>
    <row r="25" spans="1:7" s="7" customFormat="1" x14ac:dyDescent="0.2">
      <c r="A25" s="11"/>
      <c r="B25" s="11"/>
      <c r="C25" s="24"/>
      <c r="D25" s="24"/>
    </row>
    <row r="26" spans="1:7" s="7" customFormat="1" x14ac:dyDescent="0.2">
      <c r="A26" s="25"/>
      <c r="B26" s="25"/>
      <c r="C26" s="24"/>
      <c r="D26" s="24"/>
    </row>
    <row r="27" spans="1:7" s="7" customFormat="1" ht="13.5" x14ac:dyDescent="0.2">
      <c r="A27" s="11" t="s">
        <v>49</v>
      </c>
      <c r="B27" s="11"/>
      <c r="C27" s="24"/>
      <c r="D27" s="24"/>
    </row>
    <row r="28" spans="1:7" s="7" customFormat="1" x14ac:dyDescent="0.2">
      <c r="A28" s="11" t="s">
        <v>50</v>
      </c>
      <c r="B28" s="11"/>
      <c r="C28" s="24"/>
      <c r="D28" s="24"/>
    </row>
  </sheetData>
  <phoneticPr fontId="5" type="noConversion"/>
  <pageMargins left="0.70866141732283472" right="0.70866141732283472" top="1.2598425196850394" bottom="0.6692913385826772" header="0.31496062992125984" footer="0.31496062992125984"/>
  <pageSetup paperSize="9" orientation="portrait" r:id="rId1"/>
  <headerFooter>
    <oddHeader>&amp;C&amp;"Arial,粗體"&amp;12 Hesen (Hong Kong) Trading Limited&amp;"Arial,標準"
&amp;"Arial,粗體"&amp;11 General Ledger Trial Balance&amp;"Arial,標準"
&amp;"Arial,粗體" As of 2024 Dec 31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TB-31.12.24</vt:lpstr>
      <vt:lpstr>'TB-31.12.24'!Print_Area</vt:lpstr>
      <vt:lpstr>'TB-31.12.24'!Print_Titles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</dc:creator>
  <cp:lastModifiedBy>Dennis Mak</cp:lastModifiedBy>
  <dcterms:created xsi:type="dcterms:W3CDTF">2026-06-23T13:02:22Z</dcterms:created>
  <dcterms:modified xsi:type="dcterms:W3CDTF">2026-06-23T13:02:33Z</dcterms:modified>
</cp:coreProperties>
</file>