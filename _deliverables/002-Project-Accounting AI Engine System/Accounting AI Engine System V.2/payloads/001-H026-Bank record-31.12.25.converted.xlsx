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count\Documents\Program-ZeroEntry PDF to Excel\_deliverables\002-Project-Accounting AI Engine System\Accounting AI Engine System V.2\payloads\"/>
    </mc:Choice>
  </mc:AlternateContent>
  <xr:revisionPtr revIDLastSave="0" documentId="8_{07A32B6D-52B8-4843-9D0E-AB7D04603B19}" xr6:coauthVersionLast="47" xr6:coauthVersionMax="47" xr10:uidLastSave="{00000000-0000-0000-0000-000000000000}"/>
  <bookViews>
    <workbookView xWindow="-120" yWindow="-120" windowWidth="29040" windowHeight="15720" activeTab="2" xr2:uid="{2D9DE60B-1900-4169-95B4-F5F03A4FB4A2}"/>
  </bookViews>
  <sheets>
    <sheet name="HSBC HKD CA" sheetId="1" r:id="rId1"/>
    <sheet name="HSBC HKD SA" sheetId="5" r:id="rId2"/>
    <sheet name="HSBC USD SA" sheetId="2" r:id="rId3"/>
    <sheet name="Chart of Accounts" sheetId="4" r:id="rId4"/>
  </sheets>
  <definedNames>
    <definedName name="_xlnm._FilterDatabase" localSheetId="0" hidden="1">'HSBC HKD CA'!$A$10:$AA$10</definedName>
    <definedName name="_xlnm._FilterDatabase" localSheetId="1" hidden="1">'HSBC HKD SA'!$A$10:$BC$25</definedName>
    <definedName name="_xlnm._FilterDatabase" localSheetId="2">'HSBC USD SA'!$A$10:$W$10</definedName>
    <definedName name="_xlnm.Print_Area" localSheetId="0">'HSBC HKD CA'!$A$1:$W$20</definedName>
    <definedName name="_xlnm.Print_Area" localSheetId="1">'HSBC HKD SA'!$A$1:$AY$27</definedName>
    <definedName name="_xlnm.Print_Area" localSheetId="2">'HSBC USD SA'!$A$1:$W$18</definedName>
    <definedName name="_xlnm.Print_Titles" localSheetId="0">'HSBC HKD CA'!$A:$N</definedName>
    <definedName name="_xlnm.Print_Titles" localSheetId="1">'HSBC HKD SA'!$A:$AY</definedName>
    <definedName name="_xlnm.Print_Titles" localSheetId="2">'HSBC USD SA'!$A:$W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6" i="2" l="1"/>
  <c r="U13" i="2"/>
  <c r="I16" i="5"/>
  <c r="I17" i="5"/>
  <c r="BK16" i="5"/>
  <c r="BL16" i="5"/>
  <c r="BJ16" i="5"/>
  <c r="BI16" i="5"/>
  <c r="BH16" i="5"/>
  <c r="BE16" i="5"/>
  <c r="BD16" i="5"/>
  <c r="AZ16" i="5"/>
  <c r="AX16" i="5"/>
  <c r="AW16" i="5"/>
  <c r="AV16" i="5"/>
  <c r="AV27" i="5"/>
  <c r="AU16" i="5"/>
  <c r="AT16" i="5"/>
  <c r="AS16" i="5"/>
  <c r="AR16" i="5"/>
  <c r="AQ16" i="5"/>
  <c r="AP16" i="5"/>
  <c r="AO16" i="5"/>
  <c r="AN16" i="5"/>
  <c r="AN27" i="5"/>
  <c r="AM16" i="5"/>
  <c r="AL16" i="5"/>
  <c r="AK16" i="5"/>
  <c r="AJ16" i="5"/>
  <c r="AI16" i="5"/>
  <c r="AG16" i="5"/>
  <c r="AF16" i="5"/>
  <c r="AE16" i="5"/>
  <c r="AE27" i="5"/>
  <c r="AC16" i="5"/>
  <c r="AA16" i="5"/>
  <c r="Z16" i="5"/>
  <c r="X16" i="5"/>
  <c r="W16" i="5"/>
  <c r="V16" i="5"/>
  <c r="T16" i="5"/>
  <c r="R16" i="5"/>
  <c r="R27" i="5"/>
  <c r="Q16" i="5"/>
  <c r="O16" i="5"/>
  <c r="J17" i="1"/>
  <c r="J16" i="1"/>
  <c r="AI16" i="1"/>
  <c r="AJ16" i="1"/>
  <c r="AH16" i="1"/>
  <c r="AG16" i="1"/>
  <c r="AF16" i="1"/>
  <c r="AC16" i="1"/>
  <c r="AB16" i="1"/>
  <c r="X16" i="1"/>
  <c r="V16" i="1"/>
  <c r="U16" i="1"/>
  <c r="S16" i="1"/>
  <c r="Q16" i="1"/>
  <c r="M16" i="1"/>
  <c r="O16" i="1"/>
  <c r="Y12" i="2"/>
  <c r="Y13" i="2"/>
  <c r="Y14" i="2"/>
  <c r="Y15" i="2"/>
  <c r="Y16" i="2"/>
  <c r="Z12" i="2"/>
  <c r="AB14" i="2"/>
  <c r="Z13" i="2"/>
  <c r="AB13" i="2"/>
  <c r="Z14" i="2"/>
  <c r="Z15" i="2"/>
  <c r="Z16" i="2"/>
  <c r="AB16" i="2"/>
  <c r="AC12" i="2"/>
  <c r="AC13" i="2"/>
  <c r="AC14" i="2"/>
  <c r="AC15" i="2"/>
  <c r="AC16" i="2"/>
  <c r="AD12" i="2"/>
  <c r="AD13" i="2"/>
  <c r="AD14" i="2"/>
  <c r="AD15" i="2"/>
  <c r="AD16" i="2"/>
  <c r="AE12" i="2"/>
  <c r="AE13" i="2"/>
  <c r="AE14" i="2"/>
  <c r="AE15" i="2"/>
  <c r="AE16" i="2"/>
  <c r="AB15" i="1"/>
  <c r="BE13" i="5"/>
  <c r="BE14" i="5"/>
  <c r="BE15" i="5"/>
  <c r="BG18" i="5"/>
  <c r="BE17" i="5"/>
  <c r="BG13" i="5"/>
  <c r="BE18" i="5"/>
  <c r="BE19" i="5"/>
  <c r="BE20" i="5"/>
  <c r="BE21" i="5"/>
  <c r="BE22" i="5"/>
  <c r="BE23" i="5"/>
  <c r="BE24" i="5"/>
  <c r="BG24" i="5"/>
  <c r="BE25" i="5"/>
  <c r="AZ12" i="5"/>
  <c r="AZ25" i="5"/>
  <c r="AZ24" i="5"/>
  <c r="AZ23" i="5"/>
  <c r="AZ22" i="5"/>
  <c r="AZ21" i="5"/>
  <c r="AZ20" i="5"/>
  <c r="AZ27" i="5"/>
  <c r="AZ19" i="5"/>
  <c r="AZ18" i="5"/>
  <c r="AZ17" i="5"/>
  <c r="AZ15" i="5"/>
  <c r="AZ14" i="5"/>
  <c r="AZ13" i="5"/>
  <c r="X18" i="1"/>
  <c r="X17" i="1"/>
  <c r="X20" i="1"/>
  <c r="X15" i="1"/>
  <c r="X14" i="1"/>
  <c r="X13" i="1"/>
  <c r="X12" i="1"/>
  <c r="AH13" i="1"/>
  <c r="AH14" i="1"/>
  <c r="AH15" i="1"/>
  <c r="AH17" i="1"/>
  <c r="AH18" i="1"/>
  <c r="AH12" i="1"/>
  <c r="BJ13" i="5"/>
  <c r="BJ14" i="5"/>
  <c r="BJ15" i="5"/>
  <c r="BJ17" i="5"/>
  <c r="BJ18" i="5"/>
  <c r="BJ19" i="5"/>
  <c r="BJ20" i="5"/>
  <c r="BJ21" i="5"/>
  <c r="BJ22" i="5"/>
  <c r="BJ23" i="5"/>
  <c r="BJ24" i="5"/>
  <c r="BJ25" i="5"/>
  <c r="BJ12" i="5"/>
  <c r="AG12" i="1"/>
  <c r="AC14" i="1"/>
  <c r="AF12" i="1"/>
  <c r="AC12" i="1"/>
  <c r="AB12" i="1"/>
  <c r="BH12" i="5"/>
  <c r="BE12" i="5"/>
  <c r="BK12" i="5"/>
  <c r="BK27" i="5"/>
  <c r="BL12" i="5"/>
  <c r="BH13" i="5"/>
  <c r="BI13" i="5"/>
  <c r="BH14" i="5"/>
  <c r="BI14" i="5"/>
  <c r="BH15" i="5"/>
  <c r="BI15" i="5"/>
  <c r="BH17" i="5"/>
  <c r="BI17" i="5"/>
  <c r="BH18" i="5"/>
  <c r="BI18" i="5"/>
  <c r="BH19" i="5"/>
  <c r="BI19" i="5"/>
  <c r="BH20" i="5"/>
  <c r="BI20" i="5"/>
  <c r="BH21" i="5"/>
  <c r="BI21" i="5"/>
  <c r="BH22" i="5"/>
  <c r="BI22" i="5"/>
  <c r="BH23" i="5"/>
  <c r="BI23" i="5"/>
  <c r="BH24" i="5"/>
  <c r="BI24" i="5"/>
  <c r="BH25" i="5"/>
  <c r="BI25" i="5"/>
  <c r="BI12" i="5"/>
  <c r="AF13" i="1"/>
  <c r="AG13" i="1"/>
  <c r="AF14" i="1"/>
  <c r="AG14" i="1"/>
  <c r="AF15" i="1"/>
  <c r="AG15" i="1"/>
  <c r="AF17" i="1"/>
  <c r="AG17" i="1"/>
  <c r="AF18" i="1"/>
  <c r="AG18" i="1"/>
  <c r="AB13" i="1"/>
  <c r="AB14" i="1"/>
  <c r="AB17" i="1"/>
  <c r="AB18" i="1"/>
  <c r="BD13" i="5"/>
  <c r="BD14" i="5"/>
  <c r="BD15" i="5"/>
  <c r="BD17" i="5"/>
  <c r="BD18" i="5"/>
  <c r="BD19" i="5"/>
  <c r="BD20" i="5"/>
  <c r="BD21" i="5"/>
  <c r="BD22" i="5"/>
  <c r="BD23" i="5"/>
  <c r="BD24" i="5"/>
  <c r="BD25" i="5"/>
  <c r="BD12" i="5"/>
  <c r="W16" i="2"/>
  <c r="W14" i="2"/>
  <c r="W13" i="2"/>
  <c r="S16" i="2"/>
  <c r="S15" i="2"/>
  <c r="S14" i="2"/>
  <c r="S12" i="2"/>
  <c r="AX13" i="5"/>
  <c r="AP12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G25" i="5"/>
  <c r="AF25" i="5"/>
  <c r="AE25" i="5"/>
  <c r="AC25" i="5"/>
  <c r="AA25" i="5"/>
  <c r="Z25" i="5"/>
  <c r="X25" i="5"/>
  <c r="W25" i="5"/>
  <c r="V25" i="5"/>
  <c r="T25" i="5"/>
  <c r="R25" i="5"/>
  <c r="Q25" i="5"/>
  <c r="O25" i="5"/>
  <c r="M25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G24" i="5"/>
  <c r="AF24" i="5"/>
  <c r="AE24" i="5"/>
  <c r="AC24" i="5"/>
  <c r="AA24" i="5"/>
  <c r="Z24" i="5"/>
  <c r="X24" i="5"/>
  <c r="W24" i="5"/>
  <c r="V24" i="5"/>
  <c r="T24" i="5"/>
  <c r="R24" i="5"/>
  <c r="Q24" i="5"/>
  <c r="O24" i="5"/>
  <c r="M24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G23" i="5"/>
  <c r="AF23" i="5"/>
  <c r="AE23" i="5"/>
  <c r="AC23" i="5"/>
  <c r="AA23" i="5"/>
  <c r="Z23" i="5"/>
  <c r="X23" i="5"/>
  <c r="W23" i="5"/>
  <c r="V23" i="5"/>
  <c r="M23" i="5"/>
  <c r="T23" i="5"/>
  <c r="R23" i="5"/>
  <c r="Q23" i="5"/>
  <c r="O23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M27" i="5"/>
  <c r="AL22" i="5"/>
  <c r="AK22" i="5"/>
  <c r="AJ22" i="5"/>
  <c r="AI22" i="5"/>
  <c r="AG22" i="5"/>
  <c r="AF22" i="5"/>
  <c r="AE22" i="5"/>
  <c r="AC22" i="5"/>
  <c r="AC27" i="5"/>
  <c r="AA22" i="5"/>
  <c r="Z22" i="5"/>
  <c r="X22" i="5"/>
  <c r="W22" i="5"/>
  <c r="V22" i="5"/>
  <c r="T22" i="5"/>
  <c r="R22" i="5"/>
  <c r="Q22" i="5"/>
  <c r="M22" i="5"/>
  <c r="O22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G21" i="5"/>
  <c r="AF21" i="5"/>
  <c r="AE21" i="5"/>
  <c r="AC21" i="5"/>
  <c r="AA21" i="5"/>
  <c r="Z21" i="5"/>
  <c r="X21" i="5"/>
  <c r="X27" i="5"/>
  <c r="W21" i="5"/>
  <c r="V21" i="5"/>
  <c r="T21" i="5"/>
  <c r="R21" i="5"/>
  <c r="Q21" i="5"/>
  <c r="O21" i="5"/>
  <c r="AX20" i="5"/>
  <c r="AW20" i="5"/>
  <c r="AV20" i="5"/>
  <c r="AU20" i="5"/>
  <c r="AT20" i="5"/>
  <c r="AS20" i="5"/>
  <c r="AR20" i="5"/>
  <c r="AQ20" i="5"/>
  <c r="AP20" i="5"/>
  <c r="AO20" i="5"/>
  <c r="AO27" i="5"/>
  <c r="AN20" i="5"/>
  <c r="AM20" i="5"/>
  <c r="AL20" i="5"/>
  <c r="AK20" i="5"/>
  <c r="AJ20" i="5"/>
  <c r="AI20" i="5"/>
  <c r="AG20" i="5"/>
  <c r="AF20" i="5"/>
  <c r="AE20" i="5"/>
  <c r="AC20" i="5"/>
  <c r="AA20" i="5"/>
  <c r="Z20" i="5"/>
  <c r="X20" i="5"/>
  <c r="W20" i="5"/>
  <c r="V20" i="5"/>
  <c r="T20" i="5"/>
  <c r="R20" i="5"/>
  <c r="Q20" i="5"/>
  <c r="M20" i="5"/>
  <c r="O20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G19" i="5"/>
  <c r="AF19" i="5"/>
  <c r="AE19" i="5"/>
  <c r="AC19" i="5"/>
  <c r="AA19" i="5"/>
  <c r="Z19" i="5"/>
  <c r="X19" i="5"/>
  <c r="W19" i="5"/>
  <c r="V19" i="5"/>
  <c r="T19" i="5"/>
  <c r="R19" i="5"/>
  <c r="Q19" i="5"/>
  <c r="O19" i="5"/>
  <c r="M19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G18" i="5"/>
  <c r="AF18" i="5"/>
  <c r="AE18" i="5"/>
  <c r="AC18" i="5"/>
  <c r="AA18" i="5"/>
  <c r="Z18" i="5"/>
  <c r="X18" i="5"/>
  <c r="W18" i="5"/>
  <c r="M18" i="5"/>
  <c r="V18" i="5"/>
  <c r="T18" i="5"/>
  <c r="R18" i="5"/>
  <c r="Q18" i="5"/>
  <c r="O18" i="5"/>
  <c r="AX17" i="5"/>
  <c r="AW17" i="5"/>
  <c r="AW2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G17" i="5"/>
  <c r="AF17" i="5"/>
  <c r="AF27" i="5"/>
  <c r="AE17" i="5"/>
  <c r="AC17" i="5"/>
  <c r="AA17" i="5"/>
  <c r="Z17" i="5"/>
  <c r="X17" i="5"/>
  <c r="W17" i="5"/>
  <c r="V17" i="5"/>
  <c r="T17" i="5"/>
  <c r="T27" i="5"/>
  <c r="R17" i="5"/>
  <c r="Q17" i="5"/>
  <c r="O17" i="5"/>
  <c r="M17" i="5"/>
  <c r="AX15" i="5"/>
  <c r="AW15" i="5"/>
  <c r="AV15" i="5"/>
  <c r="AU15" i="5"/>
  <c r="AT15" i="5"/>
  <c r="AS15" i="5"/>
  <c r="AS27" i="5"/>
  <c r="AR15" i="5"/>
  <c r="AQ15" i="5"/>
  <c r="AP15" i="5"/>
  <c r="AO15" i="5"/>
  <c r="AN15" i="5"/>
  <c r="AM15" i="5"/>
  <c r="AL15" i="5"/>
  <c r="AK15" i="5"/>
  <c r="AJ15" i="5"/>
  <c r="AI15" i="5"/>
  <c r="AG15" i="5"/>
  <c r="AF15" i="5"/>
  <c r="AE15" i="5"/>
  <c r="AC15" i="5"/>
  <c r="AA15" i="5"/>
  <c r="Z15" i="5"/>
  <c r="X15" i="5"/>
  <c r="W15" i="5"/>
  <c r="V15" i="5"/>
  <c r="T15" i="5"/>
  <c r="R15" i="5"/>
  <c r="Q15" i="5"/>
  <c r="O15" i="5"/>
  <c r="M15" i="5"/>
  <c r="AX14" i="5"/>
  <c r="AX27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G14" i="5"/>
  <c r="AF14" i="5"/>
  <c r="AE14" i="5"/>
  <c r="AC14" i="5"/>
  <c r="AA14" i="5"/>
  <c r="Z14" i="5"/>
  <c r="X14" i="5"/>
  <c r="W14" i="5"/>
  <c r="V14" i="5"/>
  <c r="M14" i="5"/>
  <c r="T14" i="5"/>
  <c r="R14" i="5"/>
  <c r="Q14" i="5"/>
  <c r="O14" i="5"/>
  <c r="AW13" i="5"/>
  <c r="AV13" i="5"/>
  <c r="AU13" i="5"/>
  <c r="AU27" i="5"/>
  <c r="AT13" i="5"/>
  <c r="AS13" i="5"/>
  <c r="AR13" i="5"/>
  <c r="AQ13" i="5"/>
  <c r="AP13" i="5"/>
  <c r="AP27" i="5"/>
  <c r="AO13" i="5"/>
  <c r="AN13" i="5"/>
  <c r="AM13" i="5"/>
  <c r="AL13" i="5"/>
  <c r="AK13" i="5"/>
  <c r="AJ13" i="5"/>
  <c r="AJ27" i="5"/>
  <c r="AI13" i="5"/>
  <c r="AG13" i="5"/>
  <c r="AF13" i="5"/>
  <c r="AE13" i="5"/>
  <c r="AC13" i="5"/>
  <c r="AA13" i="5"/>
  <c r="AA27" i="5"/>
  <c r="Z13" i="5"/>
  <c r="X13" i="5"/>
  <c r="W13" i="5"/>
  <c r="V13" i="5"/>
  <c r="T13" i="5"/>
  <c r="R13" i="5"/>
  <c r="Q13" i="5"/>
  <c r="Q27" i="5"/>
  <c r="O13" i="5"/>
  <c r="O27" i="5"/>
  <c r="AX12" i="5"/>
  <c r="AW12" i="5"/>
  <c r="AV12" i="5"/>
  <c r="AU12" i="5"/>
  <c r="AT12" i="5"/>
  <c r="AT27" i="5"/>
  <c r="AS12" i="5"/>
  <c r="AR12" i="5"/>
  <c r="AR27" i="5"/>
  <c r="AQ12" i="5"/>
  <c r="AO12" i="5"/>
  <c r="AN12" i="5"/>
  <c r="AM12" i="5"/>
  <c r="AL12" i="5"/>
  <c r="AL27" i="5"/>
  <c r="AK12" i="5"/>
  <c r="AK27" i="5"/>
  <c r="AJ12" i="5"/>
  <c r="AI12" i="5"/>
  <c r="AI27" i="5"/>
  <c r="AG12" i="5"/>
  <c r="AG27" i="5"/>
  <c r="AF12" i="5"/>
  <c r="AE12" i="5"/>
  <c r="AC12" i="5"/>
  <c r="AA12" i="5"/>
  <c r="Z12" i="5"/>
  <c r="Z27" i="5"/>
  <c r="X12" i="5"/>
  <c r="W12" i="5"/>
  <c r="W27" i="5"/>
  <c r="V12" i="5"/>
  <c r="T12" i="5"/>
  <c r="R12" i="5"/>
  <c r="Q12" i="5"/>
  <c r="O12" i="5"/>
  <c r="W18" i="1"/>
  <c r="W17" i="1"/>
  <c r="W15" i="1"/>
  <c r="W14" i="1"/>
  <c r="W13" i="1"/>
  <c r="W12" i="1"/>
  <c r="V18" i="1"/>
  <c r="V17" i="1"/>
  <c r="V15" i="1"/>
  <c r="V14" i="1"/>
  <c r="V13" i="1"/>
  <c r="V12" i="1"/>
  <c r="V20" i="1"/>
  <c r="I20" i="1"/>
  <c r="AC13" i="1"/>
  <c r="AE16" i="1"/>
  <c r="AC15" i="1"/>
  <c r="AC17" i="1"/>
  <c r="AE17" i="1"/>
  <c r="AC18" i="1"/>
  <c r="J27" i="5"/>
  <c r="I27" i="5"/>
  <c r="BK25" i="5"/>
  <c r="BL25" i="5"/>
  <c r="BK24" i="5"/>
  <c r="BL24" i="5"/>
  <c r="BK23" i="5"/>
  <c r="BL23" i="5"/>
  <c r="BK22" i="5"/>
  <c r="BL22" i="5"/>
  <c r="BK21" i="5"/>
  <c r="BL21" i="5"/>
  <c r="BK20" i="5"/>
  <c r="BL20" i="5"/>
  <c r="BK19" i="5"/>
  <c r="BL19" i="5"/>
  <c r="BK18" i="5"/>
  <c r="BL18" i="5"/>
  <c r="BK17" i="5"/>
  <c r="BL17" i="5"/>
  <c r="BK15" i="5"/>
  <c r="BL15" i="5"/>
  <c r="BK14" i="5"/>
  <c r="BL14" i="5"/>
  <c r="BK13" i="5"/>
  <c r="BL13" i="5"/>
  <c r="K12" i="5"/>
  <c r="K13" i="5"/>
  <c r="K14" i="5"/>
  <c r="AI13" i="1"/>
  <c r="AJ13" i="1"/>
  <c r="AI18" i="1"/>
  <c r="AJ18" i="1"/>
  <c r="AI17" i="1"/>
  <c r="AJ17" i="1"/>
  <c r="AI15" i="1"/>
  <c r="AJ15" i="1"/>
  <c r="AI14" i="1"/>
  <c r="AJ14" i="1"/>
  <c r="AI12" i="1"/>
  <c r="AJ12" i="1"/>
  <c r="AJ20" i="1"/>
  <c r="O11" i="2"/>
  <c r="O12" i="2"/>
  <c r="O13" i="2"/>
  <c r="O14" i="2"/>
  <c r="O15" i="2"/>
  <c r="O16" i="2"/>
  <c r="M14" i="2"/>
  <c r="AF14" i="2"/>
  <c r="AG14" i="2"/>
  <c r="N14" i="2"/>
  <c r="M15" i="2"/>
  <c r="U15" i="2"/>
  <c r="N15" i="2"/>
  <c r="M16" i="2"/>
  <c r="N16" i="2"/>
  <c r="Q16" i="2"/>
  <c r="M13" i="2"/>
  <c r="S13" i="2"/>
  <c r="S18" i="2"/>
  <c r="N13" i="2"/>
  <c r="N12" i="2"/>
  <c r="N18" i="2"/>
  <c r="M12" i="2"/>
  <c r="U12" i="2"/>
  <c r="J18" i="2"/>
  <c r="I18" i="2"/>
  <c r="K12" i="2"/>
  <c r="K13" i="2"/>
  <c r="K14" i="2"/>
  <c r="K15" i="2"/>
  <c r="K16" i="2"/>
  <c r="S18" i="1"/>
  <c r="S17" i="1"/>
  <c r="S15" i="1"/>
  <c r="S14" i="1"/>
  <c r="S13" i="1"/>
  <c r="S12" i="1"/>
  <c r="O18" i="1"/>
  <c r="O17" i="1"/>
  <c r="O15" i="1"/>
  <c r="O14" i="1"/>
  <c r="O13" i="1"/>
  <c r="O12" i="1"/>
  <c r="M12" i="1"/>
  <c r="U18" i="1"/>
  <c r="U20" i="1"/>
  <c r="U17" i="1"/>
  <c r="U15" i="1"/>
  <c r="U14" i="1"/>
  <c r="U13" i="1"/>
  <c r="U12" i="1"/>
  <c r="Q18" i="1"/>
  <c r="Q17" i="1"/>
  <c r="Q15" i="1"/>
  <c r="Q14" i="1"/>
  <c r="Q13" i="1"/>
  <c r="Q20" i="1"/>
  <c r="Q12" i="1"/>
  <c r="J20" i="1"/>
  <c r="K12" i="1"/>
  <c r="K13" i="1"/>
  <c r="K14" i="1"/>
  <c r="BG23" i="5"/>
  <c r="BG19" i="5"/>
  <c r="M21" i="5"/>
  <c r="M16" i="5"/>
  <c r="M12" i="5"/>
  <c r="AQ27" i="5"/>
  <c r="W16" i="1"/>
  <c r="AE18" i="1"/>
  <c r="AE13" i="1"/>
  <c r="AE15" i="1"/>
  <c r="M17" i="1"/>
  <c r="AE14" i="1"/>
  <c r="M14" i="1"/>
  <c r="V27" i="5"/>
  <c r="BG20" i="5"/>
  <c r="BG12" i="5"/>
  <c r="AF16" i="2"/>
  <c r="AG16" i="2"/>
  <c r="AF15" i="2"/>
  <c r="AG15" i="2"/>
  <c r="AF12" i="2"/>
  <c r="AG12" i="2"/>
  <c r="W15" i="2"/>
  <c r="Q15" i="2"/>
  <c r="W12" i="2"/>
  <c r="W18" i="2"/>
  <c r="Q12" i="2"/>
  <c r="W20" i="1"/>
  <c r="M15" i="1"/>
  <c r="S20" i="1"/>
  <c r="M27" i="5"/>
  <c r="BL27" i="5"/>
  <c r="BL28" i="5"/>
  <c r="K16" i="5"/>
  <c r="K15" i="5"/>
  <c r="K17" i="5"/>
  <c r="K18" i="5"/>
  <c r="K19" i="5"/>
  <c r="K20" i="5"/>
  <c r="K21" i="5"/>
  <c r="K22" i="5"/>
  <c r="K23" i="5"/>
  <c r="K24" i="5"/>
  <c r="K25" i="5"/>
  <c r="K15" i="1"/>
  <c r="K17" i="1"/>
  <c r="K18" i="1"/>
  <c r="K16" i="1"/>
  <c r="AB12" i="2"/>
  <c r="O20" i="1"/>
  <c r="AB15" i="2"/>
  <c r="M13" i="1"/>
  <c r="BG25" i="5"/>
  <c r="AE12" i="1"/>
  <c r="M13" i="5"/>
  <c r="BG17" i="5"/>
  <c r="U14" i="2"/>
  <c r="U18" i="2"/>
  <c r="M18" i="1"/>
  <c r="AF13" i="2"/>
  <c r="BG21" i="5"/>
  <c r="AI20" i="1"/>
  <c r="AJ21" i="1"/>
  <c r="BG16" i="5"/>
  <c r="BG14" i="5"/>
  <c r="Q14" i="2"/>
  <c r="M18" i="2"/>
  <c r="Q18" i="2"/>
  <c r="BG22" i="5"/>
  <c r="Q13" i="2"/>
  <c r="BG15" i="5"/>
  <c r="M20" i="1"/>
  <c r="AG13" i="2"/>
  <c r="AG18" i="2"/>
  <c r="AF18" i="2"/>
  <c r="AG1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Nero Chong</author>
  </authors>
  <commentList>
    <comment ref="C5" authorId="0" shapeId="0" xr:uid="{E1BA7BEB-1BCF-4DB0-91D6-B002CA8ADCE8}">
      <text>
        <r>
          <rPr>
            <b/>
            <sz val="9"/>
            <color indexed="81"/>
            <rFont val="Tahoma"/>
            <family val="2"/>
          </rPr>
          <t>Please do not enter more than 12 letters (including spaces).</t>
        </r>
      </text>
    </comment>
  </commentList>
</comments>
</file>

<file path=xl/sharedStrings.xml><?xml version="1.0" encoding="utf-8"?>
<sst xmlns="http://schemas.openxmlformats.org/spreadsheetml/2006/main" count="345" uniqueCount="170">
  <si>
    <t>Company Name</t>
    <phoneticPr fontId="2" type="noConversion"/>
  </si>
  <si>
    <t>Period</t>
    <phoneticPr fontId="2" type="noConversion"/>
  </si>
  <si>
    <t>Bank record</t>
    <phoneticPr fontId="2" type="noConversion"/>
  </si>
  <si>
    <t>Date</t>
    <phoneticPr fontId="2" type="noConversion"/>
  </si>
  <si>
    <t>Particular</t>
    <phoneticPr fontId="2" type="noConversion"/>
  </si>
  <si>
    <t>Deposit</t>
    <phoneticPr fontId="2" type="noConversion"/>
  </si>
  <si>
    <t>Withdrawal</t>
    <phoneticPr fontId="2" type="noConversion"/>
  </si>
  <si>
    <t>Balance</t>
    <phoneticPr fontId="2" type="noConversion"/>
  </si>
  <si>
    <t>Bank opening</t>
    <phoneticPr fontId="2" type="noConversion"/>
  </si>
  <si>
    <t>Insurance</t>
  </si>
  <si>
    <t>Control</t>
    <phoneticPr fontId="2" type="noConversion"/>
  </si>
  <si>
    <t>Sales</t>
    <phoneticPr fontId="2" type="noConversion"/>
  </si>
  <si>
    <t>Remind</t>
    <phoneticPr fontId="2" type="noConversion"/>
  </si>
  <si>
    <t>- "+ve" for income, "-ve" for expenses</t>
    <phoneticPr fontId="2" type="noConversion"/>
  </si>
  <si>
    <t>- 1 file for each bank account</t>
    <phoneticPr fontId="2" type="noConversion"/>
  </si>
  <si>
    <t>Accruals</t>
  </si>
  <si>
    <t>Stamp duty</t>
    <phoneticPr fontId="2" type="noConversion"/>
  </si>
  <si>
    <t>Interbank</t>
    <phoneticPr fontId="2" type="noConversion"/>
  </si>
  <si>
    <t>No.</t>
    <phoneticPr fontId="2" type="noConversion"/>
  </si>
  <si>
    <t>Transportation</t>
  </si>
  <si>
    <t>USD</t>
    <phoneticPr fontId="2" type="noConversion"/>
  </si>
  <si>
    <t>HKD</t>
    <phoneticPr fontId="2" type="noConversion"/>
  </si>
  <si>
    <t>Ex-rate</t>
    <phoneticPr fontId="2" type="noConversion"/>
  </si>
  <si>
    <t>Account Description</t>
  </si>
  <si>
    <t>Account ID</t>
  </si>
  <si>
    <t>Cash</t>
  </si>
  <si>
    <t>BOC HKD SA</t>
  </si>
  <si>
    <t>HSBC HKD Credit Card</t>
  </si>
  <si>
    <t>Interbank</t>
  </si>
  <si>
    <t>Trade receivable</t>
  </si>
  <si>
    <t>Other receivables</t>
  </si>
  <si>
    <t>Trade deposit paid</t>
  </si>
  <si>
    <t>Prepayment</t>
  </si>
  <si>
    <t>Inventory</t>
  </si>
  <si>
    <t>Leasehold improvement</t>
  </si>
  <si>
    <t>Accum. Depreciation - LI</t>
  </si>
  <si>
    <t>Computer equipment</t>
  </si>
  <si>
    <t>Accum. Depreciation - CE</t>
  </si>
  <si>
    <t>Fixture &amp; furniture</t>
  </si>
  <si>
    <t>Investment in subsidiary</t>
  </si>
  <si>
    <t>Impair loss-Invest. in subsi.</t>
  </si>
  <si>
    <t>Trade payable</t>
  </si>
  <si>
    <t>Other payables</t>
  </si>
  <si>
    <t>Trade deposit received</t>
  </si>
  <si>
    <t>Director's C/A</t>
  </si>
  <si>
    <t>Related company C/A</t>
  </si>
  <si>
    <t>HSB Bank loan</t>
  </si>
  <si>
    <t>Obligation under Finance Lease</t>
  </si>
  <si>
    <t>Tax payable</t>
  </si>
  <si>
    <t>Retained Earnings</t>
  </si>
  <si>
    <t>Share capital</t>
  </si>
  <si>
    <t>Dividends Paid</t>
  </si>
  <si>
    <t>Sales</t>
  </si>
  <si>
    <t>Services income</t>
  </si>
  <si>
    <t>Bank interest income</t>
  </si>
  <si>
    <t>Government grants</t>
  </si>
  <si>
    <t>Sundry income</t>
  </si>
  <si>
    <t>Purchases</t>
  </si>
  <si>
    <t>Subcontractor</t>
  </si>
  <si>
    <t>Handling charges</t>
  </si>
  <si>
    <t>Consumables</t>
  </si>
  <si>
    <t>Opening inventories</t>
  </si>
  <si>
    <t>Closing inventories</t>
  </si>
  <si>
    <t>Accounting fee</t>
  </si>
  <si>
    <t>Advertisement</t>
  </si>
  <si>
    <t>Auditor's remuneration</t>
  </si>
  <si>
    <t>Bad debt</t>
  </si>
  <si>
    <t>Bank charges</t>
  </si>
  <si>
    <t>Building management fee</t>
  </si>
  <si>
    <t>Business registration fee</t>
  </si>
  <si>
    <t>Company secretary fee</t>
  </si>
  <si>
    <t>Computer accessories</t>
  </si>
  <si>
    <t>Depreciation</t>
  </si>
  <si>
    <t>Director's remuneration</t>
  </si>
  <si>
    <t>Electricity &amp; water</t>
  </si>
  <si>
    <t>Entertainment</t>
  </si>
  <si>
    <t>Exchange losses/(gains), net</t>
  </si>
  <si>
    <t>Government rent &amp; rates</t>
  </si>
  <si>
    <t>Legal and professional fee</t>
  </si>
  <si>
    <t>License</t>
  </si>
  <si>
    <t>Local travelling</t>
  </si>
  <si>
    <t>Loss/(gain) on disposal of PPE</t>
  </si>
  <si>
    <t>Mandatory provident fund</t>
  </si>
  <si>
    <t>Membership fee</t>
  </si>
  <si>
    <t>Motor vehicle expenses</t>
  </si>
  <si>
    <t>Office supplies</t>
  </si>
  <si>
    <t>Overseas travelling</t>
  </si>
  <si>
    <t>Penalty</t>
  </si>
  <si>
    <t>Postage &amp; courier</t>
  </si>
  <si>
    <t>Printing &amp; stationery</t>
  </si>
  <si>
    <t>Rental expenses</t>
  </si>
  <si>
    <t>Repairs &amp; maintenance</t>
  </si>
  <si>
    <t>Salaries</t>
  </si>
  <si>
    <t>Staff welfare</t>
  </si>
  <si>
    <t>Stamp duty</t>
  </si>
  <si>
    <t>Sundries</t>
  </si>
  <si>
    <t>Telecommunication</t>
  </si>
  <si>
    <t>Web hosting fee</t>
  </si>
  <si>
    <t>Interest on bank loans</t>
  </si>
  <si>
    <t>Interest on bank overdraft</t>
  </si>
  <si>
    <t>Interest on finance lease</t>
  </si>
  <si>
    <t>Impairment loss</t>
  </si>
  <si>
    <t>Income tax expenses</t>
  </si>
  <si>
    <t>No.</t>
  </si>
  <si>
    <t>Date</t>
  </si>
  <si>
    <t>Nature</t>
  </si>
  <si>
    <t>Payer / (Payee)</t>
  </si>
  <si>
    <t>Invoice no. (Cheque no.)</t>
  </si>
  <si>
    <t>Details</t>
  </si>
  <si>
    <t>Description</t>
    <phoneticPr fontId="2" type="noConversion"/>
  </si>
  <si>
    <t>Invoice no. (Cheque no.)</t>
    <phoneticPr fontId="2" type="noConversion"/>
  </si>
  <si>
    <t>2501-001</t>
  </si>
  <si>
    <t>2501-001</t>
    <phoneticPr fontId="2" type="noConversion"/>
  </si>
  <si>
    <t>2501-002</t>
  </si>
  <si>
    <t>2501-003</t>
  </si>
  <si>
    <t>2501-004</t>
  </si>
  <si>
    <t>2501-005</t>
  </si>
  <si>
    <t>2501-006</t>
  </si>
  <si>
    <t>2501-007</t>
  </si>
  <si>
    <t>2501-008</t>
  </si>
  <si>
    <t>2501-009</t>
  </si>
  <si>
    <t>2501-010</t>
  </si>
  <si>
    <t>2501-011</t>
  </si>
  <si>
    <t>2501-012</t>
  </si>
  <si>
    <t>2502-001</t>
  </si>
  <si>
    <t>Bank name:</t>
    <phoneticPr fontId="2" type="noConversion"/>
  </si>
  <si>
    <t>Reference</t>
    <phoneticPr fontId="2" type="noConversion"/>
  </si>
  <si>
    <t>1.1.25-31.12.25</t>
    <phoneticPr fontId="2" type="noConversion"/>
  </si>
  <si>
    <t>Bank COA:</t>
    <phoneticPr fontId="2" type="noConversion"/>
  </si>
  <si>
    <t>HSBC USD SA</t>
  </si>
  <si>
    <t>G/L Account (Bank)</t>
    <phoneticPr fontId="2" type="noConversion"/>
  </si>
  <si>
    <t>G/L Account (Nature)</t>
    <phoneticPr fontId="2" type="noConversion"/>
  </si>
  <si>
    <t>Bank (Amount$)</t>
    <phoneticPr fontId="2" type="noConversion"/>
  </si>
  <si>
    <t>Nature (Amount$)</t>
    <phoneticPr fontId="2" type="noConversion"/>
  </si>
  <si>
    <t>Promotion fee</t>
  </si>
  <si>
    <t>Staff training</t>
  </si>
  <si>
    <t>Written-off</t>
  </si>
  <si>
    <t>Bank COA (Peachtree):</t>
    <phoneticPr fontId="2" type="noConversion"/>
  </si>
  <si>
    <t>HSBC USD SA</t>
    <phoneticPr fontId="2" type="noConversion"/>
  </si>
  <si>
    <t>For Peachtree import use - Please don't move this column</t>
    <phoneticPr fontId="2" type="noConversion"/>
  </si>
  <si>
    <t>Month-Year</t>
    <phoneticPr fontId="2" type="noConversion"/>
  </si>
  <si>
    <t>Temp</t>
    <phoneticPr fontId="2" type="noConversion"/>
  </si>
  <si>
    <t>Number of Distributions</t>
  </si>
  <si>
    <t>Hesen (Hong Kong) Trading Limited</t>
  </si>
  <si>
    <t>HSBC HKD CA #121-891824-838</t>
    <phoneticPr fontId="2" type="noConversion"/>
  </si>
  <si>
    <t>HSBC HKD CA</t>
  </si>
  <si>
    <t>HSBC HKD CA</t>
    <phoneticPr fontId="2" type="noConversion"/>
  </si>
  <si>
    <t>1.1.25-31.12.25</t>
  </si>
  <si>
    <t>HSBC HKD SA</t>
  </si>
  <si>
    <t>HSBC HKD SA</t>
    <phoneticPr fontId="2" type="noConversion"/>
  </si>
  <si>
    <t>Rental &amp;  utilities deposit</t>
  </si>
  <si>
    <t>Accum. Depreciation - FF</t>
  </si>
  <si>
    <t>Sales discounts</t>
  </si>
  <si>
    <t>COS-bank charges</t>
  </si>
  <si>
    <t>Company secretarial fee</t>
  </si>
  <si>
    <t>HSBC HKD CA #121-891824-001</t>
    <phoneticPr fontId="2" type="noConversion"/>
  </si>
  <si>
    <t>HSBC USD S/A #121-891824-838</t>
    <phoneticPr fontId="2" type="noConversion"/>
  </si>
  <si>
    <t>CREDIT INTEREST</t>
    <phoneticPr fontId="2" type="noConversion"/>
  </si>
  <si>
    <t>CHG FOR AUDIT CONF O</t>
    <phoneticPr fontId="2" type="noConversion"/>
  </si>
  <si>
    <t>CHARGES</t>
    <phoneticPr fontId="2" type="noConversion"/>
  </si>
  <si>
    <t>DENNIS MAK CPA LIMITED</t>
    <phoneticPr fontId="2" type="noConversion"/>
  </si>
  <si>
    <t>DM SECRETARY LIMITED</t>
    <phoneticPr fontId="2" type="noConversion"/>
  </si>
  <si>
    <t>ACCT MAINT FEE</t>
    <phoneticPr fontId="2" type="noConversion"/>
  </si>
  <si>
    <t>FROM HESEN (HK) TDG</t>
    <phoneticPr fontId="2" type="noConversion"/>
  </si>
  <si>
    <t>ATM WITHDRAWAL</t>
    <phoneticPr fontId="2" type="noConversion"/>
  </si>
  <si>
    <t>121-891824-838</t>
    <phoneticPr fontId="2" type="noConversion"/>
  </si>
  <si>
    <t>175-220185-833</t>
    <phoneticPr fontId="2" type="noConversion"/>
  </si>
  <si>
    <t>DEPOSIT</t>
    <phoneticPr fontId="2" type="noConversion"/>
  </si>
  <si>
    <t>Bank charges</t>
    <phoneticPr fontId="2" type="noConversion"/>
  </si>
  <si>
    <t>Accruals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</si>
</sst>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203" formatCode="d/m/yy"/>
    <numFmt numFmtId="206" formatCode="dd/mm/yy"/>
    <numFmt numFmtId="209" formatCode="mm/dd/yyyy"/>
    <numFmt numFmtId="210" formatCode="yyyy\-mm\-dd;@"/>
  </numFmts>
  <fonts count="17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62"/>
      <name val="Arial"/>
      <family val="2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62"/>
      <name val="Arial"/>
      <family val="2"/>
    </font>
    <font>
      <sz val="10"/>
      <color indexed="10"/>
      <name val="Arial"/>
      <family val="2"/>
    </font>
    <font>
      <b/>
      <sz val="9"/>
      <color indexed="81"/>
      <name val="Tahoma"/>
      <family val="2"/>
    </font>
    <font>
      <b/>
      <sz val="10"/>
      <color rgb="FF002060"/>
      <name val="Arial"/>
      <family val="2"/>
    </font>
    <font>
      <sz val="10"/>
      <color rgb="FF002060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1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203" fontId="3" fillId="0" borderId="0" xfId="0" applyNumberFormat="1" applyFont="1" applyAlignment="1">
      <alignment horizontal="left" vertical="center"/>
    </xf>
    <xf numFmtId="39" fontId="3" fillId="0" borderId="0" xfId="0" applyNumberFormat="1" applyFont="1">
      <alignment vertical="center"/>
    </xf>
    <xf numFmtId="0" fontId="8" fillId="0" borderId="0" xfId="0" applyFont="1">
      <alignment vertical="center"/>
    </xf>
    <xf numFmtId="43" fontId="9" fillId="0" borderId="0" xfId="1" applyFont="1">
      <alignment vertical="center"/>
    </xf>
    <xf numFmtId="0" fontId="6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9" fillId="0" borderId="4" xfId="0" quotePrefix="1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9" fillId="0" borderId="0" xfId="0" applyFont="1" applyAlignment="1">
      <alignment horizontal="center" vertical="center"/>
    </xf>
    <xf numFmtId="0" fontId="9" fillId="0" borderId="2" xfId="0" quotePrefix="1" applyFont="1" applyBorder="1">
      <alignment vertical="center"/>
    </xf>
    <xf numFmtId="0" fontId="9" fillId="0" borderId="5" xfId="0" quotePrefix="1" applyFont="1" applyBorder="1">
      <alignment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4" borderId="0" xfId="0" applyFont="1" applyFill="1">
      <alignment vertic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43" fontId="3" fillId="0" borderId="0" xfId="1" applyFont="1">
      <alignment vertical="center"/>
    </xf>
    <xf numFmtId="43" fontId="4" fillId="0" borderId="7" xfId="1" applyFont="1" applyBorder="1">
      <alignment vertical="center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0" xfId="0" applyFont="1" applyFill="1">
      <alignment vertical="center"/>
    </xf>
    <xf numFmtId="0" fontId="6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06" fontId="3" fillId="0" borderId="0" xfId="0" applyNumberFormat="1" applyFont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40" fontId="4" fillId="5" borderId="0" xfId="0" applyNumberFormat="1" applyFont="1" applyFill="1">
      <alignment vertical="center"/>
    </xf>
    <xf numFmtId="43" fontId="4" fillId="5" borderId="0" xfId="1" applyFont="1" applyFill="1">
      <alignment vertical="center"/>
    </xf>
    <xf numFmtId="40" fontId="4" fillId="5" borderId="0" xfId="0" applyNumberFormat="1" applyFont="1" applyFill="1" applyAlignment="1">
      <alignment horizontal="center" vertical="center"/>
    </xf>
    <xf numFmtId="39" fontId="4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203" fontId="13" fillId="5" borderId="0" xfId="0" applyNumberFormat="1" applyFont="1" applyFill="1" applyAlignment="1">
      <alignment horizontal="left" vertical="center"/>
    </xf>
    <xf numFmtId="0" fontId="13" fillId="5" borderId="0" xfId="0" applyFont="1" applyFill="1">
      <alignment vertical="center"/>
    </xf>
    <xf numFmtId="0" fontId="3" fillId="5" borderId="0" xfId="0" applyFont="1" applyFill="1">
      <alignment vertical="center"/>
    </xf>
    <xf numFmtId="0" fontId="4" fillId="0" borderId="8" xfId="0" applyFont="1" applyBorder="1" applyAlignment="1">
      <alignment horizontal="centerContinuous" vertical="center"/>
    </xf>
    <xf numFmtId="0" fontId="4" fillId="0" borderId="9" xfId="0" applyFont="1" applyBorder="1" applyAlignment="1">
      <alignment horizontal="centerContinuous" vertical="center"/>
    </xf>
    <xf numFmtId="0" fontId="4" fillId="0" borderId="10" xfId="0" applyFont="1" applyBorder="1" applyAlignment="1">
      <alignment horizontal="centerContinuous" vertical="center"/>
    </xf>
    <xf numFmtId="0" fontId="14" fillId="0" borderId="0" xfId="0" applyNumberFormat="1" applyFont="1" applyAlignment="1">
      <alignment horizontal="left" vertical="center"/>
    </xf>
    <xf numFmtId="0" fontId="3" fillId="0" borderId="0" xfId="0" applyFont="1" applyBorder="1">
      <alignment vertical="center"/>
    </xf>
    <xf numFmtId="0" fontId="3" fillId="4" borderId="0" xfId="0" applyFont="1" applyFill="1" applyBorder="1">
      <alignment vertical="center"/>
    </xf>
    <xf numFmtId="0" fontId="13" fillId="5" borderId="0" xfId="0" applyFont="1" applyFill="1" applyAlignment="1">
      <alignment horizontal="centerContinuous" vertical="center"/>
    </xf>
    <xf numFmtId="209" fontId="3" fillId="0" borderId="0" xfId="0" applyNumberFormat="1" applyFont="1">
      <alignment vertical="center"/>
    </xf>
    <xf numFmtId="210" fontId="3" fillId="0" borderId="0" xfId="0" applyNumberFormat="1" applyFont="1">
      <alignment vertical="center"/>
    </xf>
    <xf numFmtId="49" fontId="14" fillId="0" borderId="0" xfId="0" applyNumberFormat="1" applyFont="1" applyAlignment="1">
      <alignment horizontal="left" vertical="center"/>
    </xf>
    <xf numFmtId="49" fontId="14" fillId="0" borderId="11" xfId="0" applyNumberFormat="1" applyFont="1" applyBorder="1" applyAlignment="1">
      <alignment horizontal="left" vertical="center"/>
    </xf>
    <xf numFmtId="0" fontId="14" fillId="0" borderId="11" xfId="0" applyNumberFormat="1" applyFont="1" applyBorder="1" applyAlignment="1">
      <alignment horizontal="left" vertical="center"/>
    </xf>
    <xf numFmtId="49" fontId="15" fillId="0" borderId="12" xfId="0" applyNumberFormat="1" applyFont="1" applyBorder="1" applyAlignment="1">
      <alignment horizontal="left" vertical="center"/>
    </xf>
    <xf numFmtId="0" fontId="12" fillId="0" borderId="0" xfId="0" applyFont="1" applyFill="1">
      <alignment vertical="center"/>
    </xf>
    <xf numFmtId="203" fontId="13" fillId="6" borderId="0" xfId="0" applyNumberFormat="1" applyFont="1" applyFill="1" applyAlignment="1">
      <alignment horizontal="left" vertical="center" wrapText="1"/>
    </xf>
    <xf numFmtId="0" fontId="3" fillId="6" borderId="0" xfId="0" applyFont="1" applyFill="1">
      <alignment vertical="center"/>
    </xf>
    <xf numFmtId="0" fontId="13" fillId="6" borderId="0" xfId="0" applyFont="1" applyFill="1" applyAlignment="1">
      <alignment horizontal="center" vertical="center" wrapText="1"/>
    </xf>
    <xf numFmtId="43" fontId="3" fillId="6" borderId="0" xfId="1" applyFont="1" applyFill="1">
      <alignment vertical="center"/>
    </xf>
    <xf numFmtId="203" fontId="13" fillId="7" borderId="0" xfId="0" applyNumberFormat="1" applyFont="1" applyFill="1" applyAlignment="1">
      <alignment horizontal="left" vertical="center" wrapText="1"/>
    </xf>
    <xf numFmtId="0" fontId="3" fillId="7" borderId="0" xfId="0" applyFont="1" applyFill="1">
      <alignment vertical="center"/>
    </xf>
    <xf numFmtId="0" fontId="13" fillId="7" borderId="0" xfId="0" applyFont="1" applyFill="1" applyAlignment="1">
      <alignment horizontal="center" vertical="center" wrapText="1"/>
    </xf>
    <xf numFmtId="43" fontId="3" fillId="7" borderId="0" xfId="1" applyFont="1" applyFill="1">
      <alignment vertical="center"/>
    </xf>
    <xf numFmtId="0" fontId="13" fillId="5" borderId="0" xfId="0" applyFont="1" applyFill="1" applyAlignment="1">
      <alignment horizontal="center" vertical="center"/>
    </xf>
    <xf numFmtId="206" fontId="3" fillId="5" borderId="0" xfId="0" applyNumberFormat="1" applyFont="1" applyFill="1" applyAlignment="1">
      <alignment horizontal="left" vertical="center"/>
    </xf>
    <xf numFmtId="43" fontId="16" fillId="0" borderId="0" xfId="0" applyNumberFormat="1" applyFont="1">
      <alignment vertical="center"/>
    </xf>
    <xf numFmtId="0" fontId="13" fillId="5" borderId="0" xfId="0" applyFont="1" applyFill="1" applyAlignment="1">
      <alignment vertical="center"/>
    </xf>
    <xf numFmtId="203" fontId="13" fillId="5" borderId="0" xfId="0" applyNumberFormat="1" applyFont="1" applyFill="1" applyAlignment="1">
      <alignment vertical="center"/>
    </xf>
    <xf numFmtId="0" fontId="13" fillId="6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17" fontId="3" fillId="0" borderId="0" xfId="0" applyNumberFormat="1" applyFont="1">
      <alignment vertical="center"/>
    </xf>
    <xf numFmtId="17" fontId="3" fillId="0" borderId="0" xfId="0" quotePrefix="1" applyNumberFormat="1" applyFont="1">
      <alignment vertical="center"/>
    </xf>
    <xf numFmtId="203" fontId="13" fillId="5" borderId="0" xfId="0" applyNumberFormat="1" applyFont="1" applyFill="1" applyAlignment="1">
      <alignment horizontal="left" vertical="center" wrapText="1"/>
    </xf>
    <xf numFmtId="0" fontId="3" fillId="0" borderId="0" xfId="0" applyFont="1" applyFill="1">
      <alignment vertical="center"/>
    </xf>
    <xf numFmtId="206" fontId="3" fillId="0" borderId="0" xfId="0" applyNumberFormat="1" applyFont="1" applyFill="1" applyAlignment="1">
      <alignment horizontal="left" vertical="center"/>
    </xf>
    <xf numFmtId="43" fontId="3" fillId="0" borderId="0" xfId="1" applyFont="1" applyFill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</cellXfs>
  <cellStyles count="2">
    <cellStyle name="一般" xfId="0" builtinId="0"/>
    <cellStyle name="千分位" xfId="1" builtinId="3"/>
  </cellStyles>
  <dxfs count="0"/>
  <tableStyles count="1" defaultTableStyle="TableStyleMedium9" defaultPivotStyle="PivotStyleLight16">
    <tableStyle name="Invisible" pivot="0" table="0" count="0" xr9:uid="{E5A088D0-2CEF-4FDA-8750-2D90A5A0D8D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C306B-C4B7-4B7C-AF77-1150749F6A85}">
  <sheetPr>
    <pageSetUpPr fitToPage="1"/>
  </sheetPr>
  <dimension ref="A1:AM21"/>
  <sheetViews>
    <sheetView zoomScale="85" zoomScaleNormal="85" workbookViewId="0">
      <pane xSplit="14" ySplit="10" topLeftCell="Z11" activePane="bottomRight" state="frozen"/>
      <selection pane="topRight" activeCell="L1" sqref="L1"/>
      <selection pane="bottomLeft" activeCell="A9" sqref="A9"/>
      <selection pane="bottomRight" activeCell="AJ12" activeCellId="3" sqref="AB12:AE18 AG12:AG18 AH12:AH18 AJ12:AJ18"/>
    </sheetView>
  </sheetViews>
  <sheetFormatPr defaultRowHeight="12.75" outlineLevelCol="1" x14ac:dyDescent="0.25"/>
  <cols>
    <col min="1" max="1" width="14.625" style="1" bestFit="1" customWidth="1"/>
    <col min="2" max="2" width="8.625" style="1" customWidth="1"/>
    <col min="3" max="3" width="12.5" style="1" customWidth="1"/>
    <col min="4" max="4" width="16.125" style="1" bestFit="1" customWidth="1"/>
    <col min="5" max="5" width="22.5" style="1" bestFit="1" customWidth="1"/>
    <col min="6" max="7" width="13.375" style="1" customWidth="1"/>
    <col min="8" max="8" width="1.625" style="1" customWidth="1"/>
    <col min="9" max="9" width="12.125" style="1" customWidth="1"/>
    <col min="10" max="10" width="10.625" style="1" bestFit="1" customWidth="1"/>
    <col min="11" max="11" width="9.625" style="1" bestFit="1" customWidth="1"/>
    <col min="12" max="12" width="1.625" style="1" customWidth="1" outlineLevel="1"/>
    <col min="13" max="13" width="6.625" style="1" customWidth="1" outlineLevel="1"/>
    <col min="14" max="14" width="1.625" style="1" customWidth="1" outlineLevel="1"/>
    <col min="15" max="15" width="9" style="1" customWidth="1" outlineLevel="1"/>
    <col min="16" max="16" width="1.625" style="1" customWidth="1" outlineLevel="1"/>
    <col min="17" max="17" width="10.625" style="1" bestFit="1" customWidth="1" outlineLevel="1"/>
    <col min="18" max="18" width="1.625" style="1" customWidth="1" outlineLevel="1"/>
    <col min="19" max="19" width="7.375" style="1" customWidth="1" outlineLevel="1"/>
    <col min="20" max="20" width="1.625" style="1" customWidth="1" outlineLevel="1"/>
    <col min="21" max="21" width="12.5" style="1" customWidth="1" outlineLevel="1"/>
    <col min="22" max="22" width="10.5" style="1" customWidth="1" outlineLevel="1"/>
    <col min="23" max="23" width="11.875" style="1" customWidth="1" outlineLevel="1"/>
    <col min="24" max="24" width="6.875" style="1" bestFit="1" customWidth="1" outlineLevel="1"/>
    <col min="25" max="25" width="1.625" style="1" customWidth="1" outlineLevel="1"/>
    <col min="26" max="26" width="9" style="1"/>
    <col min="27" max="27" width="1.625" style="1" customWidth="1" outlineLevel="1"/>
    <col min="28" max="28" width="8.375" style="1" bestFit="1" customWidth="1" outlineLevel="1"/>
    <col min="29" max="29" width="20.875" style="45" customWidth="1" outlineLevel="1"/>
    <col min="30" max="30" width="2.125" style="45" customWidth="1" outlineLevel="1"/>
    <col min="31" max="31" width="10.5" style="1" customWidth="1" outlineLevel="1"/>
    <col min="32" max="32" width="8.375" style="1" bestFit="1" customWidth="1" outlineLevel="1"/>
    <col min="33" max="33" width="8.875" style="1" bestFit="1" customWidth="1" outlineLevel="1"/>
    <col min="34" max="34" width="45.125" style="1" bestFit="1" customWidth="1" outlineLevel="1"/>
    <col min="35" max="35" width="10.25" style="1" bestFit="1" customWidth="1" outlineLevel="1"/>
    <col min="36" max="36" width="10.25" style="1" customWidth="1" outlineLevel="1"/>
    <col min="37" max="37" width="1.625" style="1" customWidth="1" outlineLevel="1"/>
    <col min="38" max="38" width="10" style="1" bestFit="1" customWidth="1"/>
    <col min="39" max="39" width="9.625" style="1" bestFit="1" customWidth="1"/>
    <col min="40" max="16384" width="9" style="1"/>
  </cols>
  <sheetData>
    <row r="1" spans="1:39" x14ac:dyDescent="0.25">
      <c r="A1" s="2" t="s">
        <v>0</v>
      </c>
      <c r="B1" s="2"/>
      <c r="C1" s="54" t="s">
        <v>143</v>
      </c>
      <c r="D1" s="7"/>
      <c r="E1" s="7"/>
      <c r="G1" s="9" t="s">
        <v>12</v>
      </c>
      <c r="H1" s="16" t="s">
        <v>13</v>
      </c>
      <c r="I1" s="10"/>
      <c r="J1" s="10"/>
      <c r="K1" s="11"/>
      <c r="AB1" s="2"/>
    </row>
    <row r="2" spans="1:39" x14ac:dyDescent="0.25">
      <c r="A2" s="2" t="s">
        <v>1</v>
      </c>
      <c r="B2" s="2"/>
      <c r="C2" s="54" t="s">
        <v>127</v>
      </c>
      <c r="D2" s="22"/>
      <c r="E2" s="22"/>
      <c r="G2" s="12"/>
      <c r="H2" s="17" t="s">
        <v>14</v>
      </c>
      <c r="I2" s="13"/>
      <c r="J2" s="13"/>
      <c r="K2" s="14"/>
      <c r="AB2" s="2"/>
    </row>
    <row r="3" spans="1:39" x14ac:dyDescent="0.25">
      <c r="A3" s="21" t="s">
        <v>2</v>
      </c>
      <c r="B3" s="3"/>
      <c r="C3" s="54" t="s">
        <v>155</v>
      </c>
      <c r="AB3" s="3"/>
    </row>
    <row r="4" spans="1:39" x14ac:dyDescent="0.25">
      <c r="A4" s="21" t="s">
        <v>128</v>
      </c>
      <c r="B4" s="3"/>
      <c r="C4" s="54" t="s">
        <v>146</v>
      </c>
      <c r="AB4" s="3"/>
    </row>
    <row r="5" spans="1:39" x14ac:dyDescent="0.25">
      <c r="A5" s="21" t="s">
        <v>125</v>
      </c>
      <c r="B5" s="3"/>
      <c r="C5" s="54" t="s">
        <v>146</v>
      </c>
      <c r="AB5" s="3"/>
    </row>
    <row r="6" spans="1:39" s="20" customFormat="1" ht="0.95" customHeight="1" x14ac:dyDescent="0.25">
      <c r="O6" s="27"/>
      <c r="Q6" s="27"/>
      <c r="R6" s="27"/>
      <c r="S6" s="27"/>
      <c r="T6" s="27"/>
      <c r="U6" s="27"/>
      <c r="V6" s="27"/>
      <c r="W6" s="27"/>
      <c r="X6" s="27"/>
      <c r="Y6" s="27"/>
      <c r="AA6" s="27"/>
      <c r="AC6" s="46"/>
      <c r="AD6" s="46"/>
      <c r="AK6" s="27"/>
    </row>
    <row r="8" spans="1:39" s="4" customFormat="1" ht="13.5" thickBot="1" x14ac:dyDescent="0.3">
      <c r="L8" s="18"/>
      <c r="N8" s="18"/>
      <c r="P8" s="18"/>
      <c r="R8" s="18"/>
      <c r="T8" s="18"/>
      <c r="Y8" s="18"/>
      <c r="AA8" s="18"/>
      <c r="AB8" s="47" t="s">
        <v>139</v>
      </c>
      <c r="AC8" s="47"/>
      <c r="AD8" s="47"/>
      <c r="AE8" s="47"/>
      <c r="AF8" s="47"/>
      <c r="AG8" s="47"/>
      <c r="AH8" s="47"/>
      <c r="AI8" s="47"/>
      <c r="AJ8" s="47"/>
      <c r="AK8" s="18"/>
    </row>
    <row r="9" spans="1:39" s="2" customFormat="1" ht="39" thickBot="1" x14ac:dyDescent="0.3">
      <c r="A9" s="2" t="s">
        <v>18</v>
      </c>
      <c r="B9" s="2" t="s">
        <v>3</v>
      </c>
      <c r="C9" s="41" t="s">
        <v>4</v>
      </c>
      <c r="D9" s="42"/>
      <c r="E9" s="42"/>
      <c r="F9" s="42"/>
      <c r="G9" s="42"/>
      <c r="H9" s="43"/>
      <c r="I9" s="4" t="s">
        <v>5</v>
      </c>
      <c r="J9" s="4" t="s">
        <v>6</v>
      </c>
      <c r="K9" s="32" t="s">
        <v>7</v>
      </c>
      <c r="L9" s="18"/>
      <c r="M9" s="15" t="s">
        <v>10</v>
      </c>
      <c r="N9" s="19"/>
      <c r="O9" s="26" t="s">
        <v>17</v>
      </c>
      <c r="P9" s="19"/>
      <c r="Q9" s="25" t="s">
        <v>15</v>
      </c>
      <c r="R9" s="28"/>
      <c r="S9" s="26" t="s">
        <v>54</v>
      </c>
      <c r="T9" s="29"/>
      <c r="U9" s="26" t="s">
        <v>67</v>
      </c>
      <c r="V9" s="26" t="s">
        <v>69</v>
      </c>
      <c r="W9" s="26" t="s">
        <v>154</v>
      </c>
      <c r="X9" s="25" t="s">
        <v>141</v>
      </c>
      <c r="Y9" s="29"/>
      <c r="AA9" s="29"/>
      <c r="AB9" s="39" t="s">
        <v>104</v>
      </c>
      <c r="AC9" s="38" t="s">
        <v>126</v>
      </c>
      <c r="AD9" s="38"/>
      <c r="AE9" s="72" t="s">
        <v>142</v>
      </c>
      <c r="AF9" s="55" t="s">
        <v>130</v>
      </c>
      <c r="AG9" s="59" t="s">
        <v>131</v>
      </c>
      <c r="AH9" s="39" t="s">
        <v>109</v>
      </c>
      <c r="AI9" s="57" t="s">
        <v>132</v>
      </c>
      <c r="AJ9" s="61" t="s">
        <v>133</v>
      </c>
      <c r="AK9" s="29"/>
    </row>
    <row r="10" spans="1:39" x14ac:dyDescent="0.25">
      <c r="A10" s="1" t="s">
        <v>103</v>
      </c>
      <c r="B10" s="5" t="s">
        <v>104</v>
      </c>
      <c r="C10" s="1" t="s">
        <v>105</v>
      </c>
      <c r="D10" s="1" t="s">
        <v>106</v>
      </c>
      <c r="E10" s="1" t="s">
        <v>107</v>
      </c>
      <c r="F10" s="1" t="s">
        <v>108</v>
      </c>
      <c r="G10" s="1" t="s">
        <v>140</v>
      </c>
      <c r="I10" s="6"/>
      <c r="J10" s="6"/>
      <c r="K10" s="33"/>
      <c r="M10" s="8"/>
      <c r="O10" s="30"/>
      <c r="Q10" s="30"/>
      <c r="R10" s="30"/>
      <c r="S10" s="30"/>
      <c r="T10" s="30"/>
      <c r="U10" s="30"/>
      <c r="V10" s="30"/>
      <c r="W10" s="30"/>
      <c r="X10" s="30"/>
      <c r="Y10" s="30"/>
      <c r="AA10" s="30"/>
      <c r="AB10" s="67"/>
      <c r="AC10" s="66"/>
      <c r="AD10" s="66"/>
      <c r="AE10" s="39"/>
      <c r="AF10" s="68"/>
      <c r="AG10" s="69"/>
      <c r="AH10" s="63"/>
      <c r="AI10" s="68"/>
      <c r="AJ10" s="69"/>
      <c r="AK10" s="30"/>
    </row>
    <row r="11" spans="1:39" x14ac:dyDescent="0.25">
      <c r="A11" s="1">
        <v>0</v>
      </c>
      <c r="B11" s="31">
        <v>45658</v>
      </c>
      <c r="C11" s="1" t="s">
        <v>8</v>
      </c>
      <c r="I11" s="23"/>
      <c r="J11" s="23"/>
      <c r="K11" s="34">
        <v>17954.38</v>
      </c>
      <c r="L11" s="23"/>
      <c r="M11" s="8"/>
      <c r="N11" s="23"/>
      <c r="O11" s="6"/>
      <c r="P11" s="23"/>
      <c r="Q11" s="6"/>
      <c r="S11" s="6"/>
      <c r="T11" s="6"/>
      <c r="U11" s="6"/>
      <c r="V11" s="6"/>
      <c r="W11" s="6"/>
      <c r="X11" s="6"/>
      <c r="Y11" s="6"/>
      <c r="AA11" s="6"/>
      <c r="AB11" s="64"/>
      <c r="AC11" s="40"/>
      <c r="AD11" s="40"/>
      <c r="AE11" s="40"/>
      <c r="AF11" s="56"/>
      <c r="AG11" s="60"/>
      <c r="AH11" s="40"/>
      <c r="AI11" s="58"/>
      <c r="AJ11" s="60"/>
      <c r="AK11" s="6"/>
    </row>
    <row r="12" spans="1:39" ht="12" customHeight="1" x14ac:dyDescent="0.25">
      <c r="A12" s="1" t="s">
        <v>112</v>
      </c>
      <c r="B12" s="31">
        <v>45814</v>
      </c>
      <c r="C12" s="1" t="s">
        <v>168</v>
      </c>
      <c r="D12" s="1" t="s">
        <v>159</v>
      </c>
      <c r="G12" s="70"/>
      <c r="I12" s="23"/>
      <c r="J12" s="23">
        <v>-5</v>
      </c>
      <c r="K12" s="34">
        <f>K11+I12+J12</f>
        <v>17949.38</v>
      </c>
      <c r="L12" s="23"/>
      <c r="M12" s="8">
        <f t="shared" ref="M12:M18" si="0">SUM(I12:J12)-SUM(N12:Y12)</f>
        <v>0</v>
      </c>
      <c r="N12" s="23"/>
      <c r="O12" s="23">
        <f t="shared" ref="O12:O18" si="1">IF($C12=O$9,$I12+$J12,0)</f>
        <v>0</v>
      </c>
      <c r="P12" s="23"/>
      <c r="Q12" s="23">
        <f t="shared" ref="Q12:Q18" si="2">IF($C12=Q$9,$I12+$J12,0)</f>
        <v>0</v>
      </c>
      <c r="R12" s="23"/>
      <c r="S12" s="23">
        <f t="shared" ref="S12:S18" si="3">IF($C12=S$9,$I12+$J12,0)</f>
        <v>0</v>
      </c>
      <c r="T12" s="23"/>
      <c r="U12" s="23">
        <f t="shared" ref="U12:X18" si="4">IF($C12=U$9,$I12+$J12,0)</f>
        <v>-5</v>
      </c>
      <c r="V12" s="23">
        <f t="shared" si="4"/>
        <v>0</v>
      </c>
      <c r="W12" s="23">
        <f t="shared" si="4"/>
        <v>0</v>
      </c>
      <c r="X12" s="23">
        <f t="shared" si="4"/>
        <v>0</v>
      </c>
      <c r="Y12" s="6"/>
      <c r="AA12" s="6"/>
      <c r="AB12" s="64">
        <f t="shared" ref="AB12:AB18" si="5">IF(B12="","",B12)</f>
        <v>45814</v>
      </c>
      <c r="AC12" s="40" t="str">
        <f t="shared" ref="AC12:AC18" si="6">IF(C12="","",$C$5&amp;"-"&amp;A12)</f>
        <v>HSBC HKD CA-2501-001</v>
      </c>
      <c r="AD12" s="40"/>
      <c r="AE12" s="40">
        <f t="shared" ref="AE12:AE18" si="7">IF(AC12="","",COUNTIF(AC:AC,AC12)*2)</f>
        <v>2</v>
      </c>
      <c r="AF12" s="56">
        <f>IF(C12="","",IF($C$4="","",VLOOKUP($C$4,'Chart of Accounts'!$A:$B,2,FALSE)))</f>
        <v>1030</v>
      </c>
      <c r="AG12" s="60">
        <f>IF(C12="","",VLOOKUP(C:C,'Chart of Accounts'!$A:$B,2,FALSE))</f>
        <v>6200</v>
      </c>
      <c r="AH12" s="40" t="str">
        <f t="shared" ref="AH12:AH18" si="8">IF(C12="","",C12&amp;":"&amp;D12&amp;IF(E12="",""," - "&amp;E12)&amp;IF(F12="",""," - "&amp;F12)&amp;IF(G12="",""," - "&amp;TEXT(G12,"MMM-YY")))</f>
        <v>Bank charges:CHARGES</v>
      </c>
      <c r="AI12" s="58">
        <f t="shared" ref="AI12:AI18" si="9">SUM(I12:J12)</f>
        <v>-5</v>
      </c>
      <c r="AJ12" s="62">
        <f>-AI12</f>
        <v>5</v>
      </c>
      <c r="AK12" s="6"/>
      <c r="AL12" s="49"/>
      <c r="AM12" s="48"/>
    </row>
    <row r="13" spans="1:39" x14ac:dyDescent="0.25">
      <c r="A13" s="1" t="s">
        <v>113</v>
      </c>
      <c r="B13" s="31">
        <v>45814</v>
      </c>
      <c r="C13" s="1" t="s">
        <v>169</v>
      </c>
      <c r="D13" s="1" t="s">
        <v>160</v>
      </c>
      <c r="I13" s="23"/>
      <c r="J13" s="23">
        <v>-6200</v>
      </c>
      <c r="K13" s="34">
        <f t="shared" ref="K13:K18" si="10">K12+I13+J13</f>
        <v>11749.380000000001</v>
      </c>
      <c r="L13" s="23"/>
      <c r="M13" s="8">
        <f t="shared" si="0"/>
        <v>0</v>
      </c>
      <c r="N13" s="23"/>
      <c r="O13" s="23">
        <f t="shared" si="1"/>
        <v>0</v>
      </c>
      <c r="P13" s="23"/>
      <c r="Q13" s="23">
        <f t="shared" si="2"/>
        <v>-6200</v>
      </c>
      <c r="R13" s="23"/>
      <c r="S13" s="23">
        <f t="shared" si="3"/>
        <v>0</v>
      </c>
      <c r="T13" s="23"/>
      <c r="U13" s="23">
        <f t="shared" si="4"/>
        <v>0</v>
      </c>
      <c r="V13" s="23">
        <f t="shared" si="4"/>
        <v>0</v>
      </c>
      <c r="W13" s="23">
        <f t="shared" si="4"/>
        <v>0</v>
      </c>
      <c r="X13" s="23">
        <f t="shared" si="4"/>
        <v>0</v>
      </c>
      <c r="Y13" s="6"/>
      <c r="AA13" s="6"/>
      <c r="AB13" s="64">
        <f t="shared" si="5"/>
        <v>45814</v>
      </c>
      <c r="AC13" s="40" t="str">
        <f t="shared" si="6"/>
        <v>HSBC HKD CA-2501-002</v>
      </c>
      <c r="AD13" s="40"/>
      <c r="AE13" s="40">
        <f t="shared" si="7"/>
        <v>2</v>
      </c>
      <c r="AF13" s="56">
        <f>IF(C13="","",IF($C$4="","",VLOOKUP($C$4,'Chart of Accounts'!$A:$B,2,FALSE)))</f>
        <v>1030</v>
      </c>
      <c r="AG13" s="60">
        <f>IF(C13="","",VLOOKUP(C:C,'Chart of Accounts'!$A:$B,2,FALSE))</f>
        <v>2200</v>
      </c>
      <c r="AH13" s="40" t="str">
        <f t="shared" si="8"/>
        <v>Accruals:DENNIS MAK CPA LIMITED</v>
      </c>
      <c r="AI13" s="58">
        <f t="shared" si="9"/>
        <v>-6200</v>
      </c>
      <c r="AJ13" s="62">
        <f t="shared" ref="AJ13:AJ18" si="11">-AI13</f>
        <v>6200</v>
      </c>
      <c r="AK13" s="6"/>
      <c r="AL13" s="49"/>
      <c r="AM13" s="48"/>
    </row>
    <row r="14" spans="1:39" x14ac:dyDescent="0.25">
      <c r="A14" s="1" t="s">
        <v>114</v>
      </c>
      <c r="B14" s="31">
        <v>45814</v>
      </c>
      <c r="C14" s="1" t="s">
        <v>168</v>
      </c>
      <c r="D14" s="1" t="s">
        <v>159</v>
      </c>
      <c r="I14" s="23"/>
      <c r="J14" s="23">
        <v>-5</v>
      </c>
      <c r="K14" s="34">
        <f t="shared" si="10"/>
        <v>11744.380000000001</v>
      </c>
      <c r="L14" s="23"/>
      <c r="M14" s="8">
        <f t="shared" si="0"/>
        <v>0</v>
      </c>
      <c r="N14" s="23"/>
      <c r="O14" s="23">
        <f t="shared" si="1"/>
        <v>0</v>
      </c>
      <c r="P14" s="23"/>
      <c r="Q14" s="23">
        <f t="shared" si="2"/>
        <v>0</v>
      </c>
      <c r="R14" s="23"/>
      <c r="S14" s="23">
        <f t="shared" si="3"/>
        <v>0</v>
      </c>
      <c r="T14" s="23"/>
      <c r="U14" s="23">
        <f t="shared" si="4"/>
        <v>-5</v>
      </c>
      <c r="V14" s="23">
        <f t="shared" si="4"/>
        <v>0</v>
      </c>
      <c r="W14" s="23">
        <f t="shared" si="4"/>
        <v>0</v>
      </c>
      <c r="X14" s="23">
        <f t="shared" si="4"/>
        <v>0</v>
      </c>
      <c r="Y14" s="6"/>
      <c r="AA14" s="6"/>
      <c r="AB14" s="64">
        <f t="shared" si="5"/>
        <v>45814</v>
      </c>
      <c r="AC14" s="40" t="str">
        <f t="shared" si="6"/>
        <v>HSBC HKD CA-2501-003</v>
      </c>
      <c r="AD14" s="40"/>
      <c r="AE14" s="40">
        <f t="shared" si="7"/>
        <v>2</v>
      </c>
      <c r="AF14" s="56">
        <f>IF(C14="","",IF($C$4="","",VLOOKUP($C$4,'Chart of Accounts'!$A:$B,2,FALSE)))</f>
        <v>1030</v>
      </c>
      <c r="AG14" s="60">
        <f>IF(C14="","",VLOOKUP(C:C,'Chart of Accounts'!$A:$B,2,FALSE))</f>
        <v>6200</v>
      </c>
      <c r="AH14" s="40" t="str">
        <f t="shared" si="8"/>
        <v>Bank charges:CHARGES</v>
      </c>
      <c r="AI14" s="58">
        <f t="shared" si="9"/>
        <v>-5</v>
      </c>
      <c r="AJ14" s="62">
        <f t="shared" si="11"/>
        <v>5</v>
      </c>
      <c r="AK14" s="6"/>
      <c r="AL14" s="49"/>
      <c r="AM14" s="48"/>
    </row>
    <row r="15" spans="1:39" x14ac:dyDescent="0.25">
      <c r="A15" s="1" t="s">
        <v>115</v>
      </c>
      <c r="B15" s="31">
        <v>45814</v>
      </c>
      <c r="C15" s="1" t="s">
        <v>169</v>
      </c>
      <c r="D15" s="1" t="s">
        <v>161</v>
      </c>
      <c r="I15" s="23"/>
      <c r="J15" s="23">
        <v>-4000</v>
      </c>
      <c r="K15" s="34">
        <f t="shared" si="10"/>
        <v>7744.380000000001</v>
      </c>
      <c r="L15" s="23"/>
      <c r="M15" s="8">
        <f t="shared" si="0"/>
        <v>0</v>
      </c>
      <c r="N15" s="23"/>
      <c r="O15" s="23">
        <f t="shared" si="1"/>
        <v>0</v>
      </c>
      <c r="P15" s="23"/>
      <c r="Q15" s="23">
        <f t="shared" si="2"/>
        <v>-4000</v>
      </c>
      <c r="R15" s="23"/>
      <c r="S15" s="23">
        <f t="shared" si="3"/>
        <v>0</v>
      </c>
      <c r="T15" s="23"/>
      <c r="U15" s="23">
        <f t="shared" si="4"/>
        <v>0</v>
      </c>
      <c r="V15" s="23">
        <f t="shared" si="4"/>
        <v>0</v>
      </c>
      <c r="W15" s="23">
        <f t="shared" si="4"/>
        <v>0</v>
      </c>
      <c r="X15" s="23">
        <f t="shared" si="4"/>
        <v>0</v>
      </c>
      <c r="Y15" s="6"/>
      <c r="AA15" s="6"/>
      <c r="AB15" s="64">
        <f t="shared" si="5"/>
        <v>45814</v>
      </c>
      <c r="AC15" s="40" t="str">
        <f t="shared" si="6"/>
        <v>HSBC HKD CA-2501-004</v>
      </c>
      <c r="AD15" s="40"/>
      <c r="AE15" s="40">
        <f t="shared" si="7"/>
        <v>2</v>
      </c>
      <c r="AF15" s="56">
        <f>IF(C15="","",IF($C$4="","",VLOOKUP($C$4,'Chart of Accounts'!$A:$B,2,FALSE)))</f>
        <v>1030</v>
      </c>
      <c r="AG15" s="60">
        <f>IF(C15="","",VLOOKUP(C:C,'Chart of Accounts'!$A:$B,2,FALSE))</f>
        <v>2200</v>
      </c>
      <c r="AH15" s="40" t="str">
        <f t="shared" si="8"/>
        <v>Accruals:DM SECRETARY LIMITED</v>
      </c>
      <c r="AI15" s="58">
        <f t="shared" si="9"/>
        <v>-4000</v>
      </c>
      <c r="AJ15" s="62">
        <f t="shared" si="11"/>
        <v>4000</v>
      </c>
      <c r="AK15" s="6"/>
      <c r="AL15" s="49"/>
      <c r="AM15" s="48"/>
    </row>
    <row r="16" spans="1:39" x14ac:dyDescent="0.25">
      <c r="A16" s="1" t="s">
        <v>116</v>
      </c>
      <c r="B16" s="31">
        <v>45849</v>
      </c>
      <c r="C16" s="1" t="s">
        <v>154</v>
      </c>
      <c r="D16" s="1" t="s">
        <v>161</v>
      </c>
      <c r="I16" s="23"/>
      <c r="J16" s="23">
        <f>-7305+2200</f>
        <v>-5105</v>
      </c>
      <c r="K16" s="34">
        <f>K14+I16+J16</f>
        <v>6639.380000000001</v>
      </c>
      <c r="L16" s="23"/>
      <c r="M16" s="8">
        <f t="shared" si="0"/>
        <v>0</v>
      </c>
      <c r="N16" s="23"/>
      <c r="O16" s="23">
        <f t="shared" si="1"/>
        <v>0</v>
      </c>
      <c r="P16" s="23"/>
      <c r="Q16" s="23">
        <f t="shared" si="2"/>
        <v>0</v>
      </c>
      <c r="R16" s="23"/>
      <c r="S16" s="23">
        <f t="shared" si="3"/>
        <v>0</v>
      </c>
      <c r="T16" s="23"/>
      <c r="U16" s="23">
        <f t="shared" si="4"/>
        <v>0</v>
      </c>
      <c r="V16" s="23">
        <f t="shared" si="4"/>
        <v>0</v>
      </c>
      <c r="W16" s="23">
        <f t="shared" si="4"/>
        <v>-5105</v>
      </c>
      <c r="X16" s="23">
        <f t="shared" si="4"/>
        <v>0</v>
      </c>
      <c r="Y16" s="6"/>
      <c r="AA16" s="6"/>
      <c r="AB16" s="64">
        <f t="shared" si="5"/>
        <v>45849</v>
      </c>
      <c r="AC16" s="40" t="str">
        <f t="shared" si="6"/>
        <v>HSBC HKD CA-2501-005</v>
      </c>
      <c r="AD16" s="40"/>
      <c r="AE16" s="40">
        <f t="shared" si="7"/>
        <v>4</v>
      </c>
      <c r="AF16" s="56">
        <f>IF(C16="","",IF($C$4="","",VLOOKUP($C$4,'Chart of Accounts'!$A:$B,2,FALSE)))</f>
        <v>1030</v>
      </c>
      <c r="AG16" s="60">
        <f>IF(C16="","",VLOOKUP(C:C,'Chart of Accounts'!$A:$B,2,FALSE))</f>
        <v>6300</v>
      </c>
      <c r="AH16" s="40" t="str">
        <f t="shared" si="8"/>
        <v>Company secretarial fee:DM SECRETARY LIMITED</v>
      </c>
      <c r="AI16" s="58">
        <f t="shared" si="9"/>
        <v>-5105</v>
      </c>
      <c r="AJ16" s="62">
        <f>-AI16</f>
        <v>5105</v>
      </c>
      <c r="AK16" s="6"/>
      <c r="AL16" s="49"/>
      <c r="AM16" s="48"/>
    </row>
    <row r="17" spans="1:39" x14ac:dyDescent="0.25">
      <c r="A17" s="1" t="s">
        <v>116</v>
      </c>
      <c r="B17" s="31">
        <v>45849</v>
      </c>
      <c r="C17" s="1" t="s">
        <v>69</v>
      </c>
      <c r="D17" s="1" t="s">
        <v>161</v>
      </c>
      <c r="I17" s="23"/>
      <c r="J17" s="23">
        <f>-7305+5105</f>
        <v>-2200</v>
      </c>
      <c r="K17" s="34">
        <f>K15+I17+J17</f>
        <v>5544.380000000001</v>
      </c>
      <c r="L17" s="23"/>
      <c r="M17" s="8">
        <f t="shared" si="0"/>
        <v>0</v>
      </c>
      <c r="N17" s="23"/>
      <c r="O17" s="23">
        <f t="shared" si="1"/>
        <v>0</v>
      </c>
      <c r="P17" s="23"/>
      <c r="Q17" s="23">
        <f t="shared" si="2"/>
        <v>0</v>
      </c>
      <c r="R17" s="23"/>
      <c r="S17" s="23">
        <f t="shared" si="3"/>
        <v>0</v>
      </c>
      <c r="T17" s="23"/>
      <c r="U17" s="23">
        <f t="shared" si="4"/>
        <v>0</v>
      </c>
      <c r="V17" s="23">
        <f t="shared" si="4"/>
        <v>-2200</v>
      </c>
      <c r="W17" s="23">
        <f t="shared" si="4"/>
        <v>0</v>
      </c>
      <c r="X17" s="23">
        <f t="shared" si="4"/>
        <v>0</v>
      </c>
      <c r="Y17" s="6"/>
      <c r="AA17" s="6"/>
      <c r="AB17" s="64">
        <f t="shared" si="5"/>
        <v>45849</v>
      </c>
      <c r="AC17" s="40" t="str">
        <f t="shared" si="6"/>
        <v>HSBC HKD CA-2501-005</v>
      </c>
      <c r="AD17" s="40"/>
      <c r="AE17" s="40">
        <f t="shared" si="7"/>
        <v>4</v>
      </c>
      <c r="AF17" s="56">
        <f>IF(C17="","",IF($C$4="","",VLOOKUP($C$4,'Chart of Accounts'!$A:$B,2,FALSE)))</f>
        <v>1030</v>
      </c>
      <c r="AG17" s="60">
        <f>IF(C17="","",VLOOKUP(C:C,'Chart of Accounts'!$A:$B,2,FALSE))</f>
        <v>6250</v>
      </c>
      <c r="AH17" s="40" t="str">
        <f t="shared" si="8"/>
        <v>Business registration fee:DM SECRETARY LIMITED</v>
      </c>
      <c r="AI17" s="58">
        <f t="shared" si="9"/>
        <v>-2200</v>
      </c>
      <c r="AJ17" s="62">
        <f t="shared" si="11"/>
        <v>2200</v>
      </c>
      <c r="AK17" s="6"/>
      <c r="AL17" s="49"/>
      <c r="AM17" s="48"/>
    </row>
    <row r="18" spans="1:39" x14ac:dyDescent="0.25">
      <c r="A18" s="1" t="s">
        <v>117</v>
      </c>
      <c r="B18" s="31">
        <v>45849</v>
      </c>
      <c r="C18" s="1" t="s">
        <v>168</v>
      </c>
      <c r="D18" s="1" t="s">
        <v>159</v>
      </c>
      <c r="I18" s="23"/>
      <c r="J18" s="23">
        <v>-5</v>
      </c>
      <c r="K18" s="34">
        <f t="shared" si="10"/>
        <v>5539.380000000001</v>
      </c>
      <c r="L18" s="23"/>
      <c r="M18" s="8">
        <f t="shared" si="0"/>
        <v>0</v>
      </c>
      <c r="N18" s="23"/>
      <c r="O18" s="23">
        <f t="shared" si="1"/>
        <v>0</v>
      </c>
      <c r="P18" s="23"/>
      <c r="Q18" s="23">
        <f t="shared" si="2"/>
        <v>0</v>
      </c>
      <c r="R18" s="23"/>
      <c r="S18" s="23">
        <f t="shared" si="3"/>
        <v>0</v>
      </c>
      <c r="T18" s="23"/>
      <c r="U18" s="23">
        <f t="shared" si="4"/>
        <v>-5</v>
      </c>
      <c r="V18" s="23">
        <f t="shared" si="4"/>
        <v>0</v>
      </c>
      <c r="W18" s="23">
        <f t="shared" si="4"/>
        <v>0</v>
      </c>
      <c r="X18" s="23">
        <f t="shared" si="4"/>
        <v>0</v>
      </c>
      <c r="Y18" s="6"/>
      <c r="AA18" s="6"/>
      <c r="AB18" s="64">
        <f t="shared" si="5"/>
        <v>45849</v>
      </c>
      <c r="AC18" s="40" t="str">
        <f t="shared" si="6"/>
        <v>HSBC HKD CA-2501-006</v>
      </c>
      <c r="AD18" s="40"/>
      <c r="AE18" s="40">
        <f t="shared" si="7"/>
        <v>2</v>
      </c>
      <c r="AF18" s="56">
        <f>IF(C18="","",IF($C$4="","",VLOOKUP($C$4,'Chart of Accounts'!$A:$B,2,FALSE)))</f>
        <v>1030</v>
      </c>
      <c r="AG18" s="60">
        <f>IF(C18="","",VLOOKUP(C:C,'Chart of Accounts'!$A:$B,2,FALSE))</f>
        <v>6200</v>
      </c>
      <c r="AH18" s="40" t="str">
        <f t="shared" si="8"/>
        <v>Bank charges:CHARGES</v>
      </c>
      <c r="AI18" s="58">
        <f t="shared" si="9"/>
        <v>-5</v>
      </c>
      <c r="AJ18" s="62">
        <f t="shared" si="11"/>
        <v>5</v>
      </c>
      <c r="AK18" s="6"/>
      <c r="AL18" s="49"/>
      <c r="AM18" s="48"/>
    </row>
    <row r="19" spans="1:39" x14ac:dyDescent="0.25">
      <c r="B19" s="5"/>
      <c r="I19" s="23"/>
      <c r="J19" s="23"/>
      <c r="K19" s="34"/>
      <c r="L19" s="23"/>
      <c r="M19" s="8"/>
      <c r="N19" s="23"/>
      <c r="P19" s="23"/>
      <c r="AB19" s="5"/>
    </row>
    <row r="20" spans="1:39" ht="13.5" thickBot="1" x14ac:dyDescent="0.3">
      <c r="B20" s="5"/>
      <c r="I20" s="24">
        <f>SUBTOTAL(9,I11:I19)</f>
        <v>0</v>
      </c>
      <c r="J20" s="24">
        <f>SUBTOTAL(9,J11:J19)</f>
        <v>-17520</v>
      </c>
      <c r="K20" s="34"/>
      <c r="L20" s="23"/>
      <c r="M20" s="8">
        <f>SUM(I20:J20)-SUM(N20:W20)</f>
        <v>0</v>
      </c>
      <c r="N20" s="23"/>
      <c r="O20" s="24">
        <f>SUBTOTAL(9,O11:O19)</f>
        <v>0</v>
      </c>
      <c r="P20" s="23"/>
      <c r="Q20" s="24">
        <f>SUBTOTAL(9,Q11:Q19)</f>
        <v>-10200</v>
      </c>
      <c r="S20" s="24">
        <f>SUBTOTAL(9,S11:S19)</f>
        <v>0</v>
      </c>
      <c r="U20" s="24">
        <f>SUBTOTAL(9,U11:U19)</f>
        <v>-15</v>
      </c>
      <c r="V20" s="24">
        <f>SUBTOTAL(9,V11:V19)</f>
        <v>-2200</v>
      </c>
      <c r="W20" s="24">
        <f>SUBTOTAL(9,W11:W19)</f>
        <v>-5105</v>
      </c>
      <c r="X20" s="24">
        <f>SUBTOTAL(9,X11:X19)</f>
        <v>0</v>
      </c>
      <c r="AB20" s="5"/>
      <c r="AI20" s="24">
        <f>SUBTOTAL(9,AI11:AI19)</f>
        <v>-17520</v>
      </c>
      <c r="AJ20" s="24">
        <f>SUBTOTAL(9,AJ11:AJ19)</f>
        <v>17520</v>
      </c>
    </row>
    <row r="21" spans="1:39" x14ac:dyDescent="0.25">
      <c r="AJ21" s="65">
        <f>SUM(AI20:AJ20)</f>
        <v>0</v>
      </c>
    </row>
  </sheetData>
  <sheetCalcPr fullCalcOnLoad="1"/>
  <autoFilter ref="A10:AA10" xr:uid="{3ED477FC-20FD-466B-913C-28F7EF9ED643}"/>
  <phoneticPr fontId="2" type="noConversion"/>
  <pageMargins left="0.39370078740157483" right="0.39370078740157483" top="0.39370078740157483" bottom="0.39370078740157483" header="0.39370078740157483" footer="0.39370078740157483"/>
  <pageSetup paperSize="9" scale="37" fitToHeight="0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6072D-CC8C-4718-ABCA-5F7687020C7B}">
  <sheetPr>
    <pageSetUpPr fitToPage="1"/>
  </sheetPr>
  <dimension ref="A1:BM29"/>
  <sheetViews>
    <sheetView zoomScale="85" zoomScaleNormal="85" workbookViewId="0">
      <pane xSplit="14" ySplit="10" topLeftCell="BA11" activePane="bottomRight" state="frozen"/>
      <selection pane="topRight" activeCell="N1" sqref="N1"/>
      <selection pane="bottomLeft" activeCell="A10" sqref="A10"/>
      <selection pane="bottomRight" activeCell="BL12" activeCellId="2" sqref="BD12:BG25 BI12:BJ25 BL12:BL25"/>
    </sheetView>
  </sheetViews>
  <sheetFormatPr defaultRowHeight="12.75" outlineLevelCol="1" x14ac:dyDescent="0.25"/>
  <cols>
    <col min="1" max="1" width="14.625" style="1" bestFit="1" customWidth="1"/>
    <col min="2" max="2" width="8.625" style="1" customWidth="1"/>
    <col min="3" max="3" width="12.5" style="1" customWidth="1"/>
    <col min="4" max="4" width="16.125" style="1" bestFit="1" customWidth="1"/>
    <col min="5" max="5" width="21.875" style="1" bestFit="1" customWidth="1"/>
    <col min="6" max="7" width="13.375" style="1" customWidth="1"/>
    <col min="8" max="8" width="1.625" style="1" customWidth="1"/>
    <col min="9" max="9" width="12.125" style="1" customWidth="1"/>
    <col min="10" max="10" width="10.625" style="1" bestFit="1" customWidth="1"/>
    <col min="11" max="11" width="10" style="1" bestFit="1" customWidth="1"/>
    <col min="12" max="12" width="1.625" style="1" customWidth="1" outlineLevel="1"/>
    <col min="13" max="13" width="10.625" style="1" bestFit="1" customWidth="1" outlineLevel="1"/>
    <col min="14" max="14" width="1.625" style="1" customWidth="1" outlineLevel="1"/>
    <col min="15" max="15" width="9" style="1" customWidth="1" outlineLevel="1"/>
    <col min="16" max="16" width="1.625" style="1" customWidth="1" outlineLevel="1"/>
    <col min="17" max="17" width="10.625" style="1" customWidth="1" outlineLevel="1"/>
    <col min="18" max="18" width="9" style="1" customWidth="1" outlineLevel="1"/>
    <col min="19" max="19" width="1.625" style="1" customWidth="1" outlineLevel="1"/>
    <col min="20" max="20" width="11.125" style="1" customWidth="1" outlineLevel="1"/>
    <col min="21" max="21" width="1.625" style="1" customWidth="1" outlineLevel="1"/>
    <col min="22" max="23" width="10.625" style="1" customWidth="1" outlineLevel="1"/>
    <col min="24" max="24" width="8.25" style="1" customWidth="1" outlineLevel="1"/>
    <col min="25" max="25" width="1.625" style="1" customWidth="1" outlineLevel="1"/>
    <col min="26" max="26" width="9.625" style="1" customWidth="1" outlineLevel="1"/>
    <col min="27" max="27" width="8.875" style="1" customWidth="1" outlineLevel="1"/>
    <col min="28" max="28" width="1.625" style="1" customWidth="1" outlineLevel="1"/>
    <col min="29" max="29" width="7.375" style="1" customWidth="1" outlineLevel="1"/>
    <col min="30" max="30" width="1.625" style="1" customWidth="1" outlineLevel="1"/>
    <col min="31" max="31" width="11.375" style="1" customWidth="1" outlineLevel="1"/>
    <col min="32" max="32" width="8" style="1" customWidth="1" outlineLevel="1"/>
    <col min="33" max="33" width="9.875" style="1" customWidth="1" outlineLevel="1"/>
    <col min="34" max="34" width="1.625" style="1" customWidth="1" outlineLevel="1"/>
    <col min="35" max="35" width="13.125" style="1" customWidth="1" outlineLevel="1"/>
    <col min="36" max="36" width="12.5" style="1" customWidth="1" outlineLevel="1"/>
    <col min="37" max="37" width="10.5" style="1" customWidth="1" outlineLevel="1"/>
    <col min="38" max="38" width="11.875" style="1" customWidth="1" outlineLevel="1"/>
    <col min="39" max="39" width="11" style="1" customWidth="1" outlineLevel="1"/>
    <col min="40" max="40" width="12.875" style="1" customWidth="1" outlineLevel="1"/>
    <col min="41" max="41" width="9.25" style="1" customWidth="1" outlineLevel="1"/>
    <col min="42" max="42" width="15.75" style="1" customWidth="1" outlineLevel="1"/>
    <col min="43" max="43" width="14.25" style="1" customWidth="1" outlineLevel="1"/>
    <col min="44" max="45" width="9.375" style="1" customWidth="1" outlineLevel="1"/>
    <col min="46" max="46" width="15.25" style="1" customWidth="1" outlineLevel="1"/>
    <col min="47" max="47" width="12.375" style="1" customWidth="1" outlineLevel="1"/>
    <col min="48" max="48" width="10.5" style="1" customWidth="1" outlineLevel="1"/>
    <col min="49" max="49" width="12.125" style="1" customWidth="1" outlineLevel="1"/>
    <col min="50" max="50" width="14.25" style="1" customWidth="1" outlineLevel="1"/>
    <col min="51" max="51" width="1.625" style="1" customWidth="1" outlineLevel="1"/>
    <col min="52" max="52" width="6.5" style="1" bestFit="1" customWidth="1" outlineLevel="1"/>
    <col min="53" max="53" width="1.625" style="1" customWidth="1" outlineLevel="1"/>
    <col min="54" max="54" width="9" style="1"/>
    <col min="55" max="55" width="1.625" style="1" customWidth="1" outlineLevel="1"/>
    <col min="56" max="56" width="7.875" style="1" bestFit="1" customWidth="1" outlineLevel="1"/>
    <col min="57" max="57" width="19.75" style="1" bestFit="1" customWidth="1" outlineLevel="1"/>
    <col min="58" max="58" width="2.125" style="45" customWidth="1" outlineLevel="1"/>
    <col min="59" max="59" width="10.5" style="1" customWidth="1" outlineLevel="1"/>
    <col min="60" max="60" width="7.875" style="1" bestFit="1" customWidth="1" outlineLevel="1"/>
    <col min="61" max="61" width="8.375" style="1" customWidth="1" outlineLevel="1"/>
    <col min="62" max="62" width="39.875" style="1" bestFit="1" customWidth="1" outlineLevel="1"/>
    <col min="63" max="63" width="9.375" style="1" customWidth="1" outlineLevel="1"/>
    <col min="64" max="64" width="9.25" style="1" bestFit="1" customWidth="1" outlineLevel="1"/>
    <col min="65" max="65" width="1.625" style="1" customWidth="1" outlineLevel="1"/>
    <col min="66" max="16384" width="9" style="1"/>
  </cols>
  <sheetData>
    <row r="1" spans="1:65" x14ac:dyDescent="0.25">
      <c r="A1" s="2" t="s">
        <v>0</v>
      </c>
      <c r="B1" s="2"/>
      <c r="C1" s="54" t="s">
        <v>143</v>
      </c>
      <c r="D1" s="7"/>
      <c r="E1" s="7"/>
      <c r="G1" s="9" t="s">
        <v>12</v>
      </c>
      <c r="H1" s="16" t="s">
        <v>13</v>
      </c>
      <c r="I1" s="10"/>
      <c r="J1" s="10"/>
      <c r="K1" s="11"/>
      <c r="BD1" s="2"/>
    </row>
    <row r="2" spans="1:65" x14ac:dyDescent="0.25">
      <c r="A2" s="2" t="s">
        <v>1</v>
      </c>
      <c r="B2" s="2"/>
      <c r="C2" s="54" t="s">
        <v>147</v>
      </c>
      <c r="D2" s="22"/>
      <c r="E2" s="22"/>
      <c r="G2" s="12"/>
      <c r="H2" s="17" t="s">
        <v>14</v>
      </c>
      <c r="I2" s="13"/>
      <c r="J2" s="13"/>
      <c r="K2" s="14"/>
      <c r="BD2" s="2"/>
    </row>
    <row r="3" spans="1:65" x14ac:dyDescent="0.25">
      <c r="A3" s="21" t="s">
        <v>2</v>
      </c>
      <c r="B3" s="3"/>
      <c r="C3" s="54" t="s">
        <v>144</v>
      </c>
      <c r="BD3" s="3"/>
    </row>
    <row r="4" spans="1:65" x14ac:dyDescent="0.25">
      <c r="A4" s="21" t="s">
        <v>137</v>
      </c>
      <c r="B4" s="3"/>
      <c r="C4" s="54" t="s">
        <v>149</v>
      </c>
      <c r="BD4" s="3"/>
      <c r="BE4" s="45"/>
    </row>
    <row r="5" spans="1:65" x14ac:dyDescent="0.25">
      <c r="A5" s="21" t="s">
        <v>125</v>
      </c>
      <c r="B5" s="3"/>
      <c r="C5" s="54" t="s">
        <v>149</v>
      </c>
      <c r="BD5" s="3"/>
    </row>
    <row r="6" spans="1:65" s="20" customFormat="1" ht="0.95" customHeight="1" x14ac:dyDescent="0.25">
      <c r="O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C6" s="27"/>
      <c r="BF6" s="46"/>
      <c r="BM6" s="27"/>
    </row>
    <row r="8" spans="1:65" s="4" customFormat="1" ht="13.5" thickBot="1" x14ac:dyDescent="0.3">
      <c r="L8" s="18"/>
      <c r="N8" s="18"/>
      <c r="P8" s="18"/>
      <c r="S8" s="18"/>
      <c r="U8" s="18"/>
      <c r="Y8" s="18"/>
      <c r="AB8" s="18"/>
      <c r="AD8" s="18"/>
      <c r="AH8" s="18"/>
      <c r="AY8" s="18"/>
      <c r="BA8" s="18"/>
      <c r="BC8" s="18"/>
      <c r="BD8" s="47" t="s">
        <v>139</v>
      </c>
      <c r="BE8" s="47"/>
      <c r="BF8" s="47"/>
      <c r="BG8" s="47"/>
      <c r="BH8" s="47"/>
      <c r="BI8" s="47"/>
      <c r="BJ8" s="47"/>
      <c r="BK8" s="47"/>
      <c r="BL8" s="47"/>
      <c r="BM8" s="18"/>
    </row>
    <row r="9" spans="1:65" s="2" customFormat="1" ht="39" thickBot="1" x14ac:dyDescent="0.3">
      <c r="A9" s="2" t="s">
        <v>18</v>
      </c>
      <c r="B9" s="2" t="s">
        <v>3</v>
      </c>
      <c r="C9" s="41" t="s">
        <v>4</v>
      </c>
      <c r="D9" s="42"/>
      <c r="E9" s="42"/>
      <c r="F9" s="42"/>
      <c r="G9" s="42"/>
      <c r="H9" s="43"/>
      <c r="I9" s="4" t="s">
        <v>5</v>
      </c>
      <c r="J9" s="4" t="s">
        <v>6</v>
      </c>
      <c r="K9" s="32" t="s">
        <v>7</v>
      </c>
      <c r="L9" s="18"/>
      <c r="M9" s="15" t="s">
        <v>10</v>
      </c>
      <c r="N9" s="19"/>
      <c r="O9" s="26" t="s">
        <v>17</v>
      </c>
      <c r="P9" s="19"/>
      <c r="Q9" s="25" t="s">
        <v>36</v>
      </c>
      <c r="R9" s="25" t="s">
        <v>38</v>
      </c>
      <c r="S9" s="28"/>
      <c r="T9" s="25" t="s">
        <v>44</v>
      </c>
      <c r="U9" s="28"/>
      <c r="V9" s="25" t="s">
        <v>29</v>
      </c>
      <c r="W9" s="25" t="s">
        <v>41</v>
      </c>
      <c r="X9" s="25" t="s">
        <v>15</v>
      </c>
      <c r="Y9" s="28"/>
      <c r="Z9" s="25" t="s">
        <v>11</v>
      </c>
      <c r="AA9" s="26" t="s">
        <v>57</v>
      </c>
      <c r="AB9" s="29"/>
      <c r="AC9" s="26" t="s">
        <v>54</v>
      </c>
      <c r="AD9" s="29"/>
      <c r="AE9" s="26" t="s">
        <v>73</v>
      </c>
      <c r="AF9" s="26" t="s">
        <v>92</v>
      </c>
      <c r="AG9" s="26" t="s">
        <v>82</v>
      </c>
      <c r="AH9" s="29"/>
      <c r="AI9" s="26" t="s">
        <v>64</v>
      </c>
      <c r="AJ9" s="26" t="s">
        <v>67</v>
      </c>
      <c r="AK9" s="26" t="s">
        <v>69</v>
      </c>
      <c r="AL9" s="26" t="s">
        <v>70</v>
      </c>
      <c r="AM9" s="26" t="s">
        <v>76</v>
      </c>
      <c r="AN9" s="26" t="s">
        <v>75</v>
      </c>
      <c r="AO9" s="26" t="s">
        <v>9</v>
      </c>
      <c r="AP9" s="26" t="s">
        <v>78</v>
      </c>
      <c r="AQ9" s="26" t="s">
        <v>80</v>
      </c>
      <c r="AR9" s="26" t="s">
        <v>88</v>
      </c>
      <c r="AS9" s="26" t="s">
        <v>89</v>
      </c>
      <c r="AT9" s="26" t="s">
        <v>90</v>
      </c>
      <c r="AU9" s="26" t="s">
        <v>93</v>
      </c>
      <c r="AV9" s="26" t="s">
        <v>16</v>
      </c>
      <c r="AW9" s="25" t="s">
        <v>96</v>
      </c>
      <c r="AX9" s="25" t="s">
        <v>19</v>
      </c>
      <c r="AY9" s="29"/>
      <c r="AZ9" s="25" t="s">
        <v>141</v>
      </c>
      <c r="BA9" s="29"/>
      <c r="BC9" s="29"/>
      <c r="BD9" s="39" t="s">
        <v>3</v>
      </c>
      <c r="BE9" s="38" t="s">
        <v>126</v>
      </c>
      <c r="BF9" s="38"/>
      <c r="BG9" s="72" t="s">
        <v>142</v>
      </c>
      <c r="BH9" s="55" t="s">
        <v>130</v>
      </c>
      <c r="BI9" s="59" t="s">
        <v>131</v>
      </c>
      <c r="BJ9" s="39" t="s">
        <v>109</v>
      </c>
      <c r="BK9" s="57" t="s">
        <v>132</v>
      </c>
      <c r="BL9" s="61" t="s">
        <v>133</v>
      </c>
      <c r="BM9" s="29"/>
    </row>
    <row r="10" spans="1:65" x14ac:dyDescent="0.25">
      <c r="A10" s="1" t="s">
        <v>103</v>
      </c>
      <c r="B10" s="5" t="s">
        <v>104</v>
      </c>
      <c r="C10" s="1" t="s">
        <v>105</v>
      </c>
      <c r="D10" s="1" t="s">
        <v>106</v>
      </c>
      <c r="E10" s="1" t="s">
        <v>107</v>
      </c>
      <c r="F10" s="1" t="s">
        <v>108</v>
      </c>
      <c r="G10" s="1" t="s">
        <v>140</v>
      </c>
      <c r="I10" s="6"/>
      <c r="J10" s="6"/>
      <c r="K10" s="33"/>
      <c r="M10" s="8"/>
      <c r="O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C10" s="30"/>
      <c r="BD10" s="67"/>
      <c r="BE10" s="66"/>
      <c r="BF10" s="66"/>
      <c r="BG10" s="39"/>
      <c r="BH10" s="68"/>
      <c r="BI10" s="69"/>
      <c r="BJ10" s="63"/>
      <c r="BK10" s="68"/>
      <c r="BL10" s="69"/>
      <c r="BM10" s="30"/>
    </row>
    <row r="11" spans="1:65" x14ac:dyDescent="0.25">
      <c r="A11" s="1">
        <v>0</v>
      </c>
      <c r="B11" s="31">
        <v>45658</v>
      </c>
      <c r="C11" s="1" t="s">
        <v>8</v>
      </c>
      <c r="I11" s="23"/>
      <c r="J11" s="23"/>
      <c r="K11" s="34">
        <v>3237.6199999999858</v>
      </c>
      <c r="L11" s="23"/>
      <c r="M11" s="8"/>
      <c r="N11" s="23"/>
      <c r="O11" s="6"/>
      <c r="P11" s="23"/>
      <c r="Q11" s="6"/>
      <c r="R11" s="6"/>
      <c r="T11" s="6"/>
      <c r="V11" s="6"/>
      <c r="W11" s="6"/>
      <c r="X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C11" s="6"/>
      <c r="BD11" s="64"/>
      <c r="BE11" s="40"/>
      <c r="BF11" s="40"/>
      <c r="BG11" s="40"/>
      <c r="BH11" s="56"/>
      <c r="BI11" s="60"/>
      <c r="BJ11" s="40"/>
      <c r="BK11" s="58"/>
      <c r="BL11" s="60"/>
      <c r="BM11" s="6"/>
    </row>
    <row r="12" spans="1:65" x14ac:dyDescent="0.25">
      <c r="A12" s="1" t="s">
        <v>111</v>
      </c>
      <c r="B12" s="31">
        <v>45716</v>
      </c>
      <c r="C12" s="1" t="s">
        <v>54</v>
      </c>
      <c r="D12" s="1" t="s">
        <v>157</v>
      </c>
      <c r="G12" s="71"/>
      <c r="I12" s="23">
        <v>0.01</v>
      </c>
      <c r="J12" s="23"/>
      <c r="K12" s="34">
        <f>K11+I12+J12</f>
        <v>3237.629999999986</v>
      </c>
      <c r="L12" s="23"/>
      <c r="M12" s="8">
        <f>SUM(I12:J12)-SUM(N12:BA12)</f>
        <v>0</v>
      </c>
      <c r="N12" s="23"/>
      <c r="O12" s="23">
        <f t="shared" ref="O12:O25" si="0">IF($C12=O$9,$I12+$J12,0)</f>
        <v>0</v>
      </c>
      <c r="P12" s="23"/>
      <c r="Q12" s="23">
        <f t="shared" ref="Q12:R25" si="1">IF($C12=Q$9,$I12+$J12,0)</f>
        <v>0</v>
      </c>
      <c r="R12" s="23">
        <f t="shared" si="1"/>
        <v>0</v>
      </c>
      <c r="T12" s="23">
        <f t="shared" ref="T12:T25" si="2">IF($C12=T$9,$I12+$J12,0)</f>
        <v>0</v>
      </c>
      <c r="U12" s="23"/>
      <c r="V12" s="23">
        <f t="shared" ref="V12:X25" si="3">IF($C12=V$9,$I12+$J12,0)</f>
        <v>0</v>
      </c>
      <c r="W12" s="23">
        <f t="shared" si="3"/>
        <v>0</v>
      </c>
      <c r="X12" s="23">
        <f t="shared" si="3"/>
        <v>0</v>
      </c>
      <c r="Y12" s="23"/>
      <c r="Z12" s="23">
        <f t="shared" ref="Z12:AA25" si="4">IF($C12=Z$9,$I12+$J12,0)</f>
        <v>0</v>
      </c>
      <c r="AA12" s="23">
        <f t="shared" si="4"/>
        <v>0</v>
      </c>
      <c r="AB12" s="23"/>
      <c r="AC12" s="23">
        <f t="shared" ref="AC12:AC25" si="5">IF($C12=AC$9,$I12+$J12,0)</f>
        <v>0.01</v>
      </c>
      <c r="AD12" s="23"/>
      <c r="AE12" s="23">
        <f t="shared" ref="AE12:AG25" si="6">IF($C12=AE$9,$I12+$J12,0)</f>
        <v>0</v>
      </c>
      <c r="AF12" s="23">
        <f t="shared" si="6"/>
        <v>0</v>
      </c>
      <c r="AG12" s="23">
        <f t="shared" si="6"/>
        <v>0</v>
      </c>
      <c r="AH12" s="23"/>
      <c r="AI12" s="23">
        <f t="shared" ref="AI12:AZ22" si="7">IF($C12=AI$9,$I12+$J12,0)</f>
        <v>0</v>
      </c>
      <c r="AJ12" s="23">
        <f t="shared" si="7"/>
        <v>0</v>
      </c>
      <c r="AK12" s="23">
        <f t="shared" si="7"/>
        <v>0</v>
      </c>
      <c r="AL12" s="23">
        <f t="shared" si="7"/>
        <v>0</v>
      </c>
      <c r="AM12" s="23">
        <f t="shared" si="7"/>
        <v>0</v>
      </c>
      <c r="AN12" s="23">
        <f t="shared" si="7"/>
        <v>0</v>
      </c>
      <c r="AO12" s="23">
        <f t="shared" si="7"/>
        <v>0</v>
      </c>
      <c r="AP12" s="23">
        <f t="shared" si="7"/>
        <v>0</v>
      </c>
      <c r="AQ12" s="23">
        <f t="shared" si="7"/>
        <v>0</v>
      </c>
      <c r="AR12" s="23">
        <f t="shared" si="7"/>
        <v>0</v>
      </c>
      <c r="AS12" s="23">
        <f t="shared" si="7"/>
        <v>0</v>
      </c>
      <c r="AT12" s="23">
        <f t="shared" si="7"/>
        <v>0</v>
      </c>
      <c r="AU12" s="23">
        <f t="shared" si="7"/>
        <v>0</v>
      </c>
      <c r="AV12" s="23">
        <f t="shared" si="7"/>
        <v>0</v>
      </c>
      <c r="AW12" s="23">
        <f t="shared" si="7"/>
        <v>0</v>
      </c>
      <c r="AX12" s="23">
        <f t="shared" si="7"/>
        <v>0</v>
      </c>
      <c r="AY12" s="6"/>
      <c r="AZ12" s="23">
        <f>IF($C12=AZ$9,$I12+$J12,0)</f>
        <v>0</v>
      </c>
      <c r="BA12" s="6"/>
      <c r="BC12" s="6"/>
      <c r="BD12" s="64">
        <f t="shared" ref="BD12:BD25" si="8">IF(B12="","",B12)</f>
        <v>45716</v>
      </c>
      <c r="BE12" s="40" t="str">
        <f t="shared" ref="BE12:BE25" si="9">IF(C12="","",$C$5&amp;"-"&amp;A12)</f>
        <v>HSBC HKD SA-2501-001</v>
      </c>
      <c r="BF12" s="40"/>
      <c r="BG12" s="40">
        <f t="shared" ref="BG12:BG25" si="10">IF(BE12="","",COUNTIF(BE:BE,BE12)*2)</f>
        <v>2</v>
      </c>
      <c r="BH12" s="56">
        <f>IF(C12="","",IF($C$4="","",VLOOKUP($C$4,'Chart of Accounts'!$A:$B,2,FALSE)))</f>
        <v>1020</v>
      </c>
      <c r="BI12" s="60">
        <f>IF(C12="","",VLOOKUP(C:C,'Chart of Accounts'!$A:$B,2,FALSE))</f>
        <v>4100</v>
      </c>
      <c r="BJ12" s="40" t="str">
        <f>IF(C12="","",C12&amp;":"&amp;D12&amp;IF(E12="",""," - "&amp;E12)&amp;IF(F12="",""," - "&amp;F12)&amp;IF(G12="",""," - "&amp;TEXT(G12,"MMM-YY")))</f>
        <v>Bank interest income:CREDIT INTEREST</v>
      </c>
      <c r="BK12" s="58">
        <f t="shared" ref="BK12:BK25" si="11">SUM(I12:J12)</f>
        <v>0.01</v>
      </c>
      <c r="BL12" s="62">
        <f>-BK12</f>
        <v>-0.01</v>
      </c>
      <c r="BM12" s="6"/>
    </row>
    <row r="13" spans="1:65" x14ac:dyDescent="0.25">
      <c r="A13" s="1" t="s">
        <v>113</v>
      </c>
      <c r="B13" s="31">
        <v>45790</v>
      </c>
      <c r="C13" s="1" t="s">
        <v>168</v>
      </c>
      <c r="D13" s="1" t="s">
        <v>158</v>
      </c>
      <c r="I13" s="23"/>
      <c r="J13" s="23">
        <v>-760</v>
      </c>
      <c r="K13" s="34">
        <f t="shared" ref="K13:K25" si="12">K12+I13+J13</f>
        <v>2477.629999999986</v>
      </c>
      <c r="L13" s="23"/>
      <c r="M13" s="8">
        <f t="shared" ref="M13:M25" si="13">SUM(I13:J13)-SUM(N13:BA13)</f>
        <v>0</v>
      </c>
      <c r="N13" s="23"/>
      <c r="O13" s="23">
        <f t="shared" si="0"/>
        <v>0</v>
      </c>
      <c r="P13" s="23"/>
      <c r="Q13" s="23">
        <f t="shared" si="1"/>
        <v>0</v>
      </c>
      <c r="R13" s="23">
        <f t="shared" si="1"/>
        <v>0</v>
      </c>
      <c r="T13" s="23">
        <f t="shared" si="2"/>
        <v>0</v>
      </c>
      <c r="U13" s="23"/>
      <c r="V13" s="23">
        <f t="shared" si="3"/>
        <v>0</v>
      </c>
      <c r="W13" s="23">
        <f t="shared" si="3"/>
        <v>0</v>
      </c>
      <c r="X13" s="23">
        <f t="shared" si="3"/>
        <v>0</v>
      </c>
      <c r="Y13" s="23"/>
      <c r="Z13" s="23">
        <f t="shared" si="4"/>
        <v>0</v>
      </c>
      <c r="AA13" s="23">
        <f t="shared" si="4"/>
        <v>0</v>
      </c>
      <c r="AB13" s="23"/>
      <c r="AC13" s="23">
        <f t="shared" si="5"/>
        <v>0</v>
      </c>
      <c r="AD13" s="23"/>
      <c r="AE13" s="23">
        <f t="shared" si="6"/>
        <v>0</v>
      </c>
      <c r="AF13" s="23">
        <f t="shared" si="6"/>
        <v>0</v>
      </c>
      <c r="AG13" s="23">
        <f t="shared" si="6"/>
        <v>0</v>
      </c>
      <c r="AH13" s="23"/>
      <c r="AI13" s="23">
        <f t="shared" si="7"/>
        <v>0</v>
      </c>
      <c r="AJ13" s="23">
        <f t="shared" si="7"/>
        <v>-760</v>
      </c>
      <c r="AK13" s="23">
        <f t="shared" si="7"/>
        <v>0</v>
      </c>
      <c r="AL13" s="23">
        <f t="shared" si="7"/>
        <v>0</v>
      </c>
      <c r="AM13" s="23">
        <f t="shared" si="7"/>
        <v>0</v>
      </c>
      <c r="AN13" s="23">
        <f t="shared" si="7"/>
        <v>0</v>
      </c>
      <c r="AO13" s="23">
        <f t="shared" si="7"/>
        <v>0</v>
      </c>
      <c r="AP13" s="23">
        <f t="shared" si="7"/>
        <v>0</v>
      </c>
      <c r="AQ13" s="23">
        <f t="shared" si="7"/>
        <v>0</v>
      </c>
      <c r="AR13" s="23">
        <f t="shared" si="7"/>
        <v>0</v>
      </c>
      <c r="AS13" s="23">
        <f t="shared" si="7"/>
        <v>0</v>
      </c>
      <c r="AT13" s="23">
        <f t="shared" si="7"/>
        <v>0</v>
      </c>
      <c r="AU13" s="23">
        <f t="shared" si="7"/>
        <v>0</v>
      </c>
      <c r="AV13" s="23">
        <f t="shared" si="7"/>
        <v>0</v>
      </c>
      <c r="AW13" s="23">
        <f t="shared" si="7"/>
        <v>0</v>
      </c>
      <c r="AX13" s="23">
        <f t="shared" si="7"/>
        <v>0</v>
      </c>
      <c r="AY13" s="6"/>
      <c r="AZ13" s="23">
        <f t="shared" si="7"/>
        <v>0</v>
      </c>
      <c r="BA13" s="6"/>
      <c r="BC13" s="6"/>
      <c r="BD13" s="64">
        <f t="shared" si="8"/>
        <v>45790</v>
      </c>
      <c r="BE13" s="40" t="str">
        <f t="shared" si="9"/>
        <v>HSBC HKD SA-2501-002</v>
      </c>
      <c r="BF13" s="40"/>
      <c r="BG13" s="40">
        <f t="shared" si="10"/>
        <v>2</v>
      </c>
      <c r="BH13" s="56">
        <f>IF(C13="","",IF($C$4="","",VLOOKUP($C$4,'Chart of Accounts'!$A:$B,2,FALSE)))</f>
        <v>1020</v>
      </c>
      <c r="BI13" s="60">
        <f>IF(C13="","",VLOOKUP(C:C,'Chart of Accounts'!$A:$B,2,FALSE))</f>
        <v>6200</v>
      </c>
      <c r="BJ13" s="40" t="str">
        <f t="shared" ref="BJ13:BJ25" si="14">IF(C13="","",C13&amp;":"&amp;D13&amp;IF(E13="",""," - "&amp;E13)&amp;IF(F13="",""," - "&amp;F13)&amp;IF(G13="",""," - "&amp;TEXT(G13,"MMM-YY")))</f>
        <v>Bank charges:CHG FOR AUDIT CONF O</v>
      </c>
      <c r="BK13" s="58">
        <f t="shared" si="11"/>
        <v>-760</v>
      </c>
      <c r="BL13" s="62">
        <f t="shared" ref="BL13:BL25" si="15">-BK13</f>
        <v>760</v>
      </c>
      <c r="BM13" s="6"/>
    </row>
    <row r="14" spans="1:65" x14ac:dyDescent="0.25">
      <c r="A14" s="1" t="s">
        <v>114</v>
      </c>
      <c r="B14" s="31">
        <v>45807</v>
      </c>
      <c r="C14" s="1" t="s">
        <v>168</v>
      </c>
      <c r="D14" s="1" t="s">
        <v>162</v>
      </c>
      <c r="I14" s="23"/>
      <c r="J14" s="23">
        <v>-150</v>
      </c>
      <c r="K14" s="34">
        <f t="shared" si="12"/>
        <v>2327.629999999986</v>
      </c>
      <c r="L14" s="23"/>
      <c r="M14" s="8">
        <f t="shared" si="13"/>
        <v>0</v>
      </c>
      <c r="N14" s="23"/>
      <c r="O14" s="23">
        <f t="shared" si="0"/>
        <v>0</v>
      </c>
      <c r="P14" s="23"/>
      <c r="Q14" s="23">
        <f t="shared" si="1"/>
        <v>0</v>
      </c>
      <c r="R14" s="23">
        <f t="shared" si="1"/>
        <v>0</v>
      </c>
      <c r="T14" s="23">
        <f t="shared" si="2"/>
        <v>0</v>
      </c>
      <c r="U14" s="23"/>
      <c r="V14" s="23">
        <f t="shared" si="3"/>
        <v>0</v>
      </c>
      <c r="W14" s="23">
        <f t="shared" si="3"/>
        <v>0</v>
      </c>
      <c r="X14" s="23">
        <f t="shared" si="3"/>
        <v>0</v>
      </c>
      <c r="Y14" s="23"/>
      <c r="Z14" s="23">
        <f t="shared" si="4"/>
        <v>0</v>
      </c>
      <c r="AA14" s="23">
        <f t="shared" si="4"/>
        <v>0</v>
      </c>
      <c r="AB14" s="23"/>
      <c r="AC14" s="23">
        <f t="shared" si="5"/>
        <v>0</v>
      </c>
      <c r="AD14" s="23"/>
      <c r="AE14" s="23">
        <f t="shared" si="6"/>
        <v>0</v>
      </c>
      <c r="AF14" s="23">
        <f t="shared" si="6"/>
        <v>0</v>
      </c>
      <c r="AG14" s="23">
        <f t="shared" si="6"/>
        <v>0</v>
      </c>
      <c r="AH14" s="23"/>
      <c r="AI14" s="23">
        <f t="shared" si="7"/>
        <v>0</v>
      </c>
      <c r="AJ14" s="23">
        <f t="shared" si="7"/>
        <v>-150</v>
      </c>
      <c r="AK14" s="23">
        <f t="shared" si="7"/>
        <v>0</v>
      </c>
      <c r="AL14" s="23">
        <f t="shared" si="7"/>
        <v>0</v>
      </c>
      <c r="AM14" s="23">
        <f t="shared" si="7"/>
        <v>0</v>
      </c>
      <c r="AN14" s="23">
        <f t="shared" si="7"/>
        <v>0</v>
      </c>
      <c r="AO14" s="23">
        <f t="shared" si="7"/>
        <v>0</v>
      </c>
      <c r="AP14" s="23">
        <f t="shared" si="7"/>
        <v>0</v>
      </c>
      <c r="AQ14" s="23">
        <f t="shared" si="7"/>
        <v>0</v>
      </c>
      <c r="AR14" s="23">
        <f t="shared" si="7"/>
        <v>0</v>
      </c>
      <c r="AS14" s="23">
        <f t="shared" si="7"/>
        <v>0</v>
      </c>
      <c r="AT14" s="23">
        <f t="shared" si="7"/>
        <v>0</v>
      </c>
      <c r="AU14" s="23">
        <f t="shared" si="7"/>
        <v>0</v>
      </c>
      <c r="AV14" s="23">
        <f t="shared" si="7"/>
        <v>0</v>
      </c>
      <c r="AW14" s="23">
        <f t="shared" si="7"/>
        <v>0</v>
      </c>
      <c r="AX14" s="23">
        <f t="shared" si="7"/>
        <v>0</v>
      </c>
      <c r="AY14" s="6"/>
      <c r="AZ14" s="23">
        <f t="shared" si="7"/>
        <v>0</v>
      </c>
      <c r="BA14" s="6"/>
      <c r="BC14" s="6"/>
      <c r="BD14" s="64">
        <f t="shared" si="8"/>
        <v>45807</v>
      </c>
      <c r="BE14" s="40" t="str">
        <f t="shared" si="9"/>
        <v>HSBC HKD SA-2501-003</v>
      </c>
      <c r="BF14" s="40"/>
      <c r="BG14" s="40">
        <f t="shared" si="10"/>
        <v>2</v>
      </c>
      <c r="BH14" s="56">
        <f>IF(C14="","",IF($C$4="","",VLOOKUP($C$4,'Chart of Accounts'!$A:$B,2,FALSE)))</f>
        <v>1020</v>
      </c>
      <c r="BI14" s="60">
        <f>IF(C14="","",VLOOKUP(C:C,'Chart of Accounts'!$A:$B,2,FALSE))</f>
        <v>6200</v>
      </c>
      <c r="BJ14" s="40" t="str">
        <f t="shared" si="14"/>
        <v>Bank charges:ACCT MAINT FEE</v>
      </c>
      <c r="BK14" s="58">
        <f t="shared" si="11"/>
        <v>-150</v>
      </c>
      <c r="BL14" s="62">
        <f t="shared" si="15"/>
        <v>150</v>
      </c>
      <c r="BM14" s="6"/>
    </row>
    <row r="15" spans="1:65" x14ac:dyDescent="0.25">
      <c r="A15" s="1" t="s">
        <v>115</v>
      </c>
      <c r="B15" s="31">
        <v>45836</v>
      </c>
      <c r="C15" s="1" t="s">
        <v>54</v>
      </c>
      <c r="D15" s="1" t="s">
        <v>157</v>
      </c>
      <c r="I15" s="23">
        <v>0.01</v>
      </c>
      <c r="J15" s="23"/>
      <c r="K15" s="34">
        <f t="shared" si="12"/>
        <v>2327.6399999999862</v>
      </c>
      <c r="L15" s="23"/>
      <c r="M15" s="8">
        <f t="shared" si="13"/>
        <v>0</v>
      </c>
      <c r="N15" s="23"/>
      <c r="O15" s="23">
        <f t="shared" si="0"/>
        <v>0</v>
      </c>
      <c r="P15" s="23"/>
      <c r="Q15" s="23">
        <f t="shared" si="1"/>
        <v>0</v>
      </c>
      <c r="R15" s="23">
        <f t="shared" si="1"/>
        <v>0</v>
      </c>
      <c r="T15" s="23">
        <f t="shared" si="2"/>
        <v>0</v>
      </c>
      <c r="U15" s="23"/>
      <c r="V15" s="23">
        <f t="shared" si="3"/>
        <v>0</v>
      </c>
      <c r="W15" s="23">
        <f t="shared" si="3"/>
        <v>0</v>
      </c>
      <c r="X15" s="23">
        <f t="shared" si="3"/>
        <v>0</v>
      </c>
      <c r="Y15" s="23"/>
      <c r="Z15" s="23">
        <f t="shared" si="4"/>
        <v>0</v>
      </c>
      <c r="AA15" s="23">
        <f t="shared" si="4"/>
        <v>0</v>
      </c>
      <c r="AB15" s="23"/>
      <c r="AC15" s="23">
        <f t="shared" si="5"/>
        <v>0.01</v>
      </c>
      <c r="AD15" s="23"/>
      <c r="AE15" s="23">
        <f t="shared" si="6"/>
        <v>0</v>
      </c>
      <c r="AF15" s="23">
        <f t="shared" si="6"/>
        <v>0</v>
      </c>
      <c r="AG15" s="23">
        <f t="shared" si="6"/>
        <v>0</v>
      </c>
      <c r="AH15" s="23"/>
      <c r="AI15" s="23">
        <f t="shared" si="7"/>
        <v>0</v>
      </c>
      <c r="AJ15" s="23">
        <f t="shared" si="7"/>
        <v>0</v>
      </c>
      <c r="AK15" s="23">
        <f t="shared" si="7"/>
        <v>0</v>
      </c>
      <c r="AL15" s="23">
        <f t="shared" si="7"/>
        <v>0</v>
      </c>
      <c r="AM15" s="23">
        <f t="shared" si="7"/>
        <v>0</v>
      </c>
      <c r="AN15" s="23">
        <f t="shared" si="7"/>
        <v>0</v>
      </c>
      <c r="AO15" s="23">
        <f t="shared" si="7"/>
        <v>0</v>
      </c>
      <c r="AP15" s="23">
        <f t="shared" si="7"/>
        <v>0</v>
      </c>
      <c r="AQ15" s="23">
        <f t="shared" si="7"/>
        <v>0</v>
      </c>
      <c r="AR15" s="23">
        <f t="shared" si="7"/>
        <v>0</v>
      </c>
      <c r="AS15" s="23">
        <f t="shared" si="7"/>
        <v>0</v>
      </c>
      <c r="AT15" s="23">
        <f t="shared" si="7"/>
        <v>0</v>
      </c>
      <c r="AU15" s="23">
        <f t="shared" si="7"/>
        <v>0</v>
      </c>
      <c r="AV15" s="23">
        <f t="shared" si="7"/>
        <v>0</v>
      </c>
      <c r="AW15" s="23">
        <f t="shared" si="7"/>
        <v>0</v>
      </c>
      <c r="AX15" s="23">
        <f t="shared" si="7"/>
        <v>0</v>
      </c>
      <c r="AY15" s="6"/>
      <c r="AZ15" s="23">
        <f t="shared" si="7"/>
        <v>0</v>
      </c>
      <c r="BA15" s="6"/>
      <c r="BC15" s="6"/>
      <c r="BD15" s="64">
        <f t="shared" si="8"/>
        <v>45836</v>
      </c>
      <c r="BE15" s="40" t="str">
        <f t="shared" si="9"/>
        <v>HSBC HKD SA-2501-004</v>
      </c>
      <c r="BF15" s="40"/>
      <c r="BG15" s="40">
        <f t="shared" si="10"/>
        <v>2</v>
      </c>
      <c r="BH15" s="56">
        <f>IF(C15="","",IF($C$4="","",VLOOKUP($C$4,'Chart of Accounts'!$A:$B,2,FALSE)))</f>
        <v>1020</v>
      </c>
      <c r="BI15" s="60">
        <f>IF(C15="","",VLOOKUP(C:C,'Chart of Accounts'!$A:$B,2,FALSE))</f>
        <v>4100</v>
      </c>
      <c r="BJ15" s="40" t="str">
        <f t="shared" si="14"/>
        <v>Bank interest income:CREDIT INTEREST</v>
      </c>
      <c r="BK15" s="58">
        <f t="shared" si="11"/>
        <v>0.01</v>
      </c>
      <c r="BL15" s="62">
        <f t="shared" si="15"/>
        <v>-0.01</v>
      </c>
      <c r="BM15" s="6"/>
    </row>
    <row r="16" spans="1:65" x14ac:dyDescent="0.25">
      <c r="A16" s="1" t="s">
        <v>116</v>
      </c>
      <c r="B16" s="31">
        <v>45840</v>
      </c>
      <c r="C16" s="1" t="s">
        <v>28</v>
      </c>
      <c r="D16" s="1" t="s">
        <v>163</v>
      </c>
      <c r="I16" s="23">
        <f>23501.4-101.4</f>
        <v>23400</v>
      </c>
      <c r="J16" s="23"/>
      <c r="K16" s="34">
        <f>K14+I16+J16</f>
        <v>25727.629999999986</v>
      </c>
      <c r="L16" s="23"/>
      <c r="M16" s="8">
        <f>SUM(I16:J16)-SUM(N16:BA16)</f>
        <v>0</v>
      </c>
      <c r="N16" s="23"/>
      <c r="O16" s="23">
        <f t="shared" si="0"/>
        <v>23400</v>
      </c>
      <c r="P16" s="23"/>
      <c r="Q16" s="23">
        <f t="shared" si="1"/>
        <v>0</v>
      </c>
      <c r="R16" s="23">
        <f t="shared" si="1"/>
        <v>0</v>
      </c>
      <c r="T16" s="23">
        <f t="shared" si="2"/>
        <v>0</v>
      </c>
      <c r="U16" s="23"/>
      <c r="V16" s="23">
        <f t="shared" si="3"/>
        <v>0</v>
      </c>
      <c r="W16" s="23">
        <f t="shared" si="3"/>
        <v>0</v>
      </c>
      <c r="X16" s="23">
        <f t="shared" si="3"/>
        <v>0</v>
      </c>
      <c r="Y16" s="23"/>
      <c r="Z16" s="23">
        <f t="shared" si="4"/>
        <v>0</v>
      </c>
      <c r="AA16" s="23">
        <f t="shared" si="4"/>
        <v>0</v>
      </c>
      <c r="AB16" s="23"/>
      <c r="AC16" s="23">
        <f t="shared" si="5"/>
        <v>0</v>
      </c>
      <c r="AD16" s="23"/>
      <c r="AE16" s="23">
        <f t="shared" si="6"/>
        <v>0</v>
      </c>
      <c r="AF16" s="23">
        <f t="shared" si="6"/>
        <v>0</v>
      </c>
      <c r="AG16" s="23">
        <f t="shared" si="6"/>
        <v>0</v>
      </c>
      <c r="AH16" s="23"/>
      <c r="AI16" s="23">
        <f t="shared" si="7"/>
        <v>0</v>
      </c>
      <c r="AJ16" s="23">
        <f t="shared" si="7"/>
        <v>0</v>
      </c>
      <c r="AK16" s="23">
        <f t="shared" si="7"/>
        <v>0</v>
      </c>
      <c r="AL16" s="23">
        <f t="shared" si="7"/>
        <v>0</v>
      </c>
      <c r="AM16" s="23">
        <f t="shared" si="7"/>
        <v>0</v>
      </c>
      <c r="AN16" s="23">
        <f t="shared" si="7"/>
        <v>0</v>
      </c>
      <c r="AO16" s="23">
        <f t="shared" si="7"/>
        <v>0</v>
      </c>
      <c r="AP16" s="23">
        <f t="shared" si="7"/>
        <v>0</v>
      </c>
      <c r="AQ16" s="23">
        <f t="shared" si="7"/>
        <v>0</v>
      </c>
      <c r="AR16" s="23">
        <f t="shared" si="7"/>
        <v>0</v>
      </c>
      <c r="AS16" s="23">
        <f t="shared" si="7"/>
        <v>0</v>
      </c>
      <c r="AT16" s="23">
        <f t="shared" si="7"/>
        <v>0</v>
      </c>
      <c r="AU16" s="23">
        <f t="shared" si="7"/>
        <v>0</v>
      </c>
      <c r="AV16" s="23">
        <f t="shared" si="7"/>
        <v>0</v>
      </c>
      <c r="AW16" s="23">
        <f t="shared" si="7"/>
        <v>0</v>
      </c>
      <c r="AX16" s="23">
        <f t="shared" si="7"/>
        <v>0</v>
      </c>
      <c r="AY16" s="6"/>
      <c r="AZ16" s="23">
        <f t="shared" si="7"/>
        <v>0</v>
      </c>
      <c r="BA16" s="6"/>
      <c r="BC16" s="6"/>
      <c r="BD16" s="64">
        <f>IF(B16="","",B16)</f>
        <v>45840</v>
      </c>
      <c r="BE16" s="40" t="str">
        <f>IF(C16="","",$C$5&amp;"-"&amp;A16)</f>
        <v>HSBC HKD SA-2501-005</v>
      </c>
      <c r="BF16" s="40"/>
      <c r="BG16" s="40">
        <f t="shared" si="10"/>
        <v>4</v>
      </c>
      <c r="BH16" s="56">
        <f>IF(C16="","",IF($C$4="","",VLOOKUP($C$4,'Chart of Accounts'!$A:$B,2,FALSE)))</f>
        <v>1020</v>
      </c>
      <c r="BI16" s="60">
        <f>IF(C16="","",VLOOKUP(C:C,'Chart of Accounts'!$A:$B,2,FALSE))</f>
        <v>1090</v>
      </c>
      <c r="BJ16" s="40" t="str">
        <f>IF(C16="","",C16&amp;":"&amp;D16&amp;IF(E16="",""," - "&amp;E16)&amp;IF(F16="",""," - "&amp;F16)&amp;IF(G16="",""," - "&amp;TEXT(G16,"MMM-YY")))</f>
        <v>Interbank:FROM HESEN (HK) TDG</v>
      </c>
      <c r="BK16" s="58">
        <f>SUM(I16:J16)</f>
        <v>23400</v>
      </c>
      <c r="BL16" s="62">
        <f>-BK16</f>
        <v>-23400</v>
      </c>
      <c r="BM16" s="6"/>
    </row>
    <row r="17" spans="1:65" x14ac:dyDescent="0.25">
      <c r="A17" s="1" t="s">
        <v>116</v>
      </c>
      <c r="B17" s="31">
        <v>45840</v>
      </c>
      <c r="C17" s="1" t="s">
        <v>76</v>
      </c>
      <c r="D17" s="1" t="s">
        <v>163</v>
      </c>
      <c r="I17" s="23">
        <f>23501.4-23400</f>
        <v>101.40000000000146</v>
      </c>
      <c r="J17" s="23"/>
      <c r="K17" s="34">
        <f>K15+I17+J17</f>
        <v>2429.0399999999877</v>
      </c>
      <c r="L17" s="23"/>
      <c r="M17" s="8">
        <f t="shared" si="13"/>
        <v>0</v>
      </c>
      <c r="N17" s="23"/>
      <c r="O17" s="23">
        <f t="shared" si="0"/>
        <v>0</v>
      </c>
      <c r="P17" s="23"/>
      <c r="Q17" s="23">
        <f t="shared" si="1"/>
        <v>0</v>
      </c>
      <c r="R17" s="23">
        <f t="shared" si="1"/>
        <v>0</v>
      </c>
      <c r="T17" s="23">
        <f t="shared" si="2"/>
        <v>0</v>
      </c>
      <c r="U17" s="23"/>
      <c r="V17" s="23">
        <f t="shared" si="3"/>
        <v>0</v>
      </c>
      <c r="W17" s="23">
        <f t="shared" si="3"/>
        <v>0</v>
      </c>
      <c r="X17" s="23">
        <f t="shared" si="3"/>
        <v>0</v>
      </c>
      <c r="Y17" s="23"/>
      <c r="Z17" s="23">
        <f t="shared" si="4"/>
        <v>0</v>
      </c>
      <c r="AA17" s="23">
        <f t="shared" si="4"/>
        <v>0</v>
      </c>
      <c r="AB17" s="23"/>
      <c r="AC17" s="23">
        <f t="shared" si="5"/>
        <v>0</v>
      </c>
      <c r="AD17" s="23"/>
      <c r="AE17" s="23">
        <f t="shared" si="6"/>
        <v>0</v>
      </c>
      <c r="AF17" s="23">
        <f t="shared" si="6"/>
        <v>0</v>
      </c>
      <c r="AG17" s="23">
        <f t="shared" si="6"/>
        <v>0</v>
      </c>
      <c r="AH17" s="23"/>
      <c r="AI17" s="23">
        <f t="shared" si="7"/>
        <v>0</v>
      </c>
      <c r="AJ17" s="23">
        <f t="shared" si="7"/>
        <v>0</v>
      </c>
      <c r="AK17" s="23">
        <f t="shared" si="7"/>
        <v>0</v>
      </c>
      <c r="AL17" s="23">
        <f t="shared" si="7"/>
        <v>0</v>
      </c>
      <c r="AM17" s="23">
        <f t="shared" si="7"/>
        <v>101.40000000000146</v>
      </c>
      <c r="AN17" s="23">
        <f t="shared" si="7"/>
        <v>0</v>
      </c>
      <c r="AO17" s="23">
        <f t="shared" si="7"/>
        <v>0</v>
      </c>
      <c r="AP17" s="23">
        <f t="shared" si="7"/>
        <v>0</v>
      </c>
      <c r="AQ17" s="23">
        <f t="shared" si="7"/>
        <v>0</v>
      </c>
      <c r="AR17" s="23">
        <f t="shared" si="7"/>
        <v>0</v>
      </c>
      <c r="AS17" s="23">
        <f t="shared" si="7"/>
        <v>0</v>
      </c>
      <c r="AT17" s="23">
        <f t="shared" si="7"/>
        <v>0</v>
      </c>
      <c r="AU17" s="23">
        <f t="shared" si="7"/>
        <v>0</v>
      </c>
      <c r="AV17" s="23">
        <f t="shared" si="7"/>
        <v>0</v>
      </c>
      <c r="AW17" s="23">
        <f t="shared" si="7"/>
        <v>0</v>
      </c>
      <c r="AX17" s="23">
        <f t="shared" si="7"/>
        <v>0</v>
      </c>
      <c r="AY17" s="6"/>
      <c r="AZ17" s="23">
        <f t="shared" si="7"/>
        <v>0</v>
      </c>
      <c r="BA17" s="6"/>
      <c r="BC17" s="6"/>
      <c r="BD17" s="64">
        <f t="shared" si="8"/>
        <v>45840</v>
      </c>
      <c r="BE17" s="40" t="str">
        <f t="shared" si="9"/>
        <v>HSBC HKD SA-2501-005</v>
      </c>
      <c r="BF17" s="40"/>
      <c r="BG17" s="40">
        <f t="shared" si="10"/>
        <v>4</v>
      </c>
      <c r="BH17" s="56">
        <f>IF(C17="","",IF($C$4="","",VLOOKUP($C$4,'Chart of Accounts'!$A:$B,2,FALSE)))</f>
        <v>1020</v>
      </c>
      <c r="BI17" s="60">
        <f>IF(C17="","",VLOOKUP(C:C,'Chart of Accounts'!$A:$B,2,FALSE))</f>
        <v>6580</v>
      </c>
      <c r="BJ17" s="40" t="str">
        <f t="shared" si="14"/>
        <v>Exchange losses/(gains), net:FROM HESEN (HK) TDG</v>
      </c>
      <c r="BK17" s="58">
        <f t="shared" si="11"/>
        <v>101.40000000000146</v>
      </c>
      <c r="BL17" s="62">
        <f t="shared" si="15"/>
        <v>-101.40000000000146</v>
      </c>
      <c r="BM17" s="6"/>
    </row>
    <row r="18" spans="1:65" x14ac:dyDescent="0.25">
      <c r="A18" s="1" t="s">
        <v>117</v>
      </c>
      <c r="B18" s="31">
        <v>45840</v>
      </c>
      <c r="C18" s="1" t="s">
        <v>44</v>
      </c>
      <c r="D18" s="1" t="s">
        <v>164</v>
      </c>
      <c r="I18" s="23"/>
      <c r="J18" s="23">
        <v>-20000</v>
      </c>
      <c r="K18" s="34">
        <f t="shared" si="12"/>
        <v>-17570.960000000014</v>
      </c>
      <c r="L18" s="23"/>
      <c r="M18" s="8">
        <f t="shared" si="13"/>
        <v>0</v>
      </c>
      <c r="N18" s="23"/>
      <c r="O18" s="23">
        <f t="shared" si="0"/>
        <v>0</v>
      </c>
      <c r="P18" s="23"/>
      <c r="Q18" s="23">
        <f t="shared" si="1"/>
        <v>0</v>
      </c>
      <c r="R18" s="23">
        <f t="shared" si="1"/>
        <v>0</v>
      </c>
      <c r="T18" s="23">
        <f t="shared" si="2"/>
        <v>-20000</v>
      </c>
      <c r="U18" s="23"/>
      <c r="V18" s="23">
        <f t="shared" si="3"/>
        <v>0</v>
      </c>
      <c r="W18" s="23">
        <f t="shared" si="3"/>
        <v>0</v>
      </c>
      <c r="X18" s="23">
        <f t="shared" si="3"/>
        <v>0</v>
      </c>
      <c r="Y18" s="23"/>
      <c r="Z18" s="23">
        <f t="shared" si="4"/>
        <v>0</v>
      </c>
      <c r="AA18" s="23">
        <f t="shared" si="4"/>
        <v>0</v>
      </c>
      <c r="AB18" s="23"/>
      <c r="AC18" s="23">
        <f t="shared" si="5"/>
        <v>0</v>
      </c>
      <c r="AD18" s="23"/>
      <c r="AE18" s="23">
        <f t="shared" si="6"/>
        <v>0</v>
      </c>
      <c r="AF18" s="23">
        <f t="shared" si="6"/>
        <v>0</v>
      </c>
      <c r="AG18" s="23">
        <f t="shared" si="6"/>
        <v>0</v>
      </c>
      <c r="AH18" s="23"/>
      <c r="AI18" s="23">
        <f t="shared" si="7"/>
        <v>0</v>
      </c>
      <c r="AJ18" s="23">
        <f t="shared" si="7"/>
        <v>0</v>
      </c>
      <c r="AK18" s="23">
        <f t="shared" si="7"/>
        <v>0</v>
      </c>
      <c r="AL18" s="23">
        <f t="shared" si="7"/>
        <v>0</v>
      </c>
      <c r="AM18" s="23">
        <f t="shared" si="7"/>
        <v>0</v>
      </c>
      <c r="AN18" s="23">
        <f t="shared" si="7"/>
        <v>0</v>
      </c>
      <c r="AO18" s="23">
        <f t="shared" si="7"/>
        <v>0</v>
      </c>
      <c r="AP18" s="23">
        <f t="shared" si="7"/>
        <v>0</v>
      </c>
      <c r="AQ18" s="23">
        <f t="shared" si="7"/>
        <v>0</v>
      </c>
      <c r="AR18" s="23">
        <f t="shared" si="7"/>
        <v>0</v>
      </c>
      <c r="AS18" s="23">
        <f t="shared" si="7"/>
        <v>0</v>
      </c>
      <c r="AT18" s="23">
        <f t="shared" si="7"/>
        <v>0</v>
      </c>
      <c r="AU18" s="23">
        <f t="shared" si="7"/>
        <v>0</v>
      </c>
      <c r="AV18" s="23">
        <f t="shared" si="7"/>
        <v>0</v>
      </c>
      <c r="AW18" s="23">
        <f t="shared" si="7"/>
        <v>0</v>
      </c>
      <c r="AX18" s="23">
        <f t="shared" si="7"/>
        <v>0</v>
      </c>
      <c r="AY18" s="6"/>
      <c r="AZ18" s="23">
        <f t="shared" si="7"/>
        <v>0</v>
      </c>
      <c r="BA18" s="6"/>
      <c r="BC18" s="6"/>
      <c r="BD18" s="64">
        <f t="shared" si="8"/>
        <v>45840</v>
      </c>
      <c r="BE18" s="40" t="str">
        <f t="shared" si="9"/>
        <v>HSBC HKD SA-2501-006</v>
      </c>
      <c r="BF18" s="40"/>
      <c r="BG18" s="40">
        <f t="shared" si="10"/>
        <v>2</v>
      </c>
      <c r="BH18" s="56">
        <f>IF(C18="","",IF($C$4="","",VLOOKUP($C$4,'Chart of Accounts'!$A:$B,2,FALSE)))</f>
        <v>1020</v>
      </c>
      <c r="BI18" s="60">
        <f>IF(C18="","",VLOOKUP(C:C,'Chart of Accounts'!$A:$B,2,FALSE))</f>
        <v>2400</v>
      </c>
      <c r="BJ18" s="40" t="str">
        <f t="shared" si="14"/>
        <v>Director's C/A:ATM WITHDRAWAL</v>
      </c>
      <c r="BK18" s="58">
        <f t="shared" si="11"/>
        <v>-20000</v>
      </c>
      <c r="BL18" s="62">
        <f t="shared" si="15"/>
        <v>20000</v>
      </c>
      <c r="BM18" s="6"/>
    </row>
    <row r="19" spans="1:65" x14ac:dyDescent="0.25">
      <c r="A19" s="1" t="s">
        <v>118</v>
      </c>
      <c r="B19" s="31">
        <v>45861</v>
      </c>
      <c r="C19" s="1" t="s">
        <v>168</v>
      </c>
      <c r="D19" s="1" t="s">
        <v>166</v>
      </c>
      <c r="I19" s="23"/>
      <c r="J19" s="23">
        <v>-100</v>
      </c>
      <c r="K19" s="34">
        <f t="shared" si="12"/>
        <v>-17670.960000000014</v>
      </c>
      <c r="L19" s="23"/>
      <c r="M19" s="8">
        <f t="shared" si="13"/>
        <v>0</v>
      </c>
      <c r="N19" s="23"/>
      <c r="O19" s="23">
        <f t="shared" si="0"/>
        <v>0</v>
      </c>
      <c r="P19" s="23"/>
      <c r="Q19" s="23">
        <f t="shared" si="1"/>
        <v>0</v>
      </c>
      <c r="R19" s="23">
        <f t="shared" si="1"/>
        <v>0</v>
      </c>
      <c r="T19" s="23">
        <f t="shared" si="2"/>
        <v>0</v>
      </c>
      <c r="U19" s="23"/>
      <c r="V19" s="23">
        <f t="shared" si="3"/>
        <v>0</v>
      </c>
      <c r="W19" s="23">
        <f t="shared" si="3"/>
        <v>0</v>
      </c>
      <c r="X19" s="23">
        <f t="shared" si="3"/>
        <v>0</v>
      </c>
      <c r="Y19" s="23"/>
      <c r="Z19" s="23">
        <f t="shared" si="4"/>
        <v>0</v>
      </c>
      <c r="AA19" s="23">
        <f t="shared" si="4"/>
        <v>0</v>
      </c>
      <c r="AB19" s="23"/>
      <c r="AC19" s="23">
        <f t="shared" si="5"/>
        <v>0</v>
      </c>
      <c r="AD19" s="23"/>
      <c r="AE19" s="23">
        <f t="shared" si="6"/>
        <v>0</v>
      </c>
      <c r="AF19" s="23">
        <f t="shared" si="6"/>
        <v>0</v>
      </c>
      <c r="AG19" s="23">
        <f t="shared" si="6"/>
        <v>0</v>
      </c>
      <c r="AH19" s="23"/>
      <c r="AI19" s="23">
        <f t="shared" si="7"/>
        <v>0</v>
      </c>
      <c r="AJ19" s="23">
        <f t="shared" si="7"/>
        <v>-100</v>
      </c>
      <c r="AK19" s="23">
        <f t="shared" si="7"/>
        <v>0</v>
      </c>
      <c r="AL19" s="23">
        <f t="shared" si="7"/>
        <v>0</v>
      </c>
      <c r="AM19" s="23">
        <f t="shared" si="7"/>
        <v>0</v>
      </c>
      <c r="AN19" s="23">
        <f t="shared" si="7"/>
        <v>0</v>
      </c>
      <c r="AO19" s="23">
        <f t="shared" si="7"/>
        <v>0</v>
      </c>
      <c r="AP19" s="23">
        <f t="shared" si="7"/>
        <v>0</v>
      </c>
      <c r="AQ19" s="23">
        <f t="shared" si="7"/>
        <v>0</v>
      </c>
      <c r="AR19" s="23">
        <f t="shared" si="7"/>
        <v>0</v>
      </c>
      <c r="AS19" s="23">
        <f t="shared" si="7"/>
        <v>0</v>
      </c>
      <c r="AT19" s="23">
        <f t="shared" si="7"/>
        <v>0</v>
      </c>
      <c r="AU19" s="23">
        <f t="shared" si="7"/>
        <v>0</v>
      </c>
      <c r="AV19" s="23">
        <f t="shared" si="7"/>
        <v>0</v>
      </c>
      <c r="AW19" s="23">
        <f t="shared" si="7"/>
        <v>0</v>
      </c>
      <c r="AX19" s="23">
        <f t="shared" si="7"/>
        <v>0</v>
      </c>
      <c r="AY19" s="6"/>
      <c r="AZ19" s="23">
        <f t="shared" si="7"/>
        <v>0</v>
      </c>
      <c r="BA19" s="6"/>
      <c r="BC19" s="6"/>
      <c r="BD19" s="64">
        <f t="shared" si="8"/>
        <v>45861</v>
      </c>
      <c r="BE19" s="40" t="str">
        <f t="shared" si="9"/>
        <v>HSBC HKD SA-2501-007</v>
      </c>
      <c r="BF19" s="40"/>
      <c r="BG19" s="40">
        <f t="shared" si="10"/>
        <v>2</v>
      </c>
      <c r="BH19" s="56">
        <f>IF(C19="","",IF($C$4="","",VLOOKUP($C$4,'Chart of Accounts'!$A:$B,2,FALSE)))</f>
        <v>1020</v>
      </c>
      <c r="BI19" s="60">
        <f>IF(C19="","",VLOOKUP(C:C,'Chart of Accounts'!$A:$B,2,FALSE))</f>
        <v>6200</v>
      </c>
      <c r="BJ19" s="40" t="str">
        <f t="shared" si="14"/>
        <v>Bank charges:175-220185-833</v>
      </c>
      <c r="BK19" s="58">
        <f t="shared" si="11"/>
        <v>-100</v>
      </c>
      <c r="BL19" s="62">
        <f t="shared" si="15"/>
        <v>100</v>
      </c>
      <c r="BM19" s="6"/>
    </row>
    <row r="20" spans="1:65" x14ac:dyDescent="0.25">
      <c r="A20" s="1" t="s">
        <v>119</v>
      </c>
      <c r="B20" s="31">
        <v>45866</v>
      </c>
      <c r="C20" s="1" t="s">
        <v>54</v>
      </c>
      <c r="D20" s="1" t="s">
        <v>157</v>
      </c>
      <c r="I20" s="23">
        <v>1.21</v>
      </c>
      <c r="J20" s="23"/>
      <c r="K20" s="34">
        <f t="shared" si="12"/>
        <v>-17669.750000000015</v>
      </c>
      <c r="L20" s="23"/>
      <c r="M20" s="8">
        <f t="shared" si="13"/>
        <v>0</v>
      </c>
      <c r="N20" s="23"/>
      <c r="O20" s="23">
        <f t="shared" si="0"/>
        <v>0</v>
      </c>
      <c r="P20" s="23"/>
      <c r="Q20" s="23">
        <f t="shared" si="1"/>
        <v>0</v>
      </c>
      <c r="R20" s="23">
        <f t="shared" si="1"/>
        <v>0</v>
      </c>
      <c r="T20" s="23">
        <f t="shared" si="2"/>
        <v>0</v>
      </c>
      <c r="U20" s="23"/>
      <c r="V20" s="23">
        <f t="shared" si="3"/>
        <v>0</v>
      </c>
      <c r="W20" s="23">
        <f t="shared" si="3"/>
        <v>0</v>
      </c>
      <c r="X20" s="23">
        <f t="shared" si="3"/>
        <v>0</v>
      </c>
      <c r="Y20" s="23"/>
      <c r="Z20" s="23">
        <f t="shared" si="4"/>
        <v>0</v>
      </c>
      <c r="AA20" s="23">
        <f t="shared" si="4"/>
        <v>0</v>
      </c>
      <c r="AB20" s="23"/>
      <c r="AC20" s="23">
        <f t="shared" si="5"/>
        <v>1.21</v>
      </c>
      <c r="AD20" s="23"/>
      <c r="AE20" s="23">
        <f t="shared" si="6"/>
        <v>0</v>
      </c>
      <c r="AF20" s="23">
        <f t="shared" si="6"/>
        <v>0</v>
      </c>
      <c r="AG20" s="23">
        <f t="shared" si="6"/>
        <v>0</v>
      </c>
      <c r="AH20" s="23"/>
      <c r="AI20" s="23">
        <f t="shared" si="7"/>
        <v>0</v>
      </c>
      <c r="AJ20" s="23">
        <f t="shared" si="7"/>
        <v>0</v>
      </c>
      <c r="AK20" s="23">
        <f t="shared" si="7"/>
        <v>0</v>
      </c>
      <c r="AL20" s="23">
        <f t="shared" si="7"/>
        <v>0</v>
      </c>
      <c r="AM20" s="23">
        <f t="shared" si="7"/>
        <v>0</v>
      </c>
      <c r="AN20" s="23">
        <f t="shared" si="7"/>
        <v>0</v>
      </c>
      <c r="AO20" s="23">
        <f t="shared" si="7"/>
        <v>0</v>
      </c>
      <c r="AP20" s="23">
        <f t="shared" si="7"/>
        <v>0</v>
      </c>
      <c r="AQ20" s="23">
        <f t="shared" si="7"/>
        <v>0</v>
      </c>
      <c r="AR20" s="23">
        <f t="shared" si="7"/>
        <v>0</v>
      </c>
      <c r="AS20" s="23">
        <f t="shared" si="7"/>
        <v>0</v>
      </c>
      <c r="AT20" s="23">
        <f t="shared" si="7"/>
        <v>0</v>
      </c>
      <c r="AU20" s="23">
        <f t="shared" si="7"/>
        <v>0</v>
      </c>
      <c r="AV20" s="23">
        <f t="shared" si="7"/>
        <v>0</v>
      </c>
      <c r="AW20" s="23">
        <f t="shared" si="7"/>
        <v>0</v>
      </c>
      <c r="AX20" s="23">
        <f t="shared" si="7"/>
        <v>0</v>
      </c>
      <c r="AY20" s="6"/>
      <c r="AZ20" s="23">
        <f t="shared" si="7"/>
        <v>0</v>
      </c>
      <c r="BA20" s="6"/>
      <c r="BC20" s="6"/>
      <c r="BD20" s="64">
        <f t="shared" si="8"/>
        <v>45866</v>
      </c>
      <c r="BE20" s="40" t="str">
        <f t="shared" si="9"/>
        <v>HSBC HKD SA-2501-008</v>
      </c>
      <c r="BF20" s="40"/>
      <c r="BG20" s="40">
        <f t="shared" si="10"/>
        <v>2</v>
      </c>
      <c r="BH20" s="56">
        <f>IF(C20="","",IF($C$4="","",VLOOKUP($C$4,'Chart of Accounts'!$A:$B,2,FALSE)))</f>
        <v>1020</v>
      </c>
      <c r="BI20" s="60">
        <f>IF(C20="","",VLOOKUP(C:C,'Chart of Accounts'!$A:$B,2,FALSE))</f>
        <v>4100</v>
      </c>
      <c r="BJ20" s="40" t="str">
        <f t="shared" si="14"/>
        <v>Bank interest income:CREDIT INTEREST</v>
      </c>
      <c r="BK20" s="58">
        <f t="shared" si="11"/>
        <v>1.21</v>
      </c>
      <c r="BL20" s="62">
        <f t="shared" si="15"/>
        <v>-1.21</v>
      </c>
      <c r="BM20" s="6"/>
    </row>
    <row r="21" spans="1:65" x14ac:dyDescent="0.25">
      <c r="A21" s="1" t="s">
        <v>120</v>
      </c>
      <c r="B21" s="31">
        <v>45897</v>
      </c>
      <c r="C21" s="1" t="s">
        <v>54</v>
      </c>
      <c r="D21" s="1" t="s">
        <v>157</v>
      </c>
      <c r="I21" s="23">
        <v>1.22</v>
      </c>
      <c r="J21" s="23"/>
      <c r="K21" s="34">
        <f t="shared" si="12"/>
        <v>-17668.530000000013</v>
      </c>
      <c r="L21" s="23"/>
      <c r="M21" s="8">
        <f t="shared" si="13"/>
        <v>0</v>
      </c>
      <c r="N21" s="23"/>
      <c r="O21" s="23">
        <f t="shared" si="0"/>
        <v>0</v>
      </c>
      <c r="P21" s="23"/>
      <c r="Q21" s="23">
        <f t="shared" si="1"/>
        <v>0</v>
      </c>
      <c r="R21" s="23">
        <f t="shared" si="1"/>
        <v>0</v>
      </c>
      <c r="T21" s="23">
        <f t="shared" si="2"/>
        <v>0</v>
      </c>
      <c r="U21" s="23"/>
      <c r="V21" s="23">
        <f t="shared" si="3"/>
        <v>0</v>
      </c>
      <c r="W21" s="23">
        <f t="shared" si="3"/>
        <v>0</v>
      </c>
      <c r="X21" s="23">
        <f t="shared" si="3"/>
        <v>0</v>
      </c>
      <c r="Y21" s="23"/>
      <c r="Z21" s="23">
        <f t="shared" si="4"/>
        <v>0</v>
      </c>
      <c r="AA21" s="23">
        <f t="shared" si="4"/>
        <v>0</v>
      </c>
      <c r="AB21" s="23"/>
      <c r="AC21" s="23">
        <f t="shared" si="5"/>
        <v>1.22</v>
      </c>
      <c r="AD21" s="23"/>
      <c r="AE21" s="23">
        <f t="shared" si="6"/>
        <v>0</v>
      </c>
      <c r="AF21" s="23">
        <f t="shared" si="6"/>
        <v>0</v>
      </c>
      <c r="AG21" s="23">
        <f t="shared" si="6"/>
        <v>0</v>
      </c>
      <c r="AH21" s="23"/>
      <c r="AI21" s="23">
        <f t="shared" si="7"/>
        <v>0</v>
      </c>
      <c r="AJ21" s="23">
        <f t="shared" si="7"/>
        <v>0</v>
      </c>
      <c r="AK21" s="23">
        <f t="shared" si="7"/>
        <v>0</v>
      </c>
      <c r="AL21" s="23">
        <f t="shared" si="7"/>
        <v>0</v>
      </c>
      <c r="AM21" s="23">
        <f t="shared" si="7"/>
        <v>0</v>
      </c>
      <c r="AN21" s="23">
        <f t="shared" si="7"/>
        <v>0</v>
      </c>
      <c r="AO21" s="23">
        <f t="shared" si="7"/>
        <v>0</v>
      </c>
      <c r="AP21" s="23">
        <f t="shared" si="7"/>
        <v>0</v>
      </c>
      <c r="AQ21" s="23">
        <f t="shared" si="7"/>
        <v>0</v>
      </c>
      <c r="AR21" s="23">
        <f t="shared" si="7"/>
        <v>0</v>
      </c>
      <c r="AS21" s="23">
        <f t="shared" si="7"/>
        <v>0</v>
      </c>
      <c r="AT21" s="23">
        <f t="shared" si="7"/>
        <v>0</v>
      </c>
      <c r="AU21" s="23">
        <f t="shared" si="7"/>
        <v>0</v>
      </c>
      <c r="AV21" s="23">
        <f t="shared" si="7"/>
        <v>0</v>
      </c>
      <c r="AW21" s="23">
        <f t="shared" si="7"/>
        <v>0</v>
      </c>
      <c r="AX21" s="23">
        <f t="shared" si="7"/>
        <v>0</v>
      </c>
      <c r="AY21" s="6"/>
      <c r="AZ21" s="23">
        <f t="shared" si="7"/>
        <v>0</v>
      </c>
      <c r="BA21" s="6"/>
      <c r="BC21" s="6"/>
      <c r="BD21" s="64">
        <f t="shared" si="8"/>
        <v>45897</v>
      </c>
      <c r="BE21" s="40" t="str">
        <f t="shared" si="9"/>
        <v>HSBC HKD SA-2501-009</v>
      </c>
      <c r="BF21" s="40"/>
      <c r="BG21" s="40">
        <f t="shared" si="10"/>
        <v>2</v>
      </c>
      <c r="BH21" s="56">
        <f>IF(C21="","",IF($C$4="","",VLOOKUP($C$4,'Chart of Accounts'!$A:$B,2,FALSE)))</f>
        <v>1020</v>
      </c>
      <c r="BI21" s="60">
        <f>IF(C21="","",VLOOKUP(C:C,'Chart of Accounts'!$A:$B,2,FALSE))</f>
        <v>4100</v>
      </c>
      <c r="BJ21" s="40" t="str">
        <f t="shared" si="14"/>
        <v>Bank interest income:CREDIT INTEREST</v>
      </c>
      <c r="BK21" s="58">
        <f t="shared" si="11"/>
        <v>1.22</v>
      </c>
      <c r="BL21" s="62">
        <f t="shared" si="15"/>
        <v>-1.22</v>
      </c>
      <c r="BM21" s="6"/>
    </row>
    <row r="22" spans="1:65" x14ac:dyDescent="0.25">
      <c r="A22" s="1" t="s">
        <v>121</v>
      </c>
      <c r="B22" s="31">
        <v>45927</v>
      </c>
      <c r="C22" s="1" t="s">
        <v>54</v>
      </c>
      <c r="D22" s="1" t="s">
        <v>157</v>
      </c>
      <c r="I22" s="23">
        <v>1.03</v>
      </c>
      <c r="J22" s="23"/>
      <c r="K22" s="34">
        <f t="shared" si="12"/>
        <v>-17667.500000000015</v>
      </c>
      <c r="L22" s="23"/>
      <c r="M22" s="8">
        <f t="shared" si="13"/>
        <v>0</v>
      </c>
      <c r="N22" s="23"/>
      <c r="O22" s="23">
        <f t="shared" si="0"/>
        <v>0</v>
      </c>
      <c r="P22" s="23"/>
      <c r="Q22" s="23">
        <f t="shared" si="1"/>
        <v>0</v>
      </c>
      <c r="R22" s="23">
        <f t="shared" si="1"/>
        <v>0</v>
      </c>
      <c r="T22" s="23">
        <f t="shared" si="2"/>
        <v>0</v>
      </c>
      <c r="U22" s="23"/>
      <c r="V22" s="23">
        <f t="shared" si="3"/>
        <v>0</v>
      </c>
      <c r="W22" s="23">
        <f t="shared" si="3"/>
        <v>0</v>
      </c>
      <c r="X22" s="23">
        <f t="shared" si="3"/>
        <v>0</v>
      </c>
      <c r="Y22" s="23"/>
      <c r="Z22" s="23">
        <f t="shared" si="4"/>
        <v>0</v>
      </c>
      <c r="AA22" s="23">
        <f t="shared" si="4"/>
        <v>0</v>
      </c>
      <c r="AB22" s="23"/>
      <c r="AC22" s="23">
        <f t="shared" si="5"/>
        <v>1.03</v>
      </c>
      <c r="AD22" s="23"/>
      <c r="AE22" s="23">
        <f t="shared" si="6"/>
        <v>0</v>
      </c>
      <c r="AF22" s="23">
        <f t="shared" si="6"/>
        <v>0</v>
      </c>
      <c r="AG22" s="23">
        <f t="shared" si="6"/>
        <v>0</v>
      </c>
      <c r="AH22" s="23"/>
      <c r="AI22" s="23">
        <f t="shared" si="7"/>
        <v>0</v>
      </c>
      <c r="AJ22" s="23">
        <f t="shared" si="7"/>
        <v>0</v>
      </c>
      <c r="AK22" s="23">
        <f t="shared" si="7"/>
        <v>0</v>
      </c>
      <c r="AL22" s="23">
        <f t="shared" si="7"/>
        <v>0</v>
      </c>
      <c r="AM22" s="23">
        <f t="shared" si="7"/>
        <v>0</v>
      </c>
      <c r="AN22" s="23">
        <f t="shared" si="7"/>
        <v>0</v>
      </c>
      <c r="AO22" s="23">
        <f t="shared" si="7"/>
        <v>0</v>
      </c>
      <c r="AP22" s="23">
        <f t="shared" si="7"/>
        <v>0</v>
      </c>
      <c r="AQ22" s="23">
        <f t="shared" si="7"/>
        <v>0</v>
      </c>
      <c r="AR22" s="23">
        <f t="shared" si="7"/>
        <v>0</v>
      </c>
      <c r="AS22" s="23">
        <f t="shared" si="7"/>
        <v>0</v>
      </c>
      <c r="AT22" s="23">
        <f t="shared" si="7"/>
        <v>0</v>
      </c>
      <c r="AU22" s="23">
        <f t="shared" si="7"/>
        <v>0</v>
      </c>
      <c r="AV22" s="23">
        <f t="shared" si="7"/>
        <v>0</v>
      </c>
      <c r="AW22" s="23">
        <f t="shared" si="7"/>
        <v>0</v>
      </c>
      <c r="AX22" s="23">
        <f t="shared" si="7"/>
        <v>0</v>
      </c>
      <c r="AY22" s="6"/>
      <c r="AZ22" s="23">
        <f t="shared" si="7"/>
        <v>0</v>
      </c>
      <c r="BA22" s="6"/>
      <c r="BC22" s="6"/>
      <c r="BD22" s="64">
        <f t="shared" si="8"/>
        <v>45927</v>
      </c>
      <c r="BE22" s="40" t="str">
        <f t="shared" si="9"/>
        <v>HSBC HKD SA-2501-010</v>
      </c>
      <c r="BF22" s="40"/>
      <c r="BG22" s="40">
        <f t="shared" si="10"/>
        <v>2</v>
      </c>
      <c r="BH22" s="56">
        <f>IF(C22="","",IF($C$4="","",VLOOKUP($C$4,'Chart of Accounts'!$A:$B,2,FALSE)))</f>
        <v>1020</v>
      </c>
      <c r="BI22" s="60">
        <f>IF(C22="","",VLOOKUP(C:C,'Chart of Accounts'!$A:$B,2,FALSE))</f>
        <v>4100</v>
      </c>
      <c r="BJ22" s="40" t="str">
        <f t="shared" si="14"/>
        <v>Bank interest income:CREDIT INTEREST</v>
      </c>
      <c r="BK22" s="58">
        <f t="shared" si="11"/>
        <v>1.03</v>
      </c>
      <c r="BL22" s="62">
        <f t="shared" si="15"/>
        <v>-1.03</v>
      </c>
      <c r="BM22" s="6"/>
    </row>
    <row r="23" spans="1:65" x14ac:dyDescent="0.25">
      <c r="A23" s="1" t="s">
        <v>122</v>
      </c>
      <c r="B23" s="31">
        <v>45957</v>
      </c>
      <c r="C23" s="1" t="s">
        <v>44</v>
      </c>
      <c r="D23" s="1" t="s">
        <v>164</v>
      </c>
      <c r="I23" s="23"/>
      <c r="J23" s="23">
        <v>-5000</v>
      </c>
      <c r="K23" s="34">
        <f t="shared" si="12"/>
        <v>-22667.500000000015</v>
      </c>
      <c r="L23" s="23"/>
      <c r="M23" s="8">
        <f t="shared" si="13"/>
        <v>0</v>
      </c>
      <c r="N23" s="23"/>
      <c r="O23" s="23">
        <f t="shared" si="0"/>
        <v>0</v>
      </c>
      <c r="P23" s="23"/>
      <c r="Q23" s="23">
        <f t="shared" si="1"/>
        <v>0</v>
      </c>
      <c r="R23" s="23">
        <f t="shared" si="1"/>
        <v>0</v>
      </c>
      <c r="T23" s="23">
        <f t="shared" si="2"/>
        <v>-5000</v>
      </c>
      <c r="U23" s="23"/>
      <c r="V23" s="23">
        <f t="shared" si="3"/>
        <v>0</v>
      </c>
      <c r="W23" s="23">
        <f t="shared" si="3"/>
        <v>0</v>
      </c>
      <c r="X23" s="23">
        <f t="shared" si="3"/>
        <v>0</v>
      </c>
      <c r="Y23" s="23"/>
      <c r="Z23" s="23">
        <f t="shared" si="4"/>
        <v>0</v>
      </c>
      <c r="AA23" s="23">
        <f t="shared" si="4"/>
        <v>0</v>
      </c>
      <c r="AB23" s="23"/>
      <c r="AC23" s="23">
        <f t="shared" si="5"/>
        <v>0</v>
      </c>
      <c r="AD23" s="23"/>
      <c r="AE23" s="23">
        <f t="shared" si="6"/>
        <v>0</v>
      </c>
      <c r="AF23" s="23">
        <f t="shared" si="6"/>
        <v>0</v>
      </c>
      <c r="AG23" s="23">
        <f t="shared" si="6"/>
        <v>0</v>
      </c>
      <c r="AH23" s="23"/>
      <c r="AI23" s="23">
        <f t="shared" ref="AI23:AZ25" si="16">IF($C23=AI$9,$I23+$J23,0)</f>
        <v>0</v>
      </c>
      <c r="AJ23" s="23">
        <f t="shared" si="16"/>
        <v>0</v>
      </c>
      <c r="AK23" s="23">
        <f t="shared" si="16"/>
        <v>0</v>
      </c>
      <c r="AL23" s="23">
        <f t="shared" si="16"/>
        <v>0</v>
      </c>
      <c r="AM23" s="23">
        <f t="shared" si="16"/>
        <v>0</v>
      </c>
      <c r="AN23" s="23">
        <f t="shared" si="16"/>
        <v>0</v>
      </c>
      <c r="AO23" s="23">
        <f t="shared" si="16"/>
        <v>0</v>
      </c>
      <c r="AP23" s="23">
        <f t="shared" si="16"/>
        <v>0</v>
      </c>
      <c r="AQ23" s="23">
        <f t="shared" si="16"/>
        <v>0</v>
      </c>
      <c r="AR23" s="23">
        <f t="shared" si="16"/>
        <v>0</v>
      </c>
      <c r="AS23" s="23">
        <f t="shared" si="16"/>
        <v>0</v>
      </c>
      <c r="AT23" s="23">
        <f t="shared" si="16"/>
        <v>0</v>
      </c>
      <c r="AU23" s="23">
        <f t="shared" si="16"/>
        <v>0</v>
      </c>
      <c r="AV23" s="23">
        <f t="shared" si="16"/>
        <v>0</v>
      </c>
      <c r="AW23" s="23">
        <f t="shared" si="16"/>
        <v>0</v>
      </c>
      <c r="AX23" s="23">
        <f t="shared" si="16"/>
        <v>0</v>
      </c>
      <c r="AY23" s="6"/>
      <c r="AZ23" s="23">
        <f t="shared" si="16"/>
        <v>0</v>
      </c>
      <c r="BA23" s="6"/>
      <c r="BC23" s="6"/>
      <c r="BD23" s="64">
        <f t="shared" si="8"/>
        <v>45957</v>
      </c>
      <c r="BE23" s="40" t="str">
        <f t="shared" si="9"/>
        <v>HSBC HKD SA-2501-011</v>
      </c>
      <c r="BF23" s="40"/>
      <c r="BG23" s="40">
        <f t="shared" si="10"/>
        <v>2</v>
      </c>
      <c r="BH23" s="56">
        <f>IF(C23="","",IF($C$4="","",VLOOKUP($C$4,'Chart of Accounts'!$A:$B,2,FALSE)))</f>
        <v>1020</v>
      </c>
      <c r="BI23" s="60">
        <f>IF(C23="","",VLOOKUP(C:C,'Chart of Accounts'!$A:$B,2,FALSE))</f>
        <v>2400</v>
      </c>
      <c r="BJ23" s="40" t="str">
        <f t="shared" si="14"/>
        <v>Director's C/A:ATM WITHDRAWAL</v>
      </c>
      <c r="BK23" s="58">
        <f t="shared" si="11"/>
        <v>-5000</v>
      </c>
      <c r="BL23" s="62">
        <f t="shared" si="15"/>
        <v>5000</v>
      </c>
      <c r="BM23" s="6"/>
    </row>
    <row r="24" spans="1:65" x14ac:dyDescent="0.25">
      <c r="A24" s="1" t="s">
        <v>123</v>
      </c>
      <c r="B24" s="31">
        <v>45958</v>
      </c>
      <c r="C24" s="1" t="s">
        <v>54</v>
      </c>
      <c r="D24" s="1" t="s">
        <v>157</v>
      </c>
      <c r="I24" s="23">
        <v>0.59</v>
      </c>
      <c r="J24" s="23"/>
      <c r="K24" s="34">
        <f t="shared" si="12"/>
        <v>-22666.910000000014</v>
      </c>
      <c r="L24" s="23"/>
      <c r="M24" s="8">
        <f t="shared" si="13"/>
        <v>0</v>
      </c>
      <c r="N24" s="23"/>
      <c r="O24" s="23">
        <f t="shared" si="0"/>
        <v>0</v>
      </c>
      <c r="P24" s="23"/>
      <c r="Q24" s="23">
        <f t="shared" si="1"/>
        <v>0</v>
      </c>
      <c r="R24" s="23">
        <f t="shared" si="1"/>
        <v>0</v>
      </c>
      <c r="T24" s="23">
        <f t="shared" si="2"/>
        <v>0</v>
      </c>
      <c r="U24" s="23"/>
      <c r="V24" s="23">
        <f t="shared" si="3"/>
        <v>0</v>
      </c>
      <c r="W24" s="23">
        <f t="shared" si="3"/>
        <v>0</v>
      </c>
      <c r="X24" s="23">
        <f t="shared" si="3"/>
        <v>0</v>
      </c>
      <c r="Y24" s="23"/>
      <c r="Z24" s="23">
        <f t="shared" si="4"/>
        <v>0</v>
      </c>
      <c r="AA24" s="23">
        <f t="shared" si="4"/>
        <v>0</v>
      </c>
      <c r="AB24" s="23"/>
      <c r="AC24" s="23">
        <f t="shared" si="5"/>
        <v>0.59</v>
      </c>
      <c r="AD24" s="23"/>
      <c r="AE24" s="23">
        <f t="shared" si="6"/>
        <v>0</v>
      </c>
      <c r="AF24" s="23">
        <f t="shared" si="6"/>
        <v>0</v>
      </c>
      <c r="AG24" s="23">
        <f t="shared" si="6"/>
        <v>0</v>
      </c>
      <c r="AH24" s="23"/>
      <c r="AI24" s="23">
        <f t="shared" si="16"/>
        <v>0</v>
      </c>
      <c r="AJ24" s="23">
        <f t="shared" si="16"/>
        <v>0</v>
      </c>
      <c r="AK24" s="23">
        <f t="shared" si="16"/>
        <v>0</v>
      </c>
      <c r="AL24" s="23">
        <f t="shared" si="16"/>
        <v>0</v>
      </c>
      <c r="AM24" s="23">
        <f t="shared" si="16"/>
        <v>0</v>
      </c>
      <c r="AN24" s="23">
        <f t="shared" si="16"/>
        <v>0</v>
      </c>
      <c r="AO24" s="23">
        <f t="shared" si="16"/>
        <v>0</v>
      </c>
      <c r="AP24" s="23">
        <f t="shared" si="16"/>
        <v>0</v>
      </c>
      <c r="AQ24" s="23">
        <f t="shared" si="16"/>
        <v>0</v>
      </c>
      <c r="AR24" s="23">
        <f t="shared" si="16"/>
        <v>0</v>
      </c>
      <c r="AS24" s="23">
        <f t="shared" si="16"/>
        <v>0</v>
      </c>
      <c r="AT24" s="23">
        <f t="shared" si="16"/>
        <v>0</v>
      </c>
      <c r="AU24" s="23">
        <f t="shared" si="16"/>
        <v>0</v>
      </c>
      <c r="AV24" s="23">
        <f t="shared" si="16"/>
        <v>0</v>
      </c>
      <c r="AW24" s="23">
        <f t="shared" si="16"/>
        <v>0</v>
      </c>
      <c r="AX24" s="23">
        <f t="shared" si="16"/>
        <v>0</v>
      </c>
      <c r="AY24" s="6"/>
      <c r="AZ24" s="23">
        <f t="shared" si="16"/>
        <v>0</v>
      </c>
      <c r="BA24" s="6"/>
      <c r="BC24" s="6"/>
      <c r="BD24" s="64">
        <f t="shared" si="8"/>
        <v>45958</v>
      </c>
      <c r="BE24" s="40" t="str">
        <f t="shared" si="9"/>
        <v>HSBC HKD SA-2501-012</v>
      </c>
      <c r="BF24" s="40"/>
      <c r="BG24" s="40">
        <f t="shared" si="10"/>
        <v>2</v>
      </c>
      <c r="BH24" s="56">
        <f>IF(C24="","",IF($C$4="","",VLOOKUP($C$4,'Chart of Accounts'!$A:$B,2,FALSE)))</f>
        <v>1020</v>
      </c>
      <c r="BI24" s="60">
        <f>IF(C24="","",VLOOKUP(C:C,'Chart of Accounts'!$A:$B,2,FALSE))</f>
        <v>4100</v>
      </c>
      <c r="BJ24" s="40" t="str">
        <f t="shared" si="14"/>
        <v>Bank interest income:CREDIT INTEREST</v>
      </c>
      <c r="BK24" s="58">
        <f t="shared" si="11"/>
        <v>0.59</v>
      </c>
      <c r="BL24" s="62">
        <f t="shared" si="15"/>
        <v>-0.59</v>
      </c>
      <c r="BM24" s="6"/>
    </row>
    <row r="25" spans="1:65" x14ac:dyDescent="0.25">
      <c r="A25" s="1" t="s">
        <v>124</v>
      </c>
      <c r="B25" s="31">
        <v>45992</v>
      </c>
      <c r="C25" s="1" t="s">
        <v>168</v>
      </c>
      <c r="D25" s="1" t="s">
        <v>162</v>
      </c>
      <c r="I25" s="23"/>
      <c r="J25" s="23">
        <v>-150</v>
      </c>
      <c r="K25" s="34">
        <f t="shared" si="12"/>
        <v>-22816.910000000014</v>
      </c>
      <c r="L25" s="23"/>
      <c r="M25" s="8">
        <f t="shared" si="13"/>
        <v>0</v>
      </c>
      <c r="N25" s="23"/>
      <c r="O25" s="23">
        <f t="shared" si="0"/>
        <v>0</v>
      </c>
      <c r="P25" s="23"/>
      <c r="Q25" s="23">
        <f t="shared" si="1"/>
        <v>0</v>
      </c>
      <c r="R25" s="23">
        <f t="shared" si="1"/>
        <v>0</v>
      </c>
      <c r="T25" s="23">
        <f t="shared" si="2"/>
        <v>0</v>
      </c>
      <c r="U25" s="23"/>
      <c r="V25" s="23">
        <f t="shared" si="3"/>
        <v>0</v>
      </c>
      <c r="W25" s="23">
        <f t="shared" si="3"/>
        <v>0</v>
      </c>
      <c r="X25" s="23">
        <f t="shared" si="3"/>
        <v>0</v>
      </c>
      <c r="Y25" s="23"/>
      <c r="Z25" s="23">
        <f t="shared" si="4"/>
        <v>0</v>
      </c>
      <c r="AA25" s="23">
        <f t="shared" si="4"/>
        <v>0</v>
      </c>
      <c r="AB25" s="23"/>
      <c r="AC25" s="23">
        <f t="shared" si="5"/>
        <v>0</v>
      </c>
      <c r="AD25" s="23"/>
      <c r="AE25" s="23">
        <f t="shared" si="6"/>
        <v>0</v>
      </c>
      <c r="AF25" s="23">
        <f t="shared" si="6"/>
        <v>0</v>
      </c>
      <c r="AG25" s="23">
        <f t="shared" si="6"/>
        <v>0</v>
      </c>
      <c r="AH25" s="23"/>
      <c r="AI25" s="23">
        <f t="shared" si="16"/>
        <v>0</v>
      </c>
      <c r="AJ25" s="23">
        <f t="shared" si="16"/>
        <v>-150</v>
      </c>
      <c r="AK25" s="23">
        <f t="shared" si="16"/>
        <v>0</v>
      </c>
      <c r="AL25" s="23">
        <f t="shared" si="16"/>
        <v>0</v>
      </c>
      <c r="AM25" s="23">
        <f t="shared" si="16"/>
        <v>0</v>
      </c>
      <c r="AN25" s="23">
        <f t="shared" si="16"/>
        <v>0</v>
      </c>
      <c r="AO25" s="23">
        <f t="shared" si="16"/>
        <v>0</v>
      </c>
      <c r="AP25" s="23">
        <f t="shared" si="16"/>
        <v>0</v>
      </c>
      <c r="AQ25" s="23">
        <f t="shared" si="16"/>
        <v>0</v>
      </c>
      <c r="AR25" s="23">
        <f t="shared" si="16"/>
        <v>0</v>
      </c>
      <c r="AS25" s="23">
        <f t="shared" si="16"/>
        <v>0</v>
      </c>
      <c r="AT25" s="23">
        <f t="shared" si="16"/>
        <v>0</v>
      </c>
      <c r="AU25" s="23">
        <f t="shared" si="16"/>
        <v>0</v>
      </c>
      <c r="AV25" s="23">
        <f t="shared" si="16"/>
        <v>0</v>
      </c>
      <c r="AW25" s="23">
        <f t="shared" si="16"/>
        <v>0</v>
      </c>
      <c r="AX25" s="23">
        <f t="shared" si="16"/>
        <v>0</v>
      </c>
      <c r="AY25" s="6"/>
      <c r="AZ25" s="23">
        <f t="shared" si="16"/>
        <v>0</v>
      </c>
      <c r="BA25" s="6"/>
      <c r="BC25" s="6"/>
      <c r="BD25" s="64">
        <f t="shared" si="8"/>
        <v>45992</v>
      </c>
      <c r="BE25" s="40" t="str">
        <f t="shared" si="9"/>
        <v>HSBC HKD SA-2502-001</v>
      </c>
      <c r="BF25" s="40"/>
      <c r="BG25" s="40">
        <f t="shared" si="10"/>
        <v>2</v>
      </c>
      <c r="BH25" s="56">
        <f>IF(C25="","",IF($C$4="","",VLOOKUP($C$4,'Chart of Accounts'!$A:$B,2,FALSE)))</f>
        <v>1020</v>
      </c>
      <c r="BI25" s="60">
        <f>IF(C25="","",VLOOKUP(C:C,'Chart of Accounts'!$A:$B,2,FALSE))</f>
        <v>6200</v>
      </c>
      <c r="BJ25" s="40" t="str">
        <f t="shared" si="14"/>
        <v>Bank charges:ACCT MAINT FEE</v>
      </c>
      <c r="BK25" s="58">
        <f t="shared" si="11"/>
        <v>-150</v>
      </c>
      <c r="BL25" s="62">
        <f t="shared" si="15"/>
        <v>150</v>
      </c>
      <c r="BM25" s="6"/>
    </row>
    <row r="26" spans="1:65" x14ac:dyDescent="0.25">
      <c r="B26" s="5"/>
      <c r="I26" s="23"/>
      <c r="J26" s="23"/>
      <c r="K26" s="34"/>
      <c r="L26" s="23"/>
      <c r="M26" s="8"/>
      <c r="N26" s="23"/>
      <c r="P26" s="23"/>
      <c r="BD26" s="5"/>
    </row>
    <row r="27" spans="1:65" ht="13.5" thickBot="1" x14ac:dyDescent="0.3">
      <c r="B27" s="5"/>
      <c r="I27" s="24">
        <f>SUBTOTAL(9,I11:I26)</f>
        <v>23505.47</v>
      </c>
      <c r="J27" s="24">
        <f>SUBTOTAL(9,J11:J26)</f>
        <v>-26160</v>
      </c>
      <c r="K27" s="34"/>
      <c r="L27" s="23"/>
      <c r="M27" s="8">
        <f>SUM(I27:J27)-SUM(N27:AY27)</f>
        <v>0</v>
      </c>
      <c r="N27" s="23"/>
      <c r="O27" s="24">
        <f>SUBTOTAL(9,O11:O26)</f>
        <v>23400</v>
      </c>
      <c r="P27" s="23"/>
      <c r="Q27" s="24">
        <f>SUBTOTAL(9,Q11:Q26)</f>
        <v>0</v>
      </c>
      <c r="R27" s="24">
        <f>SUBTOTAL(9,R11:R26)</f>
        <v>0</v>
      </c>
      <c r="T27" s="24">
        <f>SUBTOTAL(9,T11:T26)</f>
        <v>-25000</v>
      </c>
      <c r="V27" s="24">
        <f>SUBTOTAL(9,V11:V26)</f>
        <v>0</v>
      </c>
      <c r="W27" s="24">
        <f>SUBTOTAL(9,W11:W26)</f>
        <v>0</v>
      </c>
      <c r="X27" s="24">
        <f>SUBTOTAL(9,X11:X26)</f>
        <v>0</v>
      </c>
      <c r="Z27" s="24">
        <f>SUBTOTAL(9,Z11:Z26)</f>
        <v>0</v>
      </c>
      <c r="AA27" s="24">
        <f>SUBTOTAL(9,AA11:AA26)</f>
        <v>0</v>
      </c>
      <c r="AC27" s="24">
        <f>SUBTOTAL(9,AC11:AC26)</f>
        <v>4.07</v>
      </c>
      <c r="AE27" s="24">
        <f>SUBTOTAL(9,AE11:AE26)</f>
        <v>0</v>
      </c>
      <c r="AF27" s="24">
        <f>SUBTOTAL(9,AF11:AF26)</f>
        <v>0</v>
      </c>
      <c r="AG27" s="24">
        <f>SUBTOTAL(9,AG11:AG26)</f>
        <v>0</v>
      </c>
      <c r="AI27" s="24">
        <f t="shared" ref="AI27:AX27" si="17">SUBTOTAL(9,AI11:AI26)</f>
        <v>0</v>
      </c>
      <c r="AJ27" s="24">
        <f t="shared" si="17"/>
        <v>-1160</v>
      </c>
      <c r="AK27" s="24">
        <f t="shared" si="17"/>
        <v>0</v>
      </c>
      <c r="AL27" s="24">
        <f t="shared" si="17"/>
        <v>0</v>
      </c>
      <c r="AM27" s="24">
        <f t="shared" si="17"/>
        <v>101.40000000000146</v>
      </c>
      <c r="AN27" s="24">
        <f t="shared" si="17"/>
        <v>0</v>
      </c>
      <c r="AO27" s="24">
        <f t="shared" si="17"/>
        <v>0</v>
      </c>
      <c r="AP27" s="24">
        <f t="shared" si="17"/>
        <v>0</v>
      </c>
      <c r="AQ27" s="24">
        <f t="shared" si="17"/>
        <v>0</v>
      </c>
      <c r="AR27" s="24">
        <f t="shared" si="17"/>
        <v>0</v>
      </c>
      <c r="AS27" s="24">
        <f t="shared" si="17"/>
        <v>0</v>
      </c>
      <c r="AT27" s="24">
        <f t="shared" si="17"/>
        <v>0</v>
      </c>
      <c r="AU27" s="24">
        <f t="shared" si="17"/>
        <v>0</v>
      </c>
      <c r="AV27" s="24">
        <f t="shared" si="17"/>
        <v>0</v>
      </c>
      <c r="AW27" s="24">
        <f t="shared" si="17"/>
        <v>0</v>
      </c>
      <c r="AX27" s="24">
        <f t="shared" si="17"/>
        <v>0</v>
      </c>
      <c r="AZ27" s="24">
        <f>SUBTOTAL(9,AZ11:AZ26)</f>
        <v>0</v>
      </c>
      <c r="BD27" s="5"/>
      <c r="BK27" s="24">
        <f>SUBTOTAL(9,BK11:BK26)</f>
        <v>-2654.5299999999979</v>
      </c>
      <c r="BL27" s="24">
        <f>SUBTOTAL(9,BL11:BL26)</f>
        <v>2654.5299999999979</v>
      </c>
    </row>
    <row r="28" spans="1:65" x14ac:dyDescent="0.25">
      <c r="BL28" s="65">
        <f>SUM(BK27:BL27)</f>
        <v>0</v>
      </c>
    </row>
    <row r="29" spans="1:65" x14ac:dyDescent="0.25">
      <c r="BL29" s="65"/>
    </row>
  </sheetData>
  <sheetCalcPr fullCalcOnLoad="1"/>
  <autoFilter ref="A10:BC25" xr:uid="{3E14EF7A-CC5E-4FA3-9382-B9845D22576F}"/>
  <phoneticPr fontId="2" type="noConversion"/>
  <pageMargins left="0.39370078740157483" right="0.39370078740157483" top="0.39370078740157483" bottom="0.39370078740157483" header="0.39370078740157483" footer="0.39370078740157483"/>
  <pageSetup paperSize="9" scale="37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A30B2-A39D-4355-8C0F-83BEE4FD621A}">
  <sheetPr>
    <pageSetUpPr fitToPage="1"/>
  </sheetPr>
  <dimension ref="A1:AH19"/>
  <sheetViews>
    <sheetView tabSelected="1" zoomScale="80" zoomScaleNormal="80" workbookViewId="0">
      <pane xSplit="18" ySplit="10" topLeftCell="S11" activePane="bottomRight" state="frozen"/>
      <selection pane="topRight" activeCell="R1" sqref="R1"/>
      <selection pane="bottomLeft" activeCell="A10" sqref="A10"/>
      <selection pane="bottomRight" activeCell="J39" sqref="J39"/>
    </sheetView>
  </sheetViews>
  <sheetFormatPr defaultRowHeight="12.75" outlineLevelCol="1" x14ac:dyDescent="0.25"/>
  <cols>
    <col min="1" max="1" width="14.75" style="1" bestFit="1" customWidth="1"/>
    <col min="2" max="2" width="8.625" style="1" customWidth="1"/>
    <col min="3" max="3" width="31.125" style="1" bestFit="1" customWidth="1"/>
    <col min="4" max="4" width="16.125" style="1" bestFit="1" customWidth="1"/>
    <col min="5" max="5" width="21.875" style="1" bestFit="1" customWidth="1"/>
    <col min="6" max="6" width="8.5" style="1" bestFit="1" customWidth="1"/>
    <col min="7" max="7" width="8.5" style="1" customWidth="1"/>
    <col min="8" max="8" width="1.625" style="1" customWidth="1"/>
    <col min="9" max="9" width="9.125" style="1" bestFit="1" customWidth="1"/>
    <col min="10" max="10" width="10.75" style="1" bestFit="1" customWidth="1"/>
    <col min="11" max="11" width="12" style="1" customWidth="1"/>
    <col min="12" max="12" width="1.625" style="1" customWidth="1"/>
    <col min="13" max="14" width="12.125" style="1" customWidth="1"/>
    <col min="15" max="15" width="9.75" style="1" bestFit="1" customWidth="1"/>
    <col min="16" max="16" width="1.625" style="1" customWidth="1" outlineLevel="1"/>
    <col min="17" max="17" width="11.375" style="1" bestFit="1" customWidth="1" outlineLevel="1"/>
    <col min="18" max="18" width="1.625" style="1" customWidth="1" outlineLevel="1"/>
    <col min="19" max="19" width="10.875" style="1" customWidth="1" outlineLevel="1"/>
    <col min="20" max="20" width="1.625" style="1" customWidth="1" outlineLevel="1"/>
    <col min="21" max="21" width="10.5" style="1" customWidth="1" outlineLevel="1"/>
    <col min="22" max="22" width="1.625" style="1" customWidth="1" outlineLevel="1"/>
    <col min="23" max="23" width="10.5" style="1" customWidth="1" outlineLevel="1"/>
    <col min="24" max="24" width="1.625" style="1" customWidth="1" outlineLevel="1"/>
    <col min="25" max="25" width="8.5" style="1" bestFit="1" customWidth="1" outlineLevel="1"/>
    <col min="26" max="26" width="15.875" style="1" customWidth="1" outlineLevel="1"/>
    <col min="27" max="27" width="2.125" style="45" customWidth="1" outlineLevel="1"/>
    <col min="28" max="28" width="5.375" style="1" customWidth="1" outlineLevel="1"/>
    <col min="29" max="29" width="8.375" style="1" bestFit="1" customWidth="1" outlineLevel="1"/>
    <col min="30" max="30" width="8.5" style="1" bestFit="1" customWidth="1" outlineLevel="1"/>
    <col min="31" max="31" width="20" style="1" customWidth="1" outlineLevel="1"/>
    <col min="32" max="33" width="10.125" style="1" bestFit="1" customWidth="1" outlineLevel="1"/>
    <col min="34" max="34" width="1.625" style="1" customWidth="1" outlineLevel="1"/>
    <col min="35" max="16384" width="9" style="1"/>
  </cols>
  <sheetData>
    <row r="1" spans="1:34" x14ac:dyDescent="0.25">
      <c r="A1" s="2" t="s">
        <v>0</v>
      </c>
      <c r="B1" s="2"/>
      <c r="C1" s="54" t="s">
        <v>143</v>
      </c>
      <c r="D1" s="7"/>
      <c r="E1" s="7"/>
      <c r="F1" s="7"/>
      <c r="G1" s="7"/>
      <c r="J1" s="9" t="s">
        <v>12</v>
      </c>
      <c r="K1" s="16" t="s">
        <v>13</v>
      </c>
      <c r="L1" s="10"/>
      <c r="M1" s="10"/>
      <c r="N1" s="11"/>
      <c r="Y1" s="2"/>
    </row>
    <row r="2" spans="1:34" x14ac:dyDescent="0.25">
      <c r="A2" s="2" t="s">
        <v>1</v>
      </c>
      <c r="B2" s="2"/>
      <c r="C2" s="54" t="s">
        <v>147</v>
      </c>
      <c r="D2" s="22"/>
      <c r="E2" s="22"/>
      <c r="F2" s="22"/>
      <c r="G2" s="22"/>
      <c r="J2" s="12"/>
      <c r="K2" s="17" t="s">
        <v>14</v>
      </c>
      <c r="L2" s="13"/>
      <c r="M2" s="13"/>
      <c r="N2" s="14"/>
      <c r="Y2" s="2"/>
    </row>
    <row r="3" spans="1:34" x14ac:dyDescent="0.25">
      <c r="A3" s="21" t="s">
        <v>2</v>
      </c>
      <c r="B3" s="3"/>
      <c r="C3" s="54" t="s">
        <v>156</v>
      </c>
      <c r="Y3" s="3"/>
    </row>
    <row r="4" spans="1:34" x14ac:dyDescent="0.25">
      <c r="A4" s="21" t="s">
        <v>128</v>
      </c>
      <c r="B4" s="3"/>
      <c r="C4" s="54" t="s">
        <v>129</v>
      </c>
      <c r="Y4" s="3"/>
    </row>
    <row r="5" spans="1:34" x14ac:dyDescent="0.25">
      <c r="A5" s="21" t="s">
        <v>125</v>
      </c>
      <c r="B5" s="3"/>
      <c r="C5" s="54" t="s">
        <v>138</v>
      </c>
      <c r="Y5" s="3"/>
    </row>
    <row r="6" spans="1:34" s="20" customFormat="1" ht="0.95" customHeight="1" x14ac:dyDescent="0.25">
      <c r="S6" s="27"/>
      <c r="U6" s="27"/>
      <c r="V6" s="27"/>
      <c r="W6" s="27"/>
      <c r="X6" s="27"/>
      <c r="AA6" s="46"/>
      <c r="AH6" s="27"/>
    </row>
    <row r="8" spans="1:34" s="4" customFormat="1" ht="12.75" customHeight="1" thickBot="1" x14ac:dyDescent="0.3">
      <c r="L8" s="18"/>
      <c r="M8" s="37" t="s">
        <v>22</v>
      </c>
      <c r="N8" s="37">
        <v>7.8</v>
      </c>
      <c r="P8" s="18"/>
      <c r="R8" s="18"/>
      <c r="T8" s="18"/>
      <c r="V8" s="18"/>
      <c r="X8" s="18"/>
      <c r="Y8" s="47" t="s">
        <v>139</v>
      </c>
      <c r="Z8" s="47"/>
      <c r="AA8" s="47"/>
      <c r="AB8" s="47"/>
      <c r="AC8" s="47"/>
      <c r="AD8" s="47"/>
      <c r="AE8" s="47"/>
      <c r="AF8" s="47"/>
      <c r="AG8" s="47"/>
      <c r="AH8" s="18"/>
    </row>
    <row r="9" spans="1:34" s="2" customFormat="1" ht="64.5" thickBot="1" x14ac:dyDescent="0.3">
      <c r="A9" s="2" t="s">
        <v>18</v>
      </c>
      <c r="B9" s="2" t="s">
        <v>3</v>
      </c>
      <c r="C9" s="76" t="s">
        <v>4</v>
      </c>
      <c r="D9" s="77"/>
      <c r="E9" s="77"/>
      <c r="F9" s="77"/>
      <c r="G9" s="77"/>
      <c r="H9" s="78"/>
      <c r="I9" s="4" t="s">
        <v>5</v>
      </c>
      <c r="J9" s="4" t="s">
        <v>6</v>
      </c>
      <c r="K9" s="32" t="s">
        <v>7</v>
      </c>
      <c r="L9" s="18"/>
      <c r="M9" s="4" t="s">
        <v>5</v>
      </c>
      <c r="N9" s="4" t="s">
        <v>6</v>
      </c>
      <c r="O9" s="32" t="s">
        <v>7</v>
      </c>
      <c r="P9" s="18"/>
      <c r="Q9" s="15" t="s">
        <v>10</v>
      </c>
      <c r="R9" s="19"/>
      <c r="S9" s="26" t="s">
        <v>17</v>
      </c>
      <c r="T9" s="19"/>
      <c r="U9" s="26" t="s">
        <v>11</v>
      </c>
      <c r="V9" s="29"/>
      <c r="W9" s="26" t="s">
        <v>54</v>
      </c>
      <c r="X9" s="29"/>
      <c r="Y9" s="39" t="s">
        <v>3</v>
      </c>
      <c r="Z9" s="38" t="s">
        <v>126</v>
      </c>
      <c r="AA9" s="38"/>
      <c r="AB9" s="72" t="s">
        <v>142</v>
      </c>
      <c r="AC9" s="55" t="s">
        <v>130</v>
      </c>
      <c r="AD9" s="59" t="s">
        <v>131</v>
      </c>
      <c r="AE9" s="39" t="s">
        <v>109</v>
      </c>
      <c r="AF9" s="57" t="s">
        <v>132</v>
      </c>
      <c r="AG9" s="61" t="s">
        <v>133</v>
      </c>
      <c r="AH9" s="29"/>
    </row>
    <row r="10" spans="1:34" x14ac:dyDescent="0.25">
      <c r="A10" s="1" t="s">
        <v>103</v>
      </c>
      <c r="B10" s="5" t="s">
        <v>104</v>
      </c>
      <c r="C10" s="1" t="s">
        <v>105</v>
      </c>
      <c r="D10" s="1" t="s">
        <v>106</v>
      </c>
      <c r="E10" s="1" t="s">
        <v>110</v>
      </c>
      <c r="F10" s="1" t="s">
        <v>108</v>
      </c>
      <c r="G10" s="1" t="s">
        <v>140</v>
      </c>
      <c r="I10" s="36" t="s">
        <v>20</v>
      </c>
      <c r="J10" s="36" t="s">
        <v>20</v>
      </c>
      <c r="K10" s="35" t="s">
        <v>20</v>
      </c>
      <c r="L10" s="4"/>
      <c r="M10" s="36" t="s">
        <v>21</v>
      </c>
      <c r="N10" s="36" t="s">
        <v>21</v>
      </c>
      <c r="O10" s="35" t="s">
        <v>21</v>
      </c>
      <c r="Q10" s="8"/>
      <c r="S10" s="30"/>
      <c r="U10" s="30"/>
      <c r="V10" s="30"/>
      <c r="W10" s="30"/>
      <c r="X10" s="30"/>
      <c r="Y10" s="67"/>
      <c r="Z10" s="66"/>
      <c r="AA10" s="66"/>
      <c r="AB10" s="39"/>
      <c r="AC10" s="68"/>
      <c r="AD10" s="69"/>
      <c r="AE10" s="63"/>
      <c r="AF10" s="68"/>
      <c r="AG10" s="69"/>
      <c r="AH10" s="30"/>
    </row>
    <row r="11" spans="1:34" x14ac:dyDescent="0.25">
      <c r="A11" s="1">
        <v>0</v>
      </c>
      <c r="B11" s="31">
        <v>45658</v>
      </c>
      <c r="C11" s="1" t="s">
        <v>8</v>
      </c>
      <c r="I11" s="23"/>
      <c r="J11" s="23"/>
      <c r="K11" s="34">
        <v>5878.1899999980178</v>
      </c>
      <c r="L11" s="23"/>
      <c r="M11" s="23"/>
      <c r="N11" s="23"/>
      <c r="O11" s="34">
        <f>ROUND(K11*$N$8,2)</f>
        <v>45849.88</v>
      </c>
      <c r="P11" s="23"/>
      <c r="Q11" s="8"/>
      <c r="R11" s="23"/>
      <c r="S11" s="6"/>
      <c r="T11" s="23"/>
      <c r="U11" s="6"/>
      <c r="V11" s="6"/>
      <c r="W11" s="6"/>
      <c r="X11" s="6"/>
      <c r="Y11" s="64"/>
      <c r="Z11" s="40"/>
      <c r="AA11" s="40"/>
      <c r="AB11" s="40"/>
      <c r="AC11" s="56"/>
      <c r="AD11" s="60"/>
      <c r="AE11" s="40"/>
      <c r="AF11" s="58"/>
      <c r="AG11" s="60"/>
      <c r="AH11" s="6"/>
    </row>
    <row r="12" spans="1:34" x14ac:dyDescent="0.25">
      <c r="A12" s="1" t="s">
        <v>111</v>
      </c>
      <c r="B12" s="31">
        <v>45836</v>
      </c>
      <c r="C12" s="1" t="s">
        <v>54</v>
      </c>
      <c r="D12" s="1" t="s">
        <v>157</v>
      </c>
      <c r="G12" s="70"/>
      <c r="I12" s="23">
        <v>11.14</v>
      </c>
      <c r="J12" s="23"/>
      <c r="K12" s="34">
        <f>K11+I12+J12</f>
        <v>5889.3299999980181</v>
      </c>
      <c r="L12" s="23"/>
      <c r="M12" s="23">
        <f t="shared" ref="M12:N16" si="0">ROUND(I12*$N$8,2)</f>
        <v>86.89</v>
      </c>
      <c r="N12" s="23">
        <f t="shared" si="0"/>
        <v>0</v>
      </c>
      <c r="O12" s="34">
        <f>O11+M12+N12</f>
        <v>45936.77</v>
      </c>
      <c r="P12" s="23"/>
      <c r="Q12" s="8">
        <f>SUM(M12:N12)-SUM(R12:W12)</f>
        <v>0</v>
      </c>
      <c r="R12" s="23"/>
      <c r="S12" s="23">
        <f>IF($C12=S$9,$M12+$N12,0)</f>
        <v>0</v>
      </c>
      <c r="T12" s="23"/>
      <c r="U12" s="23">
        <f t="shared" ref="U12:W16" si="1">IF($C12=U$9,$M12+$N12,0)</f>
        <v>0</v>
      </c>
      <c r="V12" s="23"/>
      <c r="W12" s="23">
        <f t="shared" si="1"/>
        <v>86.89</v>
      </c>
      <c r="X12" s="6"/>
      <c r="Y12" s="64">
        <f>IF(B12="","",B12)</f>
        <v>45836</v>
      </c>
      <c r="Z12" s="40" t="str">
        <f>IF(C12="","",$C$5&amp;"-"&amp;A12)</f>
        <v>HSBC USD SA-2501-001</v>
      </c>
      <c r="AA12" s="40"/>
      <c r="AB12" s="40">
        <f>IF(Z12="","",COUNTIF(Z:Z,Z12)*2)</f>
        <v>2</v>
      </c>
      <c r="AC12" s="56">
        <f>IF(C12="","",IF($C$4="","",VLOOKUP($C$4,'Chart of Accounts'!$A:$B,2,FALSE)))</f>
        <v>1010</v>
      </c>
      <c r="AD12" s="60">
        <f>IF(C12="","",VLOOKUP(C:C,'Chart of Accounts'!$A:$B,2,FALSE))</f>
        <v>4100</v>
      </c>
      <c r="AE12" s="40" t="str">
        <f>IF(C12="","",D12&amp;":"&amp;E12&amp;IF(E12="",""," - "&amp;E12)&amp;IF(F12="",""," - "&amp;F12)&amp;IF(G12="",""," - "&amp;TEXT(G12,"MMM-YY")))</f>
        <v>CREDIT INTEREST:</v>
      </c>
      <c r="AF12" s="58">
        <f>SUM(M12:N12)</f>
        <v>86.89</v>
      </c>
      <c r="AG12" s="62">
        <f>-AF12</f>
        <v>-86.89</v>
      </c>
      <c r="AH12" s="6"/>
    </row>
    <row r="13" spans="1:34" x14ac:dyDescent="0.25">
      <c r="A13" s="1" t="s">
        <v>113</v>
      </c>
      <c r="B13" s="31">
        <v>45840</v>
      </c>
      <c r="C13" s="1" t="s">
        <v>28</v>
      </c>
      <c r="D13" s="1" t="s">
        <v>165</v>
      </c>
      <c r="I13" s="23"/>
      <c r="J13" s="23">
        <v>-3000</v>
      </c>
      <c r="K13" s="34">
        <f>K12+I13+J13</f>
        <v>2889.3299999980181</v>
      </c>
      <c r="L13" s="23"/>
      <c r="M13" s="23">
        <f t="shared" si="0"/>
        <v>0</v>
      </c>
      <c r="N13" s="23">
        <f t="shared" si="0"/>
        <v>-23400</v>
      </c>
      <c r="O13" s="34">
        <f>O12+M13+N13</f>
        <v>22536.769999999997</v>
      </c>
      <c r="P13" s="23"/>
      <c r="Q13" s="8">
        <f>SUM(M13:N13)-SUM(R13:W13)</f>
        <v>0</v>
      </c>
      <c r="R13" s="23"/>
      <c r="S13" s="23">
        <f>IF($C13=S$9,$M13+$N13,0)</f>
        <v>-23400</v>
      </c>
      <c r="T13" s="23"/>
      <c r="U13" s="23">
        <f t="shared" si="1"/>
        <v>0</v>
      </c>
      <c r="V13" s="23"/>
      <c r="W13" s="23">
        <f t="shared" si="1"/>
        <v>0</v>
      </c>
      <c r="X13" s="6"/>
      <c r="Y13" s="64">
        <f>IF(B13="","",B13)</f>
        <v>45840</v>
      </c>
      <c r="Z13" s="40" t="str">
        <f>IF(C13="","",$C$5&amp;"-"&amp;A13)</f>
        <v>HSBC USD SA-2501-002</v>
      </c>
      <c r="AA13" s="40"/>
      <c r="AB13" s="40">
        <f>IF(Z13="","",COUNTIF(Z:Z,Z13)*2)</f>
        <v>2</v>
      </c>
      <c r="AC13" s="56">
        <f>IF(C13="","",IF($C$4="","",VLOOKUP($C$4,'Chart of Accounts'!$A:$B,2,FALSE)))</f>
        <v>1010</v>
      </c>
      <c r="AD13" s="60">
        <f>IF(C13="","",VLOOKUP(C:C,'Chart of Accounts'!$A:$B,2,FALSE))</f>
        <v>1090</v>
      </c>
      <c r="AE13" s="40" t="str">
        <f>IF(C13="","",D13&amp;":"&amp;E13&amp;IF(E13="",""," - "&amp;E13)&amp;IF(F13="",""," - "&amp;F13)&amp;IF(G13="",""," - "&amp;TEXT(G13,"MMM-YY")))</f>
        <v>121-891824-838:</v>
      </c>
      <c r="AF13" s="58">
        <f>SUM(M13:N13)</f>
        <v>-23400</v>
      </c>
      <c r="AG13" s="62">
        <f>-AF13</f>
        <v>23400</v>
      </c>
      <c r="AH13" s="6"/>
    </row>
    <row r="14" spans="1:34" x14ac:dyDescent="0.25">
      <c r="A14" s="1" t="s">
        <v>114</v>
      </c>
      <c r="B14" s="31">
        <v>45877</v>
      </c>
      <c r="C14" s="1" t="s">
        <v>11</v>
      </c>
      <c r="D14" s="1" t="s">
        <v>167</v>
      </c>
      <c r="I14" s="23">
        <v>8247.59</v>
      </c>
      <c r="J14" s="23"/>
      <c r="K14" s="34">
        <f>K13+I14+J14</f>
        <v>11136.919999998019</v>
      </c>
      <c r="L14" s="23"/>
      <c r="M14" s="23">
        <f t="shared" si="0"/>
        <v>64331.199999999997</v>
      </c>
      <c r="N14" s="23">
        <f t="shared" si="0"/>
        <v>0</v>
      </c>
      <c r="O14" s="34">
        <f>O13+M14+N14</f>
        <v>86867.97</v>
      </c>
      <c r="P14" s="23"/>
      <c r="Q14" s="8">
        <f>SUM(M14:N14)-SUM(R14:W14)</f>
        <v>0</v>
      </c>
      <c r="R14" s="23"/>
      <c r="S14" s="23">
        <f>IF($C14=S$9,$M14+$N14,0)</f>
        <v>0</v>
      </c>
      <c r="T14" s="23"/>
      <c r="U14" s="23">
        <f t="shared" si="1"/>
        <v>64331.199999999997</v>
      </c>
      <c r="V14" s="23"/>
      <c r="W14" s="23">
        <f t="shared" si="1"/>
        <v>0</v>
      </c>
      <c r="X14" s="6"/>
      <c r="Y14" s="64">
        <f>IF(B14="","",B14)</f>
        <v>45877</v>
      </c>
      <c r="Z14" s="40" t="str">
        <f>IF(C14="","",$C$5&amp;"-"&amp;A14)</f>
        <v>HSBC USD SA-2501-003</v>
      </c>
      <c r="AA14" s="40"/>
      <c r="AB14" s="40">
        <f>IF(Z14="","",COUNTIF(Z:Z,Z14)*2)</f>
        <v>2</v>
      </c>
      <c r="AC14" s="56">
        <f>IF(C14="","",IF($C$4="","",VLOOKUP($C$4,'Chart of Accounts'!$A:$B,2,FALSE)))</f>
        <v>1010</v>
      </c>
      <c r="AD14" s="60">
        <f>IF(C14="","",VLOOKUP(C:C,'Chart of Accounts'!$A:$B,2,FALSE))</f>
        <v>4000</v>
      </c>
      <c r="AE14" s="40" t="str">
        <f>IF(C14="","",D14&amp;":"&amp;E14&amp;IF(E14="",""," - "&amp;E14)&amp;IF(F14="",""," - "&amp;F14)&amp;IF(G14="",""," - "&amp;TEXT(G14,"MMM-YY")))</f>
        <v>DEPOSIT:</v>
      </c>
      <c r="AF14" s="58">
        <f>SUM(M14:N14)</f>
        <v>64331.199999999997</v>
      </c>
      <c r="AG14" s="62">
        <f>-AF14</f>
        <v>-64331.199999999997</v>
      </c>
      <c r="AH14" s="6"/>
    </row>
    <row r="15" spans="1:34" x14ac:dyDescent="0.25">
      <c r="A15" s="73" t="s">
        <v>115</v>
      </c>
      <c r="B15" s="74">
        <v>46022</v>
      </c>
      <c r="C15" s="73" t="s">
        <v>54</v>
      </c>
      <c r="D15" s="73" t="s">
        <v>157</v>
      </c>
      <c r="E15" s="73"/>
      <c r="F15" s="73"/>
      <c r="G15" s="73"/>
      <c r="H15" s="73"/>
      <c r="I15" s="75">
        <v>11.08</v>
      </c>
      <c r="J15" s="75"/>
      <c r="K15" s="34">
        <f>K14+I15+J15</f>
        <v>11147.999999998019</v>
      </c>
      <c r="L15" s="23"/>
      <c r="M15" s="23">
        <f t="shared" si="0"/>
        <v>86.42</v>
      </c>
      <c r="N15" s="23">
        <f t="shared" si="0"/>
        <v>0</v>
      </c>
      <c r="O15" s="34">
        <f>O14+M15+N15</f>
        <v>86954.39</v>
      </c>
      <c r="P15" s="23"/>
      <c r="Q15" s="8">
        <f>SUM(M15:N15)-SUM(R15:W15)</f>
        <v>0</v>
      </c>
      <c r="R15" s="23"/>
      <c r="S15" s="23">
        <f>IF($C15=S$9,$M15+$N15,0)</f>
        <v>0</v>
      </c>
      <c r="T15" s="23"/>
      <c r="U15" s="23">
        <f t="shared" si="1"/>
        <v>0</v>
      </c>
      <c r="V15" s="23"/>
      <c r="W15" s="23">
        <f t="shared" si="1"/>
        <v>86.42</v>
      </c>
      <c r="X15" s="6"/>
      <c r="Y15" s="64">
        <f>IF(B15="","",B15)</f>
        <v>46022</v>
      </c>
      <c r="Z15" s="40" t="str">
        <f>IF(C15="","",$C$5&amp;"-"&amp;A15)</f>
        <v>HSBC USD SA-2501-004</v>
      </c>
      <c r="AA15" s="40"/>
      <c r="AB15" s="40">
        <f>IF(Z15="","",COUNTIF(Z:Z,Z15)*2)</f>
        <v>2</v>
      </c>
      <c r="AC15" s="56">
        <f>IF(C15="","",IF($C$4="","",VLOOKUP($C$4,'Chart of Accounts'!$A:$B,2,FALSE)))</f>
        <v>1010</v>
      </c>
      <c r="AD15" s="60">
        <f>IF(C15="","",VLOOKUP(C:C,'Chart of Accounts'!$A:$B,2,FALSE))</f>
        <v>4100</v>
      </c>
      <c r="AE15" s="40" t="str">
        <f>IF(C15="","",D15&amp;":"&amp;E15&amp;IF(E15="",""," - "&amp;E15)&amp;IF(F15="",""," - "&amp;F15)&amp;IF(G15="",""," - "&amp;TEXT(G15,"MMM-YY")))</f>
        <v>CREDIT INTEREST:</v>
      </c>
      <c r="AF15" s="58">
        <f>SUM(M15:N15)</f>
        <v>86.42</v>
      </c>
      <c r="AG15" s="62">
        <f>-AF15</f>
        <v>-86.42</v>
      </c>
      <c r="AH15" s="6"/>
    </row>
    <row r="16" spans="1:34" x14ac:dyDescent="0.25">
      <c r="A16" s="1" t="s">
        <v>116</v>
      </c>
      <c r="B16" s="31"/>
      <c r="I16" s="23"/>
      <c r="J16" s="23"/>
      <c r="K16" s="34">
        <f>K15+I16+J16</f>
        <v>11147.999999998019</v>
      </c>
      <c r="L16" s="23"/>
      <c r="M16" s="23">
        <f t="shared" si="0"/>
        <v>0</v>
      </c>
      <c r="N16" s="23">
        <f t="shared" si="0"/>
        <v>0</v>
      </c>
      <c r="O16" s="34">
        <f>O15+M16+N16</f>
        <v>86954.39</v>
      </c>
      <c r="P16" s="23"/>
      <c r="Q16" s="8">
        <f>SUM(M16:N16)-SUM(R16:W16)</f>
        <v>0</v>
      </c>
      <c r="R16" s="23"/>
      <c r="S16" s="23">
        <f>IF($C16=S$9,$M16+$N16,0)</f>
        <v>0</v>
      </c>
      <c r="T16" s="23"/>
      <c r="U16" s="23">
        <f t="shared" si="1"/>
        <v>0</v>
      </c>
      <c r="V16" s="23"/>
      <c r="W16" s="23">
        <f t="shared" si="1"/>
        <v>0</v>
      </c>
      <c r="X16" s="6"/>
      <c r="Y16" s="64" t="str">
        <f>IF(B16="","",B16)</f>
        <v/>
      </c>
      <c r="Z16" s="40" t="str">
        <f>IF(C16="","",$C$5&amp;"-"&amp;A16)</f>
        <v/>
      </c>
      <c r="AA16" s="40"/>
      <c r="AB16" s="40" t="str">
        <f>IF(Z16="","",COUNTIF(Z:Z,Z16)*2)</f>
        <v/>
      </c>
      <c r="AC16" s="56" t="str">
        <f>IF(C16="","",IF($C$4="","",VLOOKUP($C$4,'Chart of Accounts'!$A:$B,2,FALSE)))</f>
        <v/>
      </c>
      <c r="AD16" s="60" t="str">
        <f>IF(C16="","",VLOOKUP(C:C,'Chart of Accounts'!$A:$B,2,FALSE))</f>
        <v/>
      </c>
      <c r="AE16" s="40" t="str">
        <f>IF(C16="","",D16&amp;":"&amp;E16&amp;IF(E16="",""," - "&amp;E16)&amp;IF(F16="",""," - "&amp;F16)&amp;IF(G16="",""," - "&amp;TEXT(G16,"MMM-YY")))</f>
        <v/>
      </c>
      <c r="AF16" s="58">
        <f>SUM(M16:N16)</f>
        <v>0</v>
      </c>
      <c r="AG16" s="62">
        <f>-AF16</f>
        <v>0</v>
      </c>
      <c r="AH16" s="6"/>
    </row>
    <row r="17" spans="2:33" x14ac:dyDescent="0.25">
      <c r="B17" s="5"/>
      <c r="I17" s="23"/>
      <c r="J17" s="23"/>
      <c r="K17" s="34"/>
      <c r="L17" s="23"/>
      <c r="M17" s="23"/>
      <c r="N17" s="23"/>
      <c r="O17" s="34"/>
      <c r="P17" s="23"/>
      <c r="Q17" s="8"/>
      <c r="R17" s="23"/>
      <c r="T17" s="23"/>
      <c r="Y17" s="5"/>
    </row>
    <row r="18" spans="2:33" ht="13.5" thickBot="1" x14ac:dyDescent="0.3">
      <c r="B18" s="5"/>
      <c r="I18" s="24">
        <f>SUBTOTAL(9,I11:I17)</f>
        <v>8269.81</v>
      </c>
      <c r="J18" s="24">
        <f>SUBTOTAL(9,J11:J17)</f>
        <v>-3000</v>
      </c>
      <c r="K18" s="34"/>
      <c r="L18" s="23"/>
      <c r="M18" s="24">
        <f>SUBTOTAL(9,M11:M17)</f>
        <v>64504.509999999995</v>
      </c>
      <c r="N18" s="24">
        <f>SUBTOTAL(9,N11:N17)</f>
        <v>-23400</v>
      </c>
      <c r="O18" s="34"/>
      <c r="P18" s="23"/>
      <c r="Q18" s="8">
        <f>SUM(M18:N18)-SUM(R18:W18)</f>
        <v>0</v>
      </c>
      <c r="R18" s="23"/>
      <c r="S18" s="24">
        <f>SUBTOTAL(9,S11:S17)</f>
        <v>-23400</v>
      </c>
      <c r="T18" s="23"/>
      <c r="U18" s="24">
        <f>SUBTOTAL(9,U11:U17)</f>
        <v>64331.199999999997</v>
      </c>
      <c r="W18" s="24">
        <f>SUBTOTAL(9,W11:W17)</f>
        <v>173.31</v>
      </c>
      <c r="Y18" s="5"/>
      <c r="AF18" s="24">
        <f>SUBTOTAL(9,AF11:AF17)</f>
        <v>41104.509999999995</v>
      </c>
      <c r="AG18" s="24">
        <f>SUBTOTAL(9,AG11:AG17)</f>
        <v>-41104.509999999995</v>
      </c>
    </row>
    <row r="19" spans="2:33" x14ac:dyDescent="0.25">
      <c r="AG19" s="65">
        <f>SUM(AF18:AG18)</f>
        <v>0</v>
      </c>
    </row>
  </sheetData>
  <sheetCalcPr fullCalcOnLoad="1"/>
  <autoFilter ref="A10:W10" xr:uid="{3B4FE443-30D4-47B6-AEBE-F5616809215A}"/>
  <mergeCells count="1">
    <mergeCell ref="C9:H9"/>
  </mergeCells>
  <phoneticPr fontId="2" type="noConversion"/>
  <pageMargins left="0.39370078740157483" right="0.39370078740157483" top="0.39370078740157483" bottom="0.39370078740157483" header="0.39370078740157483" footer="0.39370078740157483"/>
  <pageSetup paperSize="9" scale="37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617A-E480-40B5-BCA0-8D94067F785F}">
  <dimension ref="A1:B107"/>
  <sheetViews>
    <sheetView zoomScaleNormal="100" workbookViewId="0">
      <pane ySplit="1" topLeftCell="A56" activePane="bottomLeft" state="frozen"/>
      <selection pane="bottomLeft" activeCell="A56" sqref="A56"/>
    </sheetView>
  </sheetViews>
  <sheetFormatPr defaultRowHeight="12.75" x14ac:dyDescent="0.25"/>
  <cols>
    <col min="1" max="1" width="26" style="50" bestFit="1" customWidth="1"/>
    <col min="2" max="2" width="10" style="50" bestFit="1" customWidth="1"/>
    <col min="3" max="16384" width="9" style="1"/>
  </cols>
  <sheetData>
    <row r="1" spans="1:2" x14ac:dyDescent="0.25">
      <c r="A1" s="53" t="s">
        <v>23</v>
      </c>
      <c r="B1" s="53" t="s">
        <v>24</v>
      </c>
    </row>
    <row r="2" spans="1:2" x14ac:dyDescent="0.25">
      <c r="A2" s="50" t="s">
        <v>25</v>
      </c>
      <c r="B2" s="44">
        <v>1000</v>
      </c>
    </row>
    <row r="3" spans="1:2" x14ac:dyDescent="0.25">
      <c r="A3" s="50" t="s">
        <v>138</v>
      </c>
      <c r="B3" s="44">
        <v>1010</v>
      </c>
    </row>
    <row r="4" spans="1:2" x14ac:dyDescent="0.25">
      <c r="A4" s="50" t="s">
        <v>148</v>
      </c>
      <c r="B4" s="44">
        <v>1020</v>
      </c>
    </row>
    <row r="5" spans="1:2" x14ac:dyDescent="0.25">
      <c r="A5" s="50" t="s">
        <v>145</v>
      </c>
      <c r="B5" s="44">
        <v>1030</v>
      </c>
    </row>
    <row r="6" spans="1:2" x14ac:dyDescent="0.25">
      <c r="A6" s="50" t="s">
        <v>26</v>
      </c>
      <c r="B6" s="44">
        <v>1040</v>
      </c>
    </row>
    <row r="7" spans="1:2" x14ac:dyDescent="0.25">
      <c r="A7" s="50" t="s">
        <v>27</v>
      </c>
      <c r="B7" s="44">
        <v>1080</v>
      </c>
    </row>
    <row r="8" spans="1:2" x14ac:dyDescent="0.25">
      <c r="A8" s="50" t="s">
        <v>28</v>
      </c>
      <c r="B8" s="44">
        <v>1090</v>
      </c>
    </row>
    <row r="9" spans="1:2" x14ac:dyDescent="0.25">
      <c r="A9" s="50" t="s">
        <v>29</v>
      </c>
      <c r="B9" s="44">
        <v>1100</v>
      </c>
    </row>
    <row r="10" spans="1:2" x14ac:dyDescent="0.25">
      <c r="A10" s="50" t="s">
        <v>30</v>
      </c>
      <c r="B10" s="44">
        <v>1120</v>
      </c>
    </row>
    <row r="11" spans="1:2" x14ac:dyDescent="0.25">
      <c r="A11" s="50" t="s">
        <v>31</v>
      </c>
      <c r="B11" s="44">
        <v>1150</v>
      </c>
    </row>
    <row r="12" spans="1:2" x14ac:dyDescent="0.25">
      <c r="A12" s="50" t="s">
        <v>150</v>
      </c>
      <c r="B12" s="44">
        <v>1200</v>
      </c>
    </row>
    <row r="13" spans="1:2" x14ac:dyDescent="0.25">
      <c r="A13" s="50" t="s">
        <v>32</v>
      </c>
      <c r="B13" s="44">
        <v>1300</v>
      </c>
    </row>
    <row r="14" spans="1:2" x14ac:dyDescent="0.25">
      <c r="A14" s="50" t="s">
        <v>33</v>
      </c>
      <c r="B14" s="44">
        <v>1400</v>
      </c>
    </row>
    <row r="15" spans="1:2" x14ac:dyDescent="0.25">
      <c r="A15" s="50" t="s">
        <v>34</v>
      </c>
      <c r="B15" s="44">
        <v>1500</v>
      </c>
    </row>
    <row r="16" spans="1:2" x14ac:dyDescent="0.25">
      <c r="A16" s="50" t="s">
        <v>35</v>
      </c>
      <c r="B16" s="44">
        <v>1550</v>
      </c>
    </row>
    <row r="17" spans="1:2" x14ac:dyDescent="0.25">
      <c r="A17" s="50" t="s">
        <v>36</v>
      </c>
      <c r="B17" s="44">
        <v>1600</v>
      </c>
    </row>
    <row r="18" spans="1:2" x14ac:dyDescent="0.25">
      <c r="A18" s="50" t="s">
        <v>37</v>
      </c>
      <c r="B18" s="44">
        <v>1650</v>
      </c>
    </row>
    <row r="19" spans="1:2" x14ac:dyDescent="0.25">
      <c r="A19" s="50" t="s">
        <v>38</v>
      </c>
      <c r="B19" s="44">
        <v>1700</v>
      </c>
    </row>
    <row r="20" spans="1:2" x14ac:dyDescent="0.25">
      <c r="A20" s="50" t="s">
        <v>151</v>
      </c>
      <c r="B20" s="44">
        <v>1750</v>
      </c>
    </row>
    <row r="21" spans="1:2" x14ac:dyDescent="0.25">
      <c r="A21" s="50" t="s">
        <v>39</v>
      </c>
      <c r="B21" s="44">
        <v>1900</v>
      </c>
    </row>
    <row r="22" spans="1:2" x14ac:dyDescent="0.25">
      <c r="A22" s="50" t="s">
        <v>40</v>
      </c>
      <c r="B22" s="44">
        <v>1950</v>
      </c>
    </row>
    <row r="23" spans="1:2" x14ac:dyDescent="0.25">
      <c r="A23" s="50" t="s">
        <v>41</v>
      </c>
      <c r="B23" s="44">
        <v>2000</v>
      </c>
    </row>
    <row r="24" spans="1:2" x14ac:dyDescent="0.25">
      <c r="A24" s="50" t="s">
        <v>42</v>
      </c>
      <c r="B24" s="44">
        <v>2050</v>
      </c>
    </row>
    <row r="25" spans="1:2" x14ac:dyDescent="0.25">
      <c r="A25" s="50" t="s">
        <v>43</v>
      </c>
      <c r="B25" s="44">
        <v>2100</v>
      </c>
    </row>
    <row r="26" spans="1:2" x14ac:dyDescent="0.25">
      <c r="A26" s="50" t="s">
        <v>15</v>
      </c>
      <c r="B26" s="44">
        <v>2200</v>
      </c>
    </row>
    <row r="27" spans="1:2" x14ac:dyDescent="0.25">
      <c r="A27" s="50" t="s">
        <v>44</v>
      </c>
      <c r="B27" s="44">
        <v>2400</v>
      </c>
    </row>
    <row r="28" spans="1:2" x14ac:dyDescent="0.25">
      <c r="A28" s="50" t="s">
        <v>45</v>
      </c>
      <c r="B28" s="44">
        <v>2500</v>
      </c>
    </row>
    <row r="29" spans="1:2" x14ac:dyDescent="0.25">
      <c r="A29" s="50" t="s">
        <v>46</v>
      </c>
      <c r="B29" s="44">
        <v>2700</v>
      </c>
    </row>
    <row r="30" spans="1:2" x14ac:dyDescent="0.25">
      <c r="A30" s="50" t="s">
        <v>47</v>
      </c>
      <c r="B30" s="44">
        <v>2800</v>
      </c>
    </row>
    <row r="31" spans="1:2" x14ac:dyDescent="0.25">
      <c r="A31" s="50" t="s">
        <v>48</v>
      </c>
      <c r="B31" s="44">
        <v>2900</v>
      </c>
    </row>
    <row r="32" spans="1:2" x14ac:dyDescent="0.25">
      <c r="A32" s="50" t="s">
        <v>49</v>
      </c>
      <c r="B32" s="44">
        <v>3910</v>
      </c>
    </row>
    <row r="33" spans="1:2" x14ac:dyDescent="0.25">
      <c r="A33" s="50" t="s">
        <v>50</v>
      </c>
      <c r="B33" s="44">
        <v>3920</v>
      </c>
    </row>
    <row r="34" spans="1:2" x14ac:dyDescent="0.25">
      <c r="A34" s="50" t="s">
        <v>51</v>
      </c>
      <c r="B34" s="44">
        <v>3930</v>
      </c>
    </row>
    <row r="35" spans="1:2" x14ac:dyDescent="0.25">
      <c r="A35" s="50" t="s">
        <v>52</v>
      </c>
      <c r="B35" s="44">
        <v>4000</v>
      </c>
    </row>
    <row r="36" spans="1:2" x14ac:dyDescent="0.25">
      <c r="A36" s="50" t="s">
        <v>53</v>
      </c>
      <c r="B36" s="44">
        <v>4050</v>
      </c>
    </row>
    <row r="37" spans="1:2" x14ac:dyDescent="0.25">
      <c r="A37" s="50" t="s">
        <v>54</v>
      </c>
      <c r="B37" s="44">
        <v>4100</v>
      </c>
    </row>
    <row r="38" spans="1:2" x14ac:dyDescent="0.25">
      <c r="A38" s="50" t="s">
        <v>55</v>
      </c>
      <c r="B38" s="44">
        <v>4200</v>
      </c>
    </row>
    <row r="39" spans="1:2" x14ac:dyDescent="0.25">
      <c r="A39" s="50" t="s">
        <v>56</v>
      </c>
      <c r="B39" s="44">
        <v>4300</v>
      </c>
    </row>
    <row r="40" spans="1:2" x14ac:dyDescent="0.25">
      <c r="A40" s="50" t="s">
        <v>152</v>
      </c>
      <c r="B40" s="44">
        <v>4900</v>
      </c>
    </row>
    <row r="41" spans="1:2" x14ac:dyDescent="0.25">
      <c r="A41" s="50" t="s">
        <v>57</v>
      </c>
      <c r="B41" s="44">
        <v>5000</v>
      </c>
    </row>
    <row r="42" spans="1:2" x14ac:dyDescent="0.25">
      <c r="A42" s="50" t="s">
        <v>58</v>
      </c>
      <c r="B42" s="44">
        <v>5100</v>
      </c>
    </row>
    <row r="43" spans="1:2" x14ac:dyDescent="0.25">
      <c r="A43" s="50" t="s">
        <v>19</v>
      </c>
      <c r="B43" s="44">
        <v>5200</v>
      </c>
    </row>
    <row r="44" spans="1:2" x14ac:dyDescent="0.25">
      <c r="A44" s="50" t="s">
        <v>59</v>
      </c>
      <c r="B44" s="44">
        <v>5300</v>
      </c>
    </row>
    <row r="45" spans="1:2" x14ac:dyDescent="0.25">
      <c r="A45" s="50" t="s">
        <v>153</v>
      </c>
      <c r="B45" s="44">
        <v>5310</v>
      </c>
    </row>
    <row r="46" spans="1:2" x14ac:dyDescent="0.25">
      <c r="A46" s="50" t="s">
        <v>60</v>
      </c>
      <c r="B46" s="44">
        <v>5400</v>
      </c>
    </row>
    <row r="47" spans="1:2" x14ac:dyDescent="0.25">
      <c r="A47" s="50" t="s">
        <v>61</v>
      </c>
      <c r="B47" s="44">
        <v>5800</v>
      </c>
    </row>
    <row r="48" spans="1:2" x14ac:dyDescent="0.25">
      <c r="A48" s="50" t="s">
        <v>62</v>
      </c>
      <c r="B48" s="44">
        <v>5900</v>
      </c>
    </row>
    <row r="49" spans="1:2" x14ac:dyDescent="0.25">
      <c r="A49" s="50" t="s">
        <v>63</v>
      </c>
      <c r="B49" s="44">
        <v>6000</v>
      </c>
    </row>
    <row r="50" spans="1:2" x14ac:dyDescent="0.25">
      <c r="A50" s="50" t="s">
        <v>64</v>
      </c>
      <c r="B50" s="44">
        <v>6050</v>
      </c>
    </row>
    <row r="51" spans="1:2" x14ac:dyDescent="0.25">
      <c r="A51" s="50" t="s">
        <v>65</v>
      </c>
      <c r="B51" s="44">
        <v>6100</v>
      </c>
    </row>
    <row r="52" spans="1:2" x14ac:dyDescent="0.25">
      <c r="A52" s="50" t="s">
        <v>66</v>
      </c>
      <c r="B52" s="44">
        <v>6150</v>
      </c>
    </row>
    <row r="53" spans="1:2" x14ac:dyDescent="0.25">
      <c r="A53" s="50" t="s">
        <v>67</v>
      </c>
      <c r="B53" s="44">
        <v>6200</v>
      </c>
    </row>
    <row r="54" spans="1:2" x14ac:dyDescent="0.25">
      <c r="A54" s="50" t="s">
        <v>68</v>
      </c>
      <c r="B54" s="44">
        <v>6220</v>
      </c>
    </row>
    <row r="55" spans="1:2" x14ac:dyDescent="0.25">
      <c r="A55" s="50" t="s">
        <v>69</v>
      </c>
      <c r="B55" s="44">
        <v>6250</v>
      </c>
    </row>
    <row r="56" spans="1:2" x14ac:dyDescent="0.25">
      <c r="A56" s="50" t="s">
        <v>154</v>
      </c>
      <c r="B56" s="44">
        <v>6300</v>
      </c>
    </row>
    <row r="57" spans="1:2" x14ac:dyDescent="0.25">
      <c r="A57" s="50" t="s">
        <v>71</v>
      </c>
      <c r="B57" s="44">
        <v>6350</v>
      </c>
    </row>
    <row r="58" spans="1:2" x14ac:dyDescent="0.25">
      <c r="A58" s="50" t="s">
        <v>72</v>
      </c>
      <c r="B58" s="44">
        <v>6400</v>
      </c>
    </row>
    <row r="59" spans="1:2" x14ac:dyDescent="0.25">
      <c r="A59" s="50" t="s">
        <v>73</v>
      </c>
      <c r="B59" s="44">
        <v>6450</v>
      </c>
    </row>
    <row r="60" spans="1:2" x14ac:dyDescent="0.25">
      <c r="A60" s="50" t="s">
        <v>74</v>
      </c>
      <c r="B60" s="44">
        <v>6500</v>
      </c>
    </row>
    <row r="61" spans="1:2" x14ac:dyDescent="0.25">
      <c r="A61" s="50" t="s">
        <v>75</v>
      </c>
      <c r="B61" s="44">
        <v>6550</v>
      </c>
    </row>
    <row r="62" spans="1:2" x14ac:dyDescent="0.25">
      <c r="A62" s="50" t="s">
        <v>76</v>
      </c>
      <c r="B62" s="44">
        <v>6580</v>
      </c>
    </row>
    <row r="63" spans="1:2" x14ac:dyDescent="0.25">
      <c r="A63" s="50" t="s">
        <v>77</v>
      </c>
      <c r="B63" s="44">
        <v>6600</v>
      </c>
    </row>
    <row r="64" spans="1:2" x14ac:dyDescent="0.25">
      <c r="A64" s="50" t="s">
        <v>9</v>
      </c>
      <c r="B64" s="44">
        <v>6650</v>
      </c>
    </row>
    <row r="65" spans="1:2" x14ac:dyDescent="0.25">
      <c r="A65" s="50" t="s">
        <v>79</v>
      </c>
      <c r="B65" s="44">
        <v>6700</v>
      </c>
    </row>
    <row r="66" spans="1:2" x14ac:dyDescent="0.25">
      <c r="A66" s="50" t="s">
        <v>80</v>
      </c>
      <c r="B66" s="44">
        <v>6750</v>
      </c>
    </row>
    <row r="67" spans="1:2" x14ac:dyDescent="0.25">
      <c r="A67" s="50" t="s">
        <v>81</v>
      </c>
      <c r="B67" s="44">
        <v>6780</v>
      </c>
    </row>
    <row r="68" spans="1:2" x14ac:dyDescent="0.25">
      <c r="A68" s="50" t="s">
        <v>82</v>
      </c>
      <c r="B68" s="44">
        <v>6800</v>
      </c>
    </row>
    <row r="69" spans="1:2" x14ac:dyDescent="0.25">
      <c r="A69" s="50" t="s">
        <v>83</v>
      </c>
      <c r="B69" s="44">
        <v>6850</v>
      </c>
    </row>
    <row r="70" spans="1:2" x14ac:dyDescent="0.25">
      <c r="A70" s="50" t="s">
        <v>84</v>
      </c>
      <c r="B70" s="44">
        <v>6900</v>
      </c>
    </row>
    <row r="71" spans="1:2" x14ac:dyDescent="0.25">
      <c r="A71" s="50" t="s">
        <v>85</v>
      </c>
      <c r="B71" s="44">
        <v>6950</v>
      </c>
    </row>
    <row r="72" spans="1:2" x14ac:dyDescent="0.25">
      <c r="A72" s="50" t="s">
        <v>86</v>
      </c>
      <c r="B72" s="44">
        <v>7000</v>
      </c>
    </row>
    <row r="73" spans="1:2" x14ac:dyDescent="0.25">
      <c r="A73" s="50" t="s">
        <v>87</v>
      </c>
      <c r="B73" s="44">
        <v>7050</v>
      </c>
    </row>
    <row r="74" spans="1:2" x14ac:dyDescent="0.25">
      <c r="A74" s="50" t="s">
        <v>88</v>
      </c>
      <c r="B74" s="44">
        <v>7100</v>
      </c>
    </row>
    <row r="75" spans="1:2" x14ac:dyDescent="0.25">
      <c r="A75" s="50" t="s">
        <v>89</v>
      </c>
      <c r="B75" s="44">
        <v>7150</v>
      </c>
    </row>
    <row r="76" spans="1:2" x14ac:dyDescent="0.25">
      <c r="A76" s="50" t="s">
        <v>90</v>
      </c>
      <c r="B76" s="44">
        <v>7200</v>
      </c>
    </row>
    <row r="77" spans="1:2" x14ac:dyDescent="0.25">
      <c r="A77" s="50" t="s">
        <v>91</v>
      </c>
      <c r="B77" s="44">
        <v>7250</v>
      </c>
    </row>
    <row r="78" spans="1:2" x14ac:dyDescent="0.25">
      <c r="A78" s="50" t="s">
        <v>92</v>
      </c>
      <c r="B78" s="44">
        <v>7300</v>
      </c>
    </row>
    <row r="79" spans="1:2" x14ac:dyDescent="0.25">
      <c r="A79" s="50" t="s">
        <v>93</v>
      </c>
      <c r="B79" s="44">
        <v>7350</v>
      </c>
    </row>
    <row r="80" spans="1:2" x14ac:dyDescent="0.25">
      <c r="A80" s="50" t="s">
        <v>94</v>
      </c>
      <c r="B80" s="44">
        <v>7400</v>
      </c>
    </row>
    <row r="81" spans="1:2" x14ac:dyDescent="0.25">
      <c r="A81" s="50" t="s">
        <v>95</v>
      </c>
      <c r="B81" s="44">
        <v>7450</v>
      </c>
    </row>
    <row r="82" spans="1:2" x14ac:dyDescent="0.25">
      <c r="A82" s="50" t="s">
        <v>96</v>
      </c>
      <c r="B82" s="44">
        <v>7500</v>
      </c>
    </row>
    <row r="83" spans="1:2" x14ac:dyDescent="0.25">
      <c r="A83" s="50" t="s">
        <v>97</v>
      </c>
      <c r="B83" s="44">
        <v>7550</v>
      </c>
    </row>
    <row r="84" spans="1:2" x14ac:dyDescent="0.25">
      <c r="A84" s="50" t="s">
        <v>98</v>
      </c>
      <c r="B84" s="44">
        <v>8000</v>
      </c>
    </row>
    <row r="85" spans="1:2" x14ac:dyDescent="0.25">
      <c r="A85" s="50" t="s">
        <v>99</v>
      </c>
      <c r="B85" s="44">
        <v>8100</v>
      </c>
    </row>
    <row r="86" spans="1:2" x14ac:dyDescent="0.25">
      <c r="A86" s="50" t="s">
        <v>100</v>
      </c>
      <c r="B86" s="44">
        <v>8200</v>
      </c>
    </row>
    <row r="87" spans="1:2" x14ac:dyDescent="0.25">
      <c r="A87" s="50" t="s">
        <v>101</v>
      </c>
      <c r="B87" s="44">
        <v>8500</v>
      </c>
    </row>
    <row r="88" spans="1:2" x14ac:dyDescent="0.25">
      <c r="A88" s="50" t="s">
        <v>102</v>
      </c>
      <c r="B88" s="44">
        <v>9000</v>
      </c>
    </row>
    <row r="89" spans="1:2" x14ac:dyDescent="0.25">
      <c r="A89" s="50" t="s">
        <v>87</v>
      </c>
      <c r="B89" s="44">
        <v>7050</v>
      </c>
    </row>
    <row r="90" spans="1:2" x14ac:dyDescent="0.25">
      <c r="A90" s="50" t="s">
        <v>88</v>
      </c>
      <c r="B90" s="44">
        <v>7100</v>
      </c>
    </row>
    <row r="91" spans="1:2" x14ac:dyDescent="0.25">
      <c r="A91" s="50" t="s">
        <v>89</v>
      </c>
      <c r="B91" s="44">
        <v>7150</v>
      </c>
    </row>
    <row r="92" spans="1:2" x14ac:dyDescent="0.25">
      <c r="A92" s="50" t="s">
        <v>134</v>
      </c>
      <c r="B92" s="44">
        <v>7160</v>
      </c>
    </row>
    <row r="93" spans="1:2" x14ac:dyDescent="0.25">
      <c r="A93" s="50" t="s">
        <v>90</v>
      </c>
      <c r="B93" s="44">
        <v>7200</v>
      </c>
    </row>
    <row r="94" spans="1:2" x14ac:dyDescent="0.25">
      <c r="A94" s="50" t="s">
        <v>91</v>
      </c>
      <c r="B94" s="44">
        <v>7250</v>
      </c>
    </row>
    <row r="95" spans="1:2" x14ac:dyDescent="0.25">
      <c r="A95" s="50" t="s">
        <v>92</v>
      </c>
      <c r="B95" s="44">
        <v>7300</v>
      </c>
    </row>
    <row r="96" spans="1:2" x14ac:dyDescent="0.25">
      <c r="A96" s="50" t="s">
        <v>93</v>
      </c>
      <c r="B96" s="44">
        <v>7350</v>
      </c>
    </row>
    <row r="97" spans="1:2" x14ac:dyDescent="0.25">
      <c r="A97" s="50" t="s">
        <v>135</v>
      </c>
      <c r="B97" s="44">
        <v>7360</v>
      </c>
    </row>
    <row r="98" spans="1:2" x14ac:dyDescent="0.25">
      <c r="A98" s="50" t="s">
        <v>94</v>
      </c>
      <c r="B98" s="44">
        <v>7400</v>
      </c>
    </row>
    <row r="99" spans="1:2" x14ac:dyDescent="0.25">
      <c r="A99" s="50" t="s">
        <v>95</v>
      </c>
      <c r="B99" s="44">
        <v>7450</v>
      </c>
    </row>
    <row r="100" spans="1:2" x14ac:dyDescent="0.25">
      <c r="A100" s="50" t="s">
        <v>96</v>
      </c>
      <c r="B100" s="44">
        <v>7500</v>
      </c>
    </row>
    <row r="101" spans="1:2" x14ac:dyDescent="0.25">
      <c r="A101" s="50" t="s">
        <v>97</v>
      </c>
      <c r="B101" s="44">
        <v>7550</v>
      </c>
    </row>
    <row r="102" spans="1:2" x14ac:dyDescent="0.25">
      <c r="A102" s="50" t="s">
        <v>98</v>
      </c>
      <c r="B102" s="44">
        <v>8000</v>
      </c>
    </row>
    <row r="103" spans="1:2" x14ac:dyDescent="0.25">
      <c r="A103" s="50" t="s">
        <v>99</v>
      </c>
      <c r="B103" s="44">
        <v>8100</v>
      </c>
    </row>
    <row r="104" spans="1:2" x14ac:dyDescent="0.25">
      <c r="A104" s="50" t="s">
        <v>100</v>
      </c>
      <c r="B104" s="44">
        <v>8200</v>
      </c>
    </row>
    <row r="105" spans="1:2" x14ac:dyDescent="0.25">
      <c r="A105" s="50" t="s">
        <v>101</v>
      </c>
      <c r="B105" s="44">
        <v>8500</v>
      </c>
    </row>
    <row r="106" spans="1:2" x14ac:dyDescent="0.25">
      <c r="A106" s="50" t="s">
        <v>136</v>
      </c>
      <c r="B106" s="44">
        <v>8600</v>
      </c>
    </row>
    <row r="107" spans="1:2" ht="13.5" thickBot="1" x14ac:dyDescent="0.3">
      <c r="A107" s="51" t="s">
        <v>102</v>
      </c>
      <c r="B107" s="52">
        <v>9000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7</vt:i4>
      </vt:variant>
    </vt:vector>
  </HeadingPairs>
  <TitlesOfParts>
    <vt:vector size="11" baseType="lpstr">
      <vt:lpstr>HSBC HKD CA</vt:lpstr>
      <vt:lpstr>HSBC HKD SA</vt:lpstr>
      <vt:lpstr>HSBC USD SA</vt:lpstr>
      <vt:lpstr>Chart of Accounts</vt:lpstr>
      <vt:lpstr>'HSBC USD SA'!_FilterDatabase</vt:lpstr>
      <vt:lpstr>'HSBC HKD CA'!Print_Area</vt:lpstr>
      <vt:lpstr>'HSBC HKD SA'!Print_Area</vt:lpstr>
      <vt:lpstr>'HSBC USD SA'!Print_Area</vt:lpstr>
      <vt:lpstr>'HSBC HKD CA'!Print_Titles</vt:lpstr>
      <vt:lpstr>'HSBC HKD SA'!Print_Titles</vt:lpstr>
      <vt:lpstr>'HSBC USD SA'!Print_Titles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Mak CPA (Practising)</dc:creator>
  <cp:lastModifiedBy>Dennis Mak</cp:lastModifiedBy>
  <cp:lastPrinted>2012-09-28T02:06:51Z</cp:lastPrinted>
  <dcterms:created xsi:type="dcterms:W3CDTF">2009-03-01T01:29:00Z</dcterms:created>
  <dcterms:modified xsi:type="dcterms:W3CDTF">2026-06-23T13:03:24Z</dcterms:modified>
</cp:coreProperties>
</file>