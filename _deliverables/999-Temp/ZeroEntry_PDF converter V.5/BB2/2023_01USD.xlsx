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S USD Current 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 mmm yyyy"/>
    <numFmt numFmtId="166" formatCode="#,##0.00;(#,##0.00);&quot;-&quot;"/>
    <numFmt numFmtId="167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USD Current Account</t>
        </is>
      </c>
      <c r="B2" s="4" t="n">
        <v>44926</v>
      </c>
      <c r="C2" s="3" t="inlineStr">
        <is>
          <t>承上結餘 Balance Brought Forward</t>
        </is>
      </c>
      <c r="D2" s="5" t="n"/>
      <c r="E2" s="5" t="n"/>
      <c r="F2" s="6" t="n">
        <v>-0.01</v>
      </c>
      <c r="G2" s="7">
        <f>IF(AND(D2="",E2=""),F2,IF(D2="",0,D2)-IF(E2="",0,E2))</f>
        <v/>
      </c>
    </row>
    <row r="3">
      <c r="A3" s="3" t="inlineStr">
        <is>
          <t>DBS USD Current Account</t>
        </is>
      </c>
      <c r="B3" s="4" t="n">
        <v>44944</v>
      </c>
      <c r="C3" s="3" t="inlineStr">
        <is>
          <t>CR 1513RF5984722 EBICT30118235944 EBICT30118235944 VIEWIDER LIMI VIEWIDER LIMITED USD 2225</t>
        </is>
      </c>
      <c r="D3" s="5" t="n">
        <v>2225</v>
      </c>
      <c r="E3" s="5" t="n"/>
      <c r="F3" s="6" t="n">
        <v>2224.99</v>
      </c>
      <c r="G3" s="7">
        <f>IF(AND(D3="",E3=""),F3,G2+IF(D3="",0,D3)-IF(E3="",0,E3))</f>
        <v/>
      </c>
    </row>
    <row r="4">
      <c r="A4" s="3" t="inlineStr">
        <is>
          <t>DBS USD Current Account</t>
        </is>
      </c>
      <c r="B4" s="4" t="n">
        <v>44945</v>
      </c>
      <c r="C4" s="3" t="inlineStr">
        <is>
          <t>CR 1513RF5993152 EBICT30119238113 EBICT30119238113 VIEWIDER LIMI VIEWIDER LIMITED USD 22874.69</t>
        </is>
      </c>
      <c r="D4" s="5" t="n">
        <v>22874.69</v>
      </c>
      <c r="E4" s="5" t="n"/>
      <c r="F4" s="6" t="n">
        <v>25099.68</v>
      </c>
      <c r="G4" s="7">
        <f>IF(AND(D4="",E4=""),F4,G3+IF(D4="",0,D4)-IF(E4="",0,E4))</f>
        <v/>
      </c>
    </row>
    <row r="5">
      <c r="A5" s="3" t="inlineStr">
        <is>
          <t>DBS USD Current Account</t>
        </is>
      </c>
      <c r="B5" s="4" t="n">
        <v>44945</v>
      </c>
      <c r="C5" s="3" t="inlineStr">
        <is>
          <t>INWARD CLEARING 000373 支票提取 CHEQUE WITHDRAWAL 000373 2023011900410030061760</t>
        </is>
      </c>
      <c r="D5" s="5" t="n"/>
      <c r="E5" s="5" t="n">
        <v>22874.69</v>
      </c>
      <c r="F5" s="6" t="n">
        <v>2224.99</v>
      </c>
      <c r="G5" s="7">
        <f>IF(AND(D5="",E5=""),F5,G4+IF(D5="",0,D5)-IF(E5="",0,E5))</f>
        <v/>
      </c>
    </row>
    <row r="6">
      <c r="A6" s="3" t="inlineStr">
        <is>
          <t>DBS USD Current Account</t>
        </is>
      </c>
      <c r="B6" s="4" t="n">
        <v>44945</v>
      </c>
      <c r="C6" s="3" t="inlineStr">
        <is>
          <t>INWARD CLEARING 000374 支票提取 CHEQUE WITHDRAWAL 000374 2023011901218090649100 交易詳情 Transaction Details</t>
        </is>
      </c>
      <c r="D6" s="5" t="n"/>
      <c r="E6" s="5" t="n">
        <v>2225</v>
      </c>
      <c r="F6" s="6" t="n">
        <v>-0.01</v>
      </c>
      <c r="G6" s="7">
        <f>IF(AND(D6="",E6=""),F6,G5+IF(D6="",0,D6)-IF(E6="",0,E6))</f>
        <v/>
      </c>
    </row>
    <row r="7">
      <c r="A7" s="3" t="inlineStr">
        <is>
          <t>DBS USD Current Account</t>
        </is>
      </c>
      <c r="B7" s="4" t="n">
        <v>44946</v>
      </c>
      <c r="C7" s="3" t="inlineStr">
        <is>
          <t>CR 1513RF5998721 EBICT30120240152 EBICT30120240152 VIEWIDER LIMI VIEWIDER LIMITED USD 0.01</t>
        </is>
      </c>
      <c r="D7" s="5" t="n">
        <v>0.01</v>
      </c>
      <c r="E7" s="5" t="n"/>
      <c r="F7" s="6" t="n">
        <v>0</v>
      </c>
      <c r="G7" s="7">
        <f>IF(AND(D7="",E7=""),F7,G6+IF(D7="",0,D7)-IF(E7="",0,E7))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2026-06-22T08:35:19Z</dcterms:created>
  <dcterms:modified xmlns:dcterms="http://purl.org/dc/terms/" xmlns:xsi="http://www.w3.org/2001/XMLSchema-instance" xsi:type="dcterms:W3CDTF">2026-06-22T08:35:19Z</dcterms:modified>
</cp:coreProperties>
</file>