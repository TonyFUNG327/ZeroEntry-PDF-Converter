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g Seng Savings Account" sheetId="1" state="visible" r:id="rId1"/>
    <sheet xmlns:r="http://schemas.openxmlformats.org/officeDocument/2006/relationships" name="Hang Seng Current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 mmm yyyy"/>
    <numFmt numFmtId="166" formatCode="#,##0.00;(#,##0.00);&quot;-&quot;"/>
    <numFmt numFmtId="167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Savings Account</t>
        </is>
      </c>
      <c r="B2" s="4" t="n">
        <v>45685</v>
      </c>
      <c r="C2" s="3" t="inlineStr">
        <is>
          <t>B/F BALANCE</t>
        </is>
      </c>
      <c r="D2" s="5" t="n"/>
      <c r="E2" s="5" t="n"/>
      <c r="F2" s="6" t="n">
        <v>26360.74</v>
      </c>
      <c r="G2" s="7">
        <f>IF(AND(D2="",E2=""),F2,IF(D2="",0,D2)-IF(E2="",0,E2))</f>
        <v/>
      </c>
    </row>
    <row r="3">
      <c r="A3" s="3" t="inlineStr">
        <is>
          <t>Hang Seng Savings Account</t>
        </is>
      </c>
      <c r="B3" s="4" t="n">
        <v>45689</v>
      </c>
      <c r="C3" s="3" t="inlineStr">
        <is>
          <t>CR TO 305-618258-001 AUTO SWEEPING (01FEB25)</t>
        </is>
      </c>
      <c r="D3" s="5" t="n"/>
      <c r="E3" s="5" t="n">
        <v>464.7</v>
      </c>
      <c r="F3" s="6" t="n">
        <v>25896.04</v>
      </c>
      <c r="G3" s="7">
        <f>IF(AND(D3="",E3=""),F3,G2+IF(D3="",0,D3)-IF(E3="",0,E3))</f>
        <v/>
      </c>
    </row>
    <row r="4">
      <c r="A4" s="3" t="inlineStr">
        <is>
          <t>Hang Seng Savings Account</t>
        </is>
      </c>
      <c r="B4" s="4" t="n">
        <v>45691</v>
      </c>
      <c r="C4" s="3" t="inlineStr">
        <is>
          <t>GLOBAL P A P (HK) L HD12520331768098 03FEB</t>
        </is>
      </c>
      <c r="D4" s="5" t="n">
        <v>67691.24000000001</v>
      </c>
      <c r="E4" s="5" t="n"/>
      <c r="F4" s="6" t="n"/>
      <c r="G4" s="7">
        <f>IF(AND(D4="",E4=""),F4,G3+IF(D4="",0,D4)-IF(E4="",0,E4))</f>
        <v/>
      </c>
    </row>
    <row r="5">
      <c r="A5" s="3" t="inlineStr">
        <is>
          <t>Hang Seng Savings Account</t>
        </is>
      </c>
      <c r="B5" s="4" t="n">
        <v>45691</v>
      </c>
      <c r="C5" s="3" t="inlineStr">
        <is>
          <t>GLOBAL P A P (HK) L HD12520331782740 03FEB</t>
        </is>
      </c>
      <c r="D5" s="5" t="n">
        <v>241882.28</v>
      </c>
      <c r="E5" s="5" t="n"/>
      <c r="F5" s="6" t="n"/>
      <c r="G5" s="7">
        <f>IF(AND(D5="",E5=""),F5,G4+IF(D5="",0,D5)-IF(E5="",0,E5))</f>
        <v/>
      </c>
    </row>
    <row r="6">
      <c r="A6" s="3" t="inlineStr">
        <is>
          <t>Hang Seng Savings Account</t>
        </is>
      </c>
      <c r="B6" s="4" t="n">
        <v>45691</v>
      </c>
      <c r="C6" s="3" t="inlineStr">
        <is>
          <t>CR TO 305-618258-001 N20377358765(03FEB25)</t>
        </is>
      </c>
      <c r="D6" s="5" t="n"/>
      <c r="E6" s="5" t="n">
        <v>300000</v>
      </c>
      <c r="F6" s="6" t="n">
        <v>35469.56</v>
      </c>
      <c r="G6" s="7">
        <f>IF(AND(D6="",E6=""),F6,G5+IF(D6="",0,D6)-IF(E6="",0,E6))</f>
        <v/>
      </c>
    </row>
    <row r="7">
      <c r="A7" s="3" t="inlineStr">
        <is>
          <t>Hang Seng Savings Account</t>
        </is>
      </c>
      <c r="B7" s="4" t="n">
        <v>45693</v>
      </c>
      <c r="C7" s="3" t="inlineStr">
        <is>
          <t>GLOBAL P A P (HK) L HD12520537619398 05FEB</t>
        </is>
      </c>
      <c r="D7" s="5" t="n">
        <v>70291.35000000001</v>
      </c>
      <c r="E7" s="5" t="n"/>
      <c r="F7" s="6" t="n"/>
      <c r="G7" s="7">
        <f>IF(AND(D7="",E7=""),F7,G6+IF(D7="",0,D7)-IF(E7="",0,E7))</f>
        <v/>
      </c>
    </row>
    <row r="8">
      <c r="A8" s="3" t="inlineStr">
        <is>
          <t>Hang Seng Savings Account</t>
        </is>
      </c>
      <c r="B8" s="4" t="n">
        <v>45693</v>
      </c>
      <c r="C8" s="3" t="inlineStr">
        <is>
          <t>CR TO 305-618258-001 N20584917449(05FEB25)</t>
        </is>
      </c>
      <c r="D8" s="5" t="n"/>
      <c r="E8" s="5" t="n">
        <v>40000</v>
      </c>
      <c r="F8" s="6" t="n"/>
      <c r="G8" s="7">
        <f>IF(AND(D8="",E8=""),F8,G7+IF(D8="",0,D8)-IF(E8="",0,E8))</f>
        <v/>
      </c>
    </row>
    <row r="9">
      <c r="A9" s="3" t="inlineStr">
        <is>
          <t>Hang Seng Savings Account</t>
        </is>
      </c>
      <c r="B9" s="4" t="n">
        <v>45693</v>
      </c>
      <c r="C9" s="3" t="inlineStr">
        <is>
          <t>QUICK CHEQUE DEPOSIT (05FEB25)</t>
        </is>
      </c>
      <c r="D9" s="5" t="n">
        <v>150000</v>
      </c>
      <c r="E9" s="5" t="n"/>
      <c r="F9" s="6" t="n">
        <v>215760.91</v>
      </c>
      <c r="G9" s="7">
        <f>IF(AND(D9="",E9=""),F9,G8+IF(D9="",0,D9)-IF(E9="",0,E9))</f>
        <v/>
      </c>
    </row>
    <row r="10">
      <c r="A10" s="3" t="inlineStr">
        <is>
          <t>Hang Seng Savings Account</t>
        </is>
      </c>
      <c r="B10" s="4" t="n">
        <v>45694</v>
      </c>
      <c r="C10" s="3" t="inlineStr">
        <is>
          <t>GLOBAL P A P (HK) L HD12520640708976 06FEB</t>
        </is>
      </c>
      <c r="D10" s="5" t="n">
        <v>41733.76</v>
      </c>
      <c r="E10" s="5" t="n"/>
      <c r="F10" s="6" t="n">
        <v>257494.67</v>
      </c>
      <c r="G10" s="7">
        <f>IF(AND(D10="",E10=""),F10,G9+IF(D10="",0,D10)-IF(E10="",0,E10))</f>
        <v/>
      </c>
    </row>
    <row r="11">
      <c r="A11" s="3" t="inlineStr">
        <is>
          <t>Hang Seng Savings Account</t>
        </is>
      </c>
      <c r="B11" s="4" t="n">
        <v>45695</v>
      </c>
      <c r="C11" s="3" t="inlineStr">
        <is>
          <t>GLOBAL P A P (HK) L HD12520743738500 07FEB</t>
        </is>
      </c>
      <c r="D11" s="5" t="n">
        <v>48356.93</v>
      </c>
      <c r="E11" s="5" t="n"/>
      <c r="F11" s="6" t="n"/>
      <c r="G11" s="7">
        <f>IF(AND(D11="",E11=""),F11,G10+IF(D11="",0,D11)-IF(E11="",0,E11))</f>
        <v/>
      </c>
    </row>
    <row r="12">
      <c r="A12" s="3" t="inlineStr">
        <is>
          <t>Hang Seng Savings Account</t>
        </is>
      </c>
      <c r="B12" s="4" t="n">
        <v>45695</v>
      </c>
      <c r="C12" s="3" t="inlineStr">
        <is>
          <t>COMP AMEND FEE AJ BOS WCAS-46</t>
        </is>
      </c>
      <c r="D12" s="5" t="n"/>
      <c r="E12" s="5" t="n">
        <v>200</v>
      </c>
      <c r="F12" s="6" t="n">
        <v>305651.6</v>
      </c>
      <c r="G12" s="7">
        <f>IF(AND(D12="",E12=""),F12,G11+IF(D12="",0,D12)-IF(E12="",0,E12))</f>
        <v/>
      </c>
    </row>
    <row r="13">
      <c r="A13" s="3" t="inlineStr">
        <is>
          <t>Hang Seng Savings Account</t>
        </is>
      </c>
      <c r="B13" s="4" t="n">
        <v>45696</v>
      </c>
      <c r="C13" s="3" t="inlineStr">
        <is>
          <t>CR TO 305-618258-001 N20895703780(08FEB25)</t>
        </is>
      </c>
      <c r="D13" s="5" t="n"/>
      <c r="E13" s="5" t="n">
        <v>200000</v>
      </c>
      <c r="F13" s="6" t="n"/>
      <c r="G13" s="7">
        <f>IF(AND(D13="",E13=""),F13,G12+IF(D13="",0,D13)-IF(E13="",0,E13))</f>
        <v/>
      </c>
    </row>
    <row r="14">
      <c r="A14" s="3" t="inlineStr">
        <is>
          <t>Hang Seng Savings Account</t>
        </is>
      </c>
      <c r="B14" s="4" t="n">
        <v>45696</v>
      </c>
      <c r="C14" s="3" t="inlineStr">
        <is>
          <t>CHARGES HD12520745968339 07FEB</t>
        </is>
      </c>
      <c r="D14" s="5" t="n"/>
      <c r="E14" s="5" t="n">
        <v>5</v>
      </c>
      <c r="F14" s="6" t="n"/>
      <c r="G14" s="7">
        <f>IF(AND(D14="",E14=""),F14,G13+IF(D14="",0,D14)-IF(E14="",0,E14))</f>
        <v/>
      </c>
    </row>
    <row r="15">
      <c r="A15" s="3" t="inlineStr">
        <is>
          <t>Hang Seng Savings Account</t>
        </is>
      </c>
      <c r="B15" s="4" t="n">
        <v>45696</v>
      </c>
      <c r="C15" s="3" t="inlineStr">
        <is>
          <t>TANG TSZ PING HD12520745968339 07FEB</t>
        </is>
      </c>
      <c r="D15" s="5" t="n"/>
      <c r="E15" s="5" t="n">
        <v>30000</v>
      </c>
      <c r="F15" s="6" t="n">
        <v>75646.60000000001</v>
      </c>
      <c r="G15" s="7">
        <f>IF(AND(D15="",E15=""),F15,G14+IF(D15="",0,D15)-IF(E15="",0,E15))</f>
        <v/>
      </c>
    </row>
    <row r="16">
      <c r="A16" s="3" t="inlineStr">
        <is>
          <t>Hang Seng Savings Account</t>
        </is>
      </c>
      <c r="B16" s="4" t="n">
        <v>45698</v>
      </c>
      <c r="C16" s="3" t="inlineStr">
        <is>
          <t>GLOBAL P A P (HK) L HD12521051310072 10FEB</t>
        </is>
      </c>
      <c r="D16" s="5" t="n">
        <v>60699.27</v>
      </c>
      <c r="E16" s="5" t="n"/>
      <c r="F16" s="6" t="n"/>
      <c r="G16" s="7">
        <f>IF(AND(D16="",E16=""),F16,G15+IF(D16="",0,D16)-IF(E16="",0,E16))</f>
        <v/>
      </c>
    </row>
    <row r="17">
      <c r="A17" s="3" t="inlineStr">
        <is>
          <t>Hang Seng Savings Account</t>
        </is>
      </c>
      <c r="B17" s="4" t="n">
        <v>45698</v>
      </c>
      <c r="C17" s="3" t="inlineStr">
        <is>
          <t>GLOBAL P A P (HK) L HD12521051317222 10FEB</t>
        </is>
      </c>
      <c r="D17" s="5" t="n">
        <v>127817.17</v>
      </c>
      <c r="E17" s="5" t="n"/>
      <c r="F17" s="6" t="n"/>
      <c r="G17" s="7">
        <f>IF(AND(D17="",E17=""),F17,G16+IF(D17="",0,D17)-IF(E17="",0,E17))</f>
        <v/>
      </c>
    </row>
    <row r="18">
      <c r="A18" s="3" t="inlineStr">
        <is>
          <t>Hang Seng Savings Account</t>
        </is>
      </c>
      <c r="B18" s="4" t="n">
        <v>45698</v>
      </c>
      <c r="C18" s="3" t="inlineStr">
        <is>
          <t>CR TO 305-618258-001 N21003080728(10FEB25)</t>
        </is>
      </c>
      <c r="D18" s="5" t="n"/>
      <c r="E18" s="5" t="n">
        <v>200000</v>
      </c>
      <c r="F18" s="6" t="n"/>
      <c r="G18" s="7">
        <f>IF(AND(D18="",E18=""),F18,G17+IF(D18="",0,D18)-IF(E18="",0,E18))</f>
        <v/>
      </c>
    </row>
    <row r="19">
      <c r="A19" s="3" t="inlineStr">
        <is>
          <t>Hang Seng Savings Account</t>
        </is>
      </c>
      <c r="B19" s="4" t="n">
        <v>45698</v>
      </c>
      <c r="C19" s="3" t="inlineStr">
        <is>
          <t>CHARGES HD12521052637901 10FEB</t>
        </is>
      </c>
      <c r="D19" s="5" t="n"/>
      <c r="E19" s="5" t="n">
        <v>5</v>
      </c>
      <c r="F19" s="6" t="n"/>
      <c r="G19" s="7">
        <f>IF(AND(D19="",E19=""),F19,G18+IF(D19="",0,D19)-IF(E19="",0,E19))</f>
        <v/>
      </c>
    </row>
    <row r="20">
      <c r="A20" s="3" t="inlineStr">
        <is>
          <t>Hang Seng Savings Account</t>
        </is>
      </c>
      <c r="B20" s="4" t="n">
        <v>45698</v>
      </c>
      <c r="C20" s="3" t="inlineStr">
        <is>
          <t>XIANG TING HD12521052637901 10FEB</t>
        </is>
      </c>
      <c r="D20" s="5" t="n"/>
      <c r="E20" s="5" t="n">
        <v>2225</v>
      </c>
      <c r="F20" s="6" t="n">
        <v>61933.04</v>
      </c>
      <c r="G20" s="7">
        <f>IF(AND(D20="",E20=""),F20,G19+IF(D20="",0,D20)-IF(E20="",0,E20))</f>
        <v/>
      </c>
    </row>
    <row r="21">
      <c r="A21" s="3" t="inlineStr">
        <is>
          <t>Hang Seng Savings Account</t>
        </is>
      </c>
      <c r="B21" s="4" t="n">
        <v>45699</v>
      </c>
      <c r="C21" s="3" t="inlineStr">
        <is>
          <t>GLOBAL P A P (HK) L HD12521153951224 11FEB</t>
        </is>
      </c>
      <c r="D21" s="5" t="n">
        <v>27161.22</v>
      </c>
      <c r="E21" s="5" t="n"/>
      <c r="F21" s="6" t="n"/>
      <c r="G21" s="7">
        <f>IF(AND(D21="",E21=""),F21,G20+IF(D21="",0,D21)-IF(E21="",0,E21))</f>
        <v/>
      </c>
    </row>
    <row r="22">
      <c r="A22" s="3" t="inlineStr">
        <is>
          <t>Hang Seng Savings Account</t>
        </is>
      </c>
      <c r="B22" s="4" t="n">
        <v>45699</v>
      </c>
      <c r="C22" s="3" t="inlineStr">
        <is>
          <t>CR TO 305-618258-001 N21105168874(11FEB25)</t>
        </is>
      </c>
      <c r="D22" s="5" t="n"/>
      <c r="E22" s="5" t="n">
        <v>50000</v>
      </c>
      <c r="F22" s="6" t="n">
        <v>39094.26</v>
      </c>
      <c r="G22" s="7">
        <f>IF(AND(D22="",E22=""),F22,G21+IF(D22="",0,D22)-IF(E22="",0,E22))</f>
        <v/>
      </c>
    </row>
    <row r="23">
      <c r="A23" s="3" t="inlineStr">
        <is>
          <t>Hang Seng Savings Account</t>
        </is>
      </c>
      <c r="B23" s="4" t="n">
        <v>45700</v>
      </c>
      <c r="C23" s="3" t="inlineStr">
        <is>
          <t>GLOBAL P A P (HK) L HD12521256647312 12FEB</t>
        </is>
      </c>
      <c r="D23" s="5" t="n">
        <v>41850.9</v>
      </c>
      <c r="E23" s="5" t="n"/>
      <c r="F23" s="6" t="n">
        <v>80945.16</v>
      </c>
      <c r="G23" s="7">
        <f>IF(AND(D23="",E23=""),F23,G22+IF(D23="",0,D23)-IF(E23="",0,E23))</f>
        <v/>
      </c>
    </row>
    <row r="24">
      <c r="A24" s="3" t="inlineStr">
        <is>
          <t>Hang Seng Savings Account</t>
        </is>
      </c>
      <c r="B24" s="4" t="n">
        <v>45701</v>
      </c>
      <c r="C24" s="3" t="inlineStr">
        <is>
          <t>CR TO 305-618258-001 N21311599295(13FEB25)</t>
        </is>
      </c>
      <c r="D24" s="5" t="n"/>
      <c r="E24" s="5" t="n">
        <v>50000</v>
      </c>
      <c r="F24" s="6" t="n">
        <v>30945.16</v>
      </c>
      <c r="G24" s="7">
        <f>IF(AND(D24="",E24=""),F24,G23+IF(D24="",0,D24)-IF(E24="",0,E24))</f>
        <v/>
      </c>
    </row>
    <row r="25">
      <c r="A25" s="3" t="inlineStr">
        <is>
          <t>Hang Seng Savings Account</t>
        </is>
      </c>
      <c r="B25" s="4" t="n">
        <v>45702</v>
      </c>
      <c r="C25" s="3" t="inlineStr">
        <is>
          <t>INFORICH ASIA HONG K HD12521461957497 14FEB</t>
        </is>
      </c>
      <c r="D25" s="5" t="n">
        <v>120.6</v>
      </c>
      <c r="E25" s="5" t="n"/>
      <c r="F25" s="6" t="n">
        <v>31065.76</v>
      </c>
      <c r="G25" s="7">
        <f>IF(AND(D25="",E25=""),F25,G24+IF(D25="",0,D25)-IF(E25="",0,E25))</f>
        <v/>
      </c>
    </row>
    <row r="26">
      <c r="A26" s="3" t="inlineStr">
        <is>
          <t>Hang Seng Savings Account</t>
        </is>
      </c>
      <c r="B26" s="4" t="n">
        <v>45705</v>
      </c>
      <c r="C26" s="3" t="inlineStr">
        <is>
          <t>GLOBAL P A P (HK) L HD12521769457834 17FEB</t>
        </is>
      </c>
      <c r="D26" s="5" t="n">
        <v>298355.85</v>
      </c>
      <c r="E26" s="5" t="n"/>
      <c r="F26" s="6" t="n"/>
      <c r="G26" s="7">
        <f>IF(AND(D26="",E26=""),F26,G25+IF(D26="",0,D26)-IF(E26="",0,E26))</f>
        <v/>
      </c>
    </row>
    <row r="27">
      <c r="A27" s="3" t="inlineStr">
        <is>
          <t>Hang Seng Savings Account</t>
        </is>
      </c>
      <c r="B27" s="4" t="n">
        <v>45705</v>
      </c>
      <c r="C27" s="3" t="inlineStr">
        <is>
          <t>CR TO 305-618258-001 N21723867058(17FEB25)</t>
        </is>
      </c>
      <c r="D27" s="5" t="n"/>
      <c r="E27" s="5" t="n">
        <v>200000</v>
      </c>
      <c r="F27" s="6" t="n"/>
      <c r="G27" s="7">
        <f>IF(AND(D27="",E27=""),F27,G26+IF(D27="",0,D27)-IF(E27="",0,E27))</f>
        <v/>
      </c>
    </row>
    <row r="28">
      <c r="A28" s="3" t="inlineStr">
        <is>
          <t>Hang Seng Savings Account</t>
        </is>
      </c>
      <c r="B28" s="4" t="n">
        <v>45705</v>
      </c>
      <c r="C28" s="3" t="inlineStr">
        <is>
          <t>LAI FAI LONG HD12521769963365 17FEB</t>
        </is>
      </c>
      <c r="D28" s="5" t="n"/>
      <c r="E28" s="5" t="n">
        <v>2900</v>
      </c>
      <c r="F28" s="6" t="n"/>
      <c r="G28" s="7">
        <f>IF(AND(D28="",E28=""),F28,G27+IF(D28="",0,D28)-IF(E28="",0,E28))</f>
        <v/>
      </c>
    </row>
    <row r="29">
      <c r="A29" s="3" t="inlineStr">
        <is>
          <t>Hang Seng Savings Account</t>
        </is>
      </c>
      <c r="B29" s="4" t="n">
        <v>45705</v>
      </c>
      <c r="C29" s="3" t="inlineStr">
        <is>
          <t>CHARGES HD12521769963365 17FEB</t>
        </is>
      </c>
      <c r="D29" s="5" t="n"/>
      <c r="E29" s="5" t="n">
        <v>5</v>
      </c>
      <c r="F29" s="6" t="n">
        <v>126516.61</v>
      </c>
      <c r="G29" s="7">
        <f>IF(AND(D29="",E29=""),F29,G28+IF(D29="",0,D29)-IF(E29="",0,E29))</f>
        <v/>
      </c>
    </row>
    <row r="30">
      <c r="A30" s="3" t="inlineStr">
        <is>
          <t>Hang Seng Savings Account</t>
        </is>
      </c>
      <c r="B30" s="4" t="n">
        <v>45706</v>
      </c>
      <c r="C30" s="3" t="inlineStr">
        <is>
          <t>GLOBAL P A P (HK) L HD12521872035450 18FEB</t>
        </is>
      </c>
      <c r="D30" s="5" t="n">
        <v>37721.42</v>
      </c>
      <c r="E30" s="5" t="n"/>
      <c r="F30" s="6" t="n"/>
      <c r="G30" s="7">
        <f>IF(AND(D30="",E30=""),F30,G29+IF(D30="",0,D30)-IF(E30="",0,E30))</f>
        <v/>
      </c>
    </row>
    <row r="31">
      <c r="A31" s="3" t="inlineStr">
        <is>
          <t>Hang Seng Savings Account</t>
        </is>
      </c>
      <c r="B31" s="4" t="n">
        <v>45706</v>
      </c>
      <c r="C31" s="3" t="inlineStr">
        <is>
          <t>CR TO 305-618258-001 N21826993940(18FEB25)</t>
        </is>
      </c>
      <c r="D31" s="5" t="n"/>
      <c r="E31" s="5" t="n">
        <v>130000</v>
      </c>
      <c r="F31" s="6" t="n"/>
      <c r="G31" s="7">
        <f>IF(AND(D31="",E31=""),F31,G30+IF(D31="",0,D31)-IF(E31="",0,E31))</f>
        <v/>
      </c>
    </row>
    <row r="32">
      <c r="A32" s="3" t="inlineStr">
        <is>
          <t>Hang Seng Savings Account</t>
        </is>
      </c>
      <c r="B32" s="4" t="n">
        <v>45706</v>
      </c>
      <c r="C32" s="3" t="inlineStr">
        <is>
          <t>CR TO 294-581616-001 N21827275259(18FEB25)</t>
        </is>
      </c>
      <c r="D32" s="5" t="n"/>
      <c r="E32" s="5" t="n">
        <v>1576.05</v>
      </c>
      <c r="F32" s="6" t="n"/>
      <c r="G32" s="7">
        <f>IF(AND(D32="",E32=""),F32,G31+IF(D32="",0,D32)-IF(E32="",0,E32))</f>
        <v/>
      </c>
    </row>
    <row r="33">
      <c r="A33" s="3" t="inlineStr">
        <is>
          <t>Hang Seng Savings Account</t>
        </is>
      </c>
      <c r="B33" s="4" t="n">
        <v>45706</v>
      </c>
      <c r="C33" s="3" t="inlineStr">
        <is>
          <t>CHARGES HD12521872250052 18FEB</t>
        </is>
      </c>
      <c r="D33" s="5" t="n"/>
      <c r="E33" s="5" t="n">
        <v>5</v>
      </c>
      <c r="F33" s="6" t="n"/>
      <c r="G33" s="7">
        <f>IF(AND(D33="",E33=""),F33,G32+IF(D33="",0,D33)-IF(E33="",0,E33))</f>
        <v/>
      </c>
    </row>
    <row r="34">
      <c r="A34" s="3" t="inlineStr">
        <is>
          <t>Hang Seng Savings Account</t>
        </is>
      </c>
      <c r="B34" s="4" t="n">
        <v>45706</v>
      </c>
      <c r="C34" s="3" t="inlineStr">
        <is>
          <t>FORTUNE MART (HONG K HD12521872250052 18FEB</t>
        </is>
      </c>
      <c r="D34" s="5" t="n"/>
      <c r="E34" s="5" t="n">
        <v>2062</v>
      </c>
      <c r="F34" s="6" t="n">
        <v>30594.98</v>
      </c>
      <c r="G34" s="7">
        <f>IF(AND(D34="",E34=""),F34,G33+IF(D34="",0,D34)-IF(E34="",0,E34))</f>
        <v/>
      </c>
    </row>
    <row r="35">
      <c r="A35" s="3" t="inlineStr">
        <is>
          <t>Hang Seng Savings Account</t>
        </is>
      </c>
      <c r="B35" s="4" t="n">
        <v>45707</v>
      </c>
      <c r="C35" s="3" t="inlineStr">
        <is>
          <t>GLOBAL P A P (HK) L HD12521974576804 19FEB</t>
        </is>
      </c>
      <c r="D35" s="5" t="n">
        <v>35638.11</v>
      </c>
      <c r="E35" s="5" t="n"/>
      <c r="F35" s="6" t="n">
        <v>66233.09</v>
      </c>
      <c r="G35" s="7">
        <f>IF(AND(D35="",E35=""),F35,G34+IF(D35="",0,D35)-IF(E35="",0,E35))</f>
        <v/>
      </c>
    </row>
    <row r="36">
      <c r="A36" s="3" t="inlineStr">
        <is>
          <t>Hang Seng Savings Account</t>
        </is>
      </c>
      <c r="B36" s="4" t="n">
        <v>45708</v>
      </c>
      <c r="C36" s="3" t="inlineStr">
        <is>
          <t>GLOBAL P A P (HK) L HD12522077324387 20FEB</t>
        </is>
      </c>
      <c r="D36" s="5" t="n">
        <v>41587.08</v>
      </c>
      <c r="E36" s="5" t="n"/>
      <c r="F36" s="6" t="n"/>
      <c r="G36" s="7">
        <f>IF(AND(D36="",E36=""),F36,G35+IF(D36="",0,D36)-IF(E36="",0,E36))</f>
        <v/>
      </c>
    </row>
    <row r="37">
      <c r="A37" s="3" t="inlineStr">
        <is>
          <t>Hang Seng Savings Account</t>
        </is>
      </c>
      <c r="B37" s="4" t="n">
        <v>45708</v>
      </c>
      <c r="C37" s="3" t="inlineStr">
        <is>
          <t>CR TO 305-618258-001 N22033938360(20FEB25)</t>
        </is>
      </c>
      <c r="D37" s="5" t="n"/>
      <c r="E37" s="5" t="n">
        <v>70000</v>
      </c>
      <c r="F37" s="6" t="n">
        <v>37820.17</v>
      </c>
      <c r="G37" s="7">
        <f>IF(AND(D37="",E37=""),F37,G36+IF(D37="",0,D37)-IF(E37="",0,E37))</f>
        <v/>
      </c>
    </row>
    <row r="38">
      <c r="A38" s="3" t="inlineStr">
        <is>
          <t>Hang Seng Savings Account</t>
        </is>
      </c>
      <c r="B38" s="4" t="n">
        <v>45709</v>
      </c>
      <c r="C38" s="3" t="inlineStr">
        <is>
          <t>GLOBAL P A P (HK) L HD12522179863511 21FEB</t>
        </is>
      </c>
      <c r="D38" s="5" t="n">
        <v>34024.92</v>
      </c>
      <c r="E38" s="5" t="n"/>
      <c r="F38" s="6" t="n"/>
      <c r="G38" s="7">
        <f>IF(AND(D38="",E38=""),F38,G37+IF(D38="",0,D38)-IF(E38="",0,E38))</f>
        <v/>
      </c>
    </row>
    <row r="39">
      <c r="A39" s="3" t="inlineStr">
        <is>
          <t>Hang Seng Savings Account</t>
        </is>
      </c>
      <c r="B39" s="4" t="n">
        <v>45709</v>
      </c>
      <c r="C39" s="3" t="inlineStr">
        <is>
          <t>CR TO 305-618258-001 N22136635306(21FEB25)</t>
        </is>
      </c>
      <c r="D39" s="5" t="n"/>
      <c r="E39" s="5" t="n">
        <v>40000</v>
      </c>
      <c r="F39" s="6" t="n">
        <v>31845.09</v>
      </c>
      <c r="G39" s="7">
        <f>IF(AND(D39="",E39=""),F39,G38+IF(D39="",0,D39)-IF(E39="",0,E39))</f>
        <v/>
      </c>
    </row>
    <row r="40">
      <c r="A40" s="3" t="inlineStr">
        <is>
          <t>Hang Seng Savings Account</t>
        </is>
      </c>
      <c r="B40" s="4" t="n">
        <v>45710</v>
      </c>
      <c r="C40" s="3" t="inlineStr">
        <is>
          <t>CHARGES HD12522282608786 22FEB</t>
        </is>
      </c>
      <c r="D40" s="5" t="n"/>
      <c r="E40" s="5" t="n">
        <v>5</v>
      </c>
      <c r="F40" s="6" t="n"/>
      <c r="G40" s="7">
        <f>IF(AND(D40="",E40=""),F40,G39+IF(D40="",0,D40)-IF(E40="",0,E40))</f>
        <v/>
      </c>
    </row>
    <row r="41">
      <c r="A41" s="3" t="inlineStr">
        <is>
          <t>Hang Seng Savings Account</t>
        </is>
      </c>
      <c r="B41" s="4" t="n">
        <v>45710</v>
      </c>
      <c r="C41" s="3" t="inlineStr">
        <is>
          <t>FORTUNE MART (HONG K HD12522282608786 22FEB</t>
        </is>
      </c>
      <c r="D41" s="5" t="n"/>
      <c r="E41" s="5" t="n">
        <v>1306</v>
      </c>
      <c r="F41" s="6" t="n"/>
      <c r="G41" s="7">
        <f>IF(AND(D41="",E41=""),F41,G40+IF(D41="",0,D41)-IF(E41="",0,E41))</f>
        <v/>
      </c>
    </row>
    <row r="42">
      <c r="A42" s="3" t="inlineStr">
        <is>
          <t>Hang Seng Savings Account</t>
        </is>
      </c>
      <c r="B42" s="4" t="n">
        <v>45710</v>
      </c>
      <c r="C42" s="3" t="inlineStr">
        <is>
          <t>CHARGES HD12522282611053 22FEB</t>
        </is>
      </c>
      <c r="D42" s="5" t="n"/>
      <c r="E42" s="5" t="n">
        <v>5</v>
      </c>
      <c r="F42" s="6" t="n"/>
      <c r="G42" s="7">
        <f>IF(AND(D42="",E42=""),F42,G41+IF(D42="",0,D42)-IF(E42="",0,E42))</f>
        <v/>
      </c>
    </row>
    <row r="43">
      <c r="A43" s="3" t="inlineStr">
        <is>
          <t>Hang Seng Savings Account</t>
        </is>
      </c>
      <c r="B43" s="4" t="n">
        <v>45710</v>
      </c>
      <c r="C43" s="3" t="inlineStr">
        <is>
          <t>KWAI HONG (H.K.) LIM HD12522282611053 22FEB</t>
        </is>
      </c>
      <c r="D43" s="5" t="n"/>
      <c r="E43" s="5" t="n">
        <v>2700</v>
      </c>
      <c r="F43" s="6" t="n">
        <v>27829.09</v>
      </c>
      <c r="G43" s="7">
        <f>IF(AND(D43="",E43=""),F43,G42+IF(D43="",0,D43)-IF(E43="",0,E43))</f>
        <v/>
      </c>
    </row>
    <row r="44">
      <c r="A44" s="3" t="inlineStr">
        <is>
          <t>Hang Seng Savings Account</t>
        </is>
      </c>
      <c r="B44" s="4" t="n">
        <v>45712</v>
      </c>
      <c r="C44" s="3" t="inlineStr">
        <is>
          <t>GLOBAL P A P (HK) L HD12522486924420 24FEB</t>
        </is>
      </c>
      <c r="D44" s="5" t="n">
        <v>120819.68</v>
      </c>
      <c r="E44" s="5" t="n"/>
      <c r="F44" s="6" t="n"/>
      <c r="G44" s="7">
        <f>IF(AND(D44="",E44=""),F44,G43+IF(D44="",0,D44)-IF(E44="",0,E44))</f>
        <v/>
      </c>
    </row>
    <row r="45">
      <c r="A45" s="3" t="inlineStr">
        <is>
          <t>Hang Seng Savings Account</t>
        </is>
      </c>
      <c r="B45" s="4" t="n">
        <v>45712</v>
      </c>
      <c r="C45" s="3" t="inlineStr">
        <is>
          <t>GLOBAL P A P (HK) L HD12522486926808 24FEB</t>
        </is>
      </c>
      <c r="D45" s="5" t="n">
        <v>56304.17</v>
      </c>
      <c r="E45" s="5" t="n"/>
      <c r="F45" s="6" t="n"/>
      <c r="G45" s="7">
        <f>IF(AND(D45="",E45=""),F45,G44+IF(D45="",0,D45)-IF(E45="",0,E45))</f>
        <v/>
      </c>
    </row>
    <row r="46">
      <c r="A46" s="3" t="inlineStr">
        <is>
          <t>Hang Seng Savings Account</t>
        </is>
      </c>
      <c r="B46" s="4" t="n">
        <v>45712</v>
      </c>
      <c r="C46" s="3" t="inlineStr">
        <is>
          <t>CHARGES HD12522487109682 24FEB</t>
        </is>
      </c>
      <c r="D46" s="5" t="n"/>
      <c r="E46" s="5" t="n">
        <v>5</v>
      </c>
      <c r="F46" s="6" t="n"/>
      <c r="G46" s="7">
        <f>IF(AND(D46="",E46=""),F46,G45+IF(D46="",0,D46)-IF(E46="",0,E46))</f>
        <v/>
      </c>
    </row>
    <row r="47">
      <c r="A47" s="3" t="inlineStr">
        <is>
          <t>Hang Seng Savings Account</t>
        </is>
      </c>
      <c r="B47" s="4" t="n">
        <v>45712</v>
      </c>
      <c r="C47" s="3" t="inlineStr">
        <is>
          <t>LEBON FOOD &amp; BEVERAG HD12522487109682 24FEB</t>
        </is>
      </c>
      <c r="D47" s="5" t="n"/>
      <c r="E47" s="5" t="n">
        <v>2040</v>
      </c>
      <c r="F47" s="6" t="n"/>
      <c r="G47" s="7">
        <f>IF(AND(D47="",E47=""),F47,G46+IF(D47="",0,D47)-IF(E47="",0,E47))</f>
        <v/>
      </c>
    </row>
    <row r="48">
      <c r="A48" s="3" t="inlineStr">
        <is>
          <t>Hang Seng Savings Account</t>
        </is>
      </c>
      <c r="B48" s="4" t="n">
        <v>45712</v>
      </c>
      <c r="C48" s="3" t="inlineStr">
        <is>
          <t>CR TO 305-618258-001 N22445496656(24FEB25)</t>
        </is>
      </c>
      <c r="D48" s="5" t="n"/>
      <c r="E48" s="5" t="n">
        <v>90000</v>
      </c>
      <c r="F48" s="6" t="n">
        <v>112907.94</v>
      </c>
      <c r="G48" s="7">
        <f>IF(AND(D48="",E48=""),F48,G47+IF(D48="",0,D48)-IF(E48="",0,E48))</f>
        <v/>
      </c>
    </row>
    <row r="49">
      <c r="A49" s="3" t="inlineStr">
        <is>
          <t>Hang Seng Savings Account</t>
        </is>
      </c>
      <c r="B49" s="4" t="n">
        <v>45713</v>
      </c>
      <c r="C49" s="3" t="inlineStr">
        <is>
          <t>CR TO 305-618258-001 AUTO SWEEPING (25FEB25)</t>
        </is>
      </c>
      <c r="D49" s="5" t="n"/>
      <c r="E49" s="5" t="n">
        <v>10538.54</v>
      </c>
      <c r="F49" s="6" t="n"/>
      <c r="G49" s="7">
        <f>IF(AND(D49="",E49=""),F49,G48+IF(D49="",0,D49)-IF(E49="",0,E49))</f>
        <v/>
      </c>
    </row>
    <row r="50">
      <c r="A50" s="3" t="inlineStr">
        <is>
          <t>Hang Seng Savings Account</t>
        </is>
      </c>
      <c r="B50" s="4" t="n">
        <v>45713</v>
      </c>
      <c r="C50" s="3" t="inlineStr">
        <is>
          <t>GLOBAL P A P (HK) L HD12522589565590 25FEB</t>
        </is>
      </c>
      <c r="D50" s="5" t="n">
        <v>32198.24</v>
      </c>
      <c r="E50" s="5" t="n"/>
      <c r="F50" s="6" t="n"/>
      <c r="G50" s="7">
        <f>IF(AND(D50="",E50=""),F50,G49+IF(D50="",0,D50)-IF(E50="",0,E50))</f>
        <v/>
      </c>
    </row>
    <row r="51">
      <c r="A51" s="3" t="inlineStr">
        <is>
          <t>Hang Seng Savings Account</t>
        </is>
      </c>
      <c r="B51" s="4" t="n">
        <v>45713</v>
      </c>
      <c r="C51" s="3" t="inlineStr">
        <is>
          <t>CR TO 305-618258-001 N22548863346(25FEB25)</t>
        </is>
      </c>
      <c r="D51" s="5" t="n"/>
      <c r="E51" s="5" t="n">
        <v>100000</v>
      </c>
      <c r="F51" s="6" t="n">
        <v>34567.64</v>
      </c>
      <c r="G51" s="7">
        <f>IF(AND(D51="",E51=""),F51,G50+IF(D51="",0,D51)-IF(E51="",0,E51))</f>
        <v/>
      </c>
    </row>
    <row r="52">
      <c r="A52" s="3" t="inlineStr">
        <is>
          <t>Hang Seng Savings Account</t>
        </is>
      </c>
      <c r="B52" s="4" t="n">
        <v>45714</v>
      </c>
      <c r="C52" s="3" t="inlineStr">
        <is>
          <t>CREDIT INTEREST</t>
        </is>
      </c>
      <c r="D52" s="5" t="n">
        <v>15.57</v>
      </c>
      <c r="E52" s="5" t="n"/>
      <c r="F52" s="6" t="n"/>
      <c r="G52" s="7">
        <f>IF(AND(D52="",E52=""),F52,G51+IF(D52="",0,D52)-IF(E52="",0,E52))</f>
        <v/>
      </c>
    </row>
    <row r="53">
      <c r="A53" s="3" t="inlineStr">
        <is>
          <t>Hang Seng Savings Account</t>
        </is>
      </c>
      <c r="B53" s="4" t="n">
        <v>45714</v>
      </c>
      <c r="C53" s="3" t="inlineStr">
        <is>
          <t>GLOBAL P A P (HK) L HD12522692380881 26FEB</t>
        </is>
      </c>
      <c r="D53" s="5" t="n">
        <v>41048.63</v>
      </c>
      <c r="E53" s="5" t="n"/>
      <c r="F53" s="6" t="n"/>
      <c r="G53" s="7">
        <f>IF(AND(D53="",E53=""),F53,G52+IF(D53="",0,D53)-IF(E53="",0,E53))</f>
        <v/>
      </c>
    </row>
    <row r="54">
      <c r="A54" s="3" t="inlineStr">
        <is>
          <t>Hang Seng Savings Account</t>
        </is>
      </c>
      <c r="B54" s="4" t="n">
        <v>45714</v>
      </c>
      <c r="C54" s="3" t="inlineStr">
        <is>
          <t>CR TO 305-618258-001 N22651759647(26FEB25)</t>
        </is>
      </c>
      <c r="D54" s="5" t="n"/>
      <c r="E54" s="5" t="n">
        <v>75000</v>
      </c>
      <c r="F54" s="6" t="n">
        <v>631.84</v>
      </c>
      <c r="G54" s="7">
        <f>IF(AND(D54="",E54=""),F54,G53+IF(D54="",0,D54)-IF(E54="",0,E54))</f>
        <v/>
      </c>
    </row>
    <row r="55">
      <c r="A55" s="3" t="inlineStr">
        <is>
          <t>Hang Seng Savings Account</t>
        </is>
      </c>
      <c r="B55" s="4" t="n">
        <v>45715</v>
      </c>
      <c r="C55" s="3" t="inlineStr">
        <is>
          <t>GLOBAL P A P (HK) L HD12522795700449 27FEB</t>
        </is>
      </c>
      <c r="D55" s="5" t="n">
        <v>32557.67</v>
      </c>
      <c r="E55" s="5" t="n"/>
      <c r="F55" s="6" t="n"/>
      <c r="G55" s="7">
        <f>IF(AND(D55="",E55=""),F55,G54+IF(D55="",0,D55)-IF(E55="",0,E55))</f>
        <v/>
      </c>
    </row>
    <row r="56">
      <c r="A56" s="3" t="inlineStr">
        <is>
          <t>Hang Seng Savings Account</t>
        </is>
      </c>
      <c r="B56" s="4" t="n">
        <v>45715</v>
      </c>
      <c r="C56" s="3" t="inlineStr">
        <is>
          <t>CR TO 305-618258-001 N22756167568(27FEB25)</t>
        </is>
      </c>
      <c r="D56" s="5" t="n"/>
      <c r="E56" s="5" t="n">
        <v>30000</v>
      </c>
      <c r="F56" s="6" t="n">
        <v>3189.51</v>
      </c>
      <c r="G56" s="7">
        <f>IF(AND(D56="",E56=""),F56,G55+IF(D56="",0,D56)-IF(E56="",0,E56))</f>
        <v/>
      </c>
    </row>
    <row r="57">
      <c r="A57" s="3" t="inlineStr">
        <is>
          <t>Hang Seng Savings Account</t>
        </is>
      </c>
      <c r="B57" s="4" t="n">
        <v>45716</v>
      </c>
      <c r="C57" s="3" t="inlineStr">
        <is>
          <t>C/F BALANCE</t>
        </is>
      </c>
      <c r="D57" s="5" t="n"/>
      <c r="E57" s="5" t="n"/>
      <c r="F57" s="6" t="n">
        <v>3189.51</v>
      </c>
      <c r="G57" s="7">
        <f>IF(AND(D57="",E57=""),F57,G56+IF(D57="",0,D57)-IF(E57="",0,E57))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Current Account</t>
        </is>
      </c>
      <c r="B2" s="4" t="n">
        <v>45685</v>
      </c>
      <c r="C2" s="3" t="inlineStr">
        <is>
          <t>B/F BALANCE</t>
        </is>
      </c>
      <c r="D2" s="5" t="n"/>
      <c r="E2" s="5" t="n"/>
      <c r="F2" s="6" t="n">
        <v>-314.7</v>
      </c>
      <c r="G2" s="7">
        <f>IF(AND(D2="",E2=""),F2,IF(D2="",0,D2)-IF(E2="",0,E2))</f>
        <v/>
      </c>
    </row>
    <row r="3">
      <c r="A3" s="3" t="inlineStr">
        <is>
          <t>Hang Seng Current Account</t>
        </is>
      </c>
      <c r="B3" s="4" t="n">
        <v>45689</v>
      </c>
      <c r="C3" s="3" t="inlineStr">
        <is>
          <t>UOD</t>
        </is>
      </c>
      <c r="D3" s="5" t="n"/>
      <c r="E3" s="5" t="n">
        <v>120</v>
      </c>
      <c r="F3" s="6" t="n"/>
      <c r="G3" s="7">
        <f>IF(AND(D3="",E3=""),F3,G2+IF(D3="",0,D3)-IF(E3="",0,E3))</f>
        <v/>
      </c>
    </row>
    <row r="4">
      <c r="A4" s="3" t="inlineStr">
        <is>
          <t>Hang Seng Current Account</t>
        </is>
      </c>
      <c r="B4" s="4" t="n">
        <v>45689</v>
      </c>
      <c r="C4" s="3" t="inlineStr">
        <is>
          <t>FROM TAKIMOTO C GRP AUTO SWEEPING (01FEB25)</t>
        </is>
      </c>
      <c r="D4" s="5" t="n">
        <v>464.7</v>
      </c>
      <c r="E4" s="5" t="n"/>
      <c r="F4" s="6" t="n">
        <v>30</v>
      </c>
      <c r="G4" s="7">
        <f>IF(AND(D4="",E4=""),F4,G3+IF(D4="",0,D4)-IF(E4="",0,E4))</f>
        <v/>
      </c>
    </row>
    <row r="5">
      <c r="A5" s="3" t="inlineStr">
        <is>
          <t>Hang Seng Current Account</t>
        </is>
      </c>
      <c r="B5" s="4" t="n">
        <v>45691</v>
      </c>
      <c r="C5" s="3" t="inlineStr">
        <is>
          <t>CHEQUE 035507</t>
        </is>
      </c>
      <c r="D5" s="5" t="n"/>
      <c r="E5" s="5" t="n">
        <v>21339.1</v>
      </c>
      <c r="F5" s="6" t="n"/>
      <c r="G5" s="7">
        <f>IF(AND(D5="",E5=""),F5,G4+IF(D5="",0,D5)-IF(E5="",0,E5))</f>
        <v/>
      </c>
    </row>
    <row r="6">
      <c r="A6" s="3" t="inlineStr">
        <is>
          <t>Hang Seng Current Account</t>
        </is>
      </c>
      <c r="B6" s="4" t="n">
        <v>45691</v>
      </c>
      <c r="C6" s="3" t="inlineStr">
        <is>
          <t>CHEQUE 035506</t>
        </is>
      </c>
      <c r="D6" s="5" t="n"/>
      <c r="E6" s="5" t="n">
        <v>25519.1</v>
      </c>
      <c r="F6" s="6" t="n"/>
      <c r="G6" s="7">
        <f>IF(AND(D6="",E6=""),F6,G5+IF(D6="",0,D6)-IF(E6="",0,E6))</f>
        <v/>
      </c>
    </row>
    <row r="7">
      <c r="A7" s="3" t="inlineStr">
        <is>
          <t>Hang Seng Current Account</t>
        </is>
      </c>
      <c r="B7" s="4" t="n">
        <v>45691</v>
      </c>
      <c r="C7" s="3" t="inlineStr">
        <is>
          <t>CHEQUE 035508</t>
        </is>
      </c>
      <c r="D7" s="5" t="n"/>
      <c r="E7" s="5" t="n">
        <v>52567</v>
      </c>
      <c r="F7" s="6" t="n"/>
      <c r="G7" s="7">
        <f>IF(AND(D7="",E7=""),F7,G6+IF(D7="",0,D7)-IF(E7="",0,E7))</f>
        <v/>
      </c>
    </row>
    <row r="8">
      <c r="A8" s="3" t="inlineStr">
        <is>
          <t>Hang Seng Current Account</t>
        </is>
      </c>
      <c r="B8" s="4" t="n">
        <v>45691</v>
      </c>
      <c r="C8" s="3" t="inlineStr">
        <is>
          <t>FROM TAKIMOTO C GRP N20377358765(03FEB25)</t>
        </is>
      </c>
      <c r="D8" s="5" t="n">
        <v>300000</v>
      </c>
      <c r="E8" s="5" t="n"/>
      <c r="F8" s="6" t="n">
        <v>200604.8</v>
      </c>
      <c r="G8" s="7">
        <f>IF(AND(D8="",E8=""),F8,G7+IF(D8="",0,D8)-IF(E8="",0,E8))</f>
        <v/>
      </c>
    </row>
    <row r="9">
      <c r="A9" s="3" t="inlineStr">
        <is>
          <t>Hang Seng Current Account</t>
        </is>
      </c>
      <c r="B9" s="4" t="n">
        <v>45692</v>
      </c>
      <c r="C9" s="3" t="inlineStr">
        <is>
          <t>CHEQUE 035497</t>
        </is>
      </c>
      <c r="D9" s="5" t="n"/>
      <c r="E9" s="5" t="n">
        <v>2350</v>
      </c>
      <c r="F9" s="6" t="n"/>
      <c r="G9" s="7">
        <f>IF(AND(D9="",E9=""),F9,G8+IF(D9="",0,D9)-IF(E9="",0,E9))</f>
        <v/>
      </c>
    </row>
    <row r="10">
      <c r="A10" s="3" t="inlineStr">
        <is>
          <t>Hang Seng Current Account</t>
        </is>
      </c>
      <c r="B10" s="4" t="n">
        <v>45692</v>
      </c>
      <c r="C10" s="3" t="inlineStr">
        <is>
          <t>CASH WITHDRAWAL 035512</t>
        </is>
      </c>
      <c r="D10" s="5" t="n"/>
      <c r="E10" s="5" t="n">
        <v>6000</v>
      </c>
      <c r="F10" s="6" t="n">
        <v>192254.8</v>
      </c>
      <c r="G10" s="7">
        <f>IF(AND(D10="",E10=""),F10,G9+IF(D10="",0,D10)-IF(E10="",0,E10))</f>
        <v/>
      </c>
    </row>
    <row r="11">
      <c r="A11" s="3" t="inlineStr">
        <is>
          <t>Hang Seng Current Account</t>
        </is>
      </c>
      <c r="B11" s="4" t="n">
        <v>45693</v>
      </c>
      <c r="C11" s="3" t="inlineStr">
        <is>
          <t>FROM TAKIMOTO C GRP N20584917449(05FEB25)</t>
        </is>
      </c>
      <c r="D11" s="5" t="n">
        <v>40000</v>
      </c>
      <c r="E11" s="5" t="n"/>
      <c r="F11" s="6" t="n">
        <v>232254.8</v>
      </c>
      <c r="G11" s="7">
        <f>IF(AND(D11="",E11=""),F11,G10+IF(D11="",0,D11)-IF(E11="",0,E11))</f>
        <v/>
      </c>
    </row>
    <row r="12">
      <c r="A12" s="3" t="inlineStr">
        <is>
          <t>Hang Seng Current Account</t>
        </is>
      </c>
      <c r="B12" s="4" t="n">
        <v>45694</v>
      </c>
      <c r="C12" s="3" t="inlineStr">
        <is>
          <t>CHEQUE 035498</t>
        </is>
      </c>
      <c r="D12" s="5" t="n"/>
      <c r="E12" s="5" t="n">
        <v>2800</v>
      </c>
      <c r="F12" s="6" t="n"/>
      <c r="G12" s="7">
        <f>IF(AND(D12="",E12=""),F12,G11+IF(D12="",0,D12)-IF(E12="",0,E12))</f>
        <v/>
      </c>
    </row>
    <row r="13">
      <c r="A13" s="3" t="inlineStr">
        <is>
          <t>Hang Seng Current Account</t>
        </is>
      </c>
      <c r="B13" s="4" t="n">
        <v>45694</v>
      </c>
      <c r="C13" s="3" t="inlineStr">
        <is>
          <t>CHEQUE 035514</t>
        </is>
      </c>
      <c r="D13" s="5" t="n"/>
      <c r="E13" s="5" t="n">
        <v>5100</v>
      </c>
      <c r="F13" s="6" t="n">
        <v>224354.8</v>
      </c>
      <c r="G13" s="7">
        <f>IF(AND(D13="",E13=""),F13,G12+IF(D13="",0,D13)-IF(E13="",0,E13))</f>
        <v/>
      </c>
    </row>
    <row r="14">
      <c r="A14" s="3" t="inlineStr">
        <is>
          <t>Hang Seng Current Account</t>
        </is>
      </c>
      <c r="B14" s="4" t="n">
        <v>45695</v>
      </c>
      <c r="C14" s="3" t="inlineStr">
        <is>
          <t>CHEQUE 035511</t>
        </is>
      </c>
      <c r="D14" s="5" t="n"/>
      <c r="E14" s="5" t="n">
        <v>8866</v>
      </c>
      <c r="F14" s="6" t="n">
        <v>215488.8</v>
      </c>
      <c r="G14" s="7">
        <f>IF(AND(D14="",E14=""),F14,G13+IF(D14="",0,D14)-IF(E14="",0,E14))</f>
        <v/>
      </c>
    </row>
    <row r="15">
      <c r="A15" s="3" t="inlineStr">
        <is>
          <t>Hang Seng Current Account</t>
        </is>
      </c>
      <c r="B15" s="4" t="n">
        <v>45696</v>
      </c>
      <c r="C15" s="3" t="inlineStr">
        <is>
          <t>CASH WITHDRAWAL 035524</t>
        </is>
      </c>
      <c r="D15" s="5" t="n"/>
      <c r="E15" s="5" t="n">
        <v>20000</v>
      </c>
      <c r="F15" s="6" t="n"/>
      <c r="G15" s="7">
        <f>IF(AND(D15="",E15=""),F15,G14+IF(D15="",0,D15)-IF(E15="",0,E15))</f>
        <v/>
      </c>
    </row>
    <row r="16">
      <c r="A16" s="3" t="inlineStr">
        <is>
          <t>Hang Seng Current Account</t>
        </is>
      </c>
      <c r="B16" s="4" t="n">
        <v>45696</v>
      </c>
      <c r="C16" s="3" t="inlineStr">
        <is>
          <t>CASH WITHDRAWAL 035540</t>
        </is>
      </c>
      <c r="D16" s="5" t="n"/>
      <c r="E16" s="5" t="n">
        <v>19000</v>
      </c>
      <c r="F16" s="6" t="n"/>
      <c r="G16" s="7">
        <f>IF(AND(D16="",E16=""),F16,G15+IF(D16="",0,D16)-IF(E16="",0,E16))</f>
        <v/>
      </c>
    </row>
    <row r="17">
      <c r="A17" s="3" t="inlineStr">
        <is>
          <t>Hang Seng Current Account</t>
        </is>
      </c>
      <c r="B17" s="4" t="n">
        <v>45696</v>
      </c>
      <c r="C17" s="3" t="inlineStr">
        <is>
          <t>CASH WITHDRAWAL 035525</t>
        </is>
      </c>
      <c r="D17" s="5" t="n"/>
      <c r="E17" s="5" t="n">
        <v>30000</v>
      </c>
      <c r="F17" s="6" t="n"/>
      <c r="G17" s="7">
        <f>IF(AND(D17="",E17=""),F17,G16+IF(D17="",0,D17)-IF(E17="",0,E17))</f>
        <v/>
      </c>
    </row>
    <row r="18">
      <c r="A18" s="3" t="inlineStr">
        <is>
          <t>Hang Seng Current Account</t>
        </is>
      </c>
      <c r="B18" s="4" t="n">
        <v>45696</v>
      </c>
      <c r="C18" s="3" t="inlineStr">
        <is>
          <t>FROM TAKIMOTO C GRP N20895703780(08FEB25)</t>
        </is>
      </c>
      <c r="D18" s="5" t="n">
        <v>200000</v>
      </c>
      <c r="E18" s="5" t="n"/>
      <c r="F18" s="6" t="n">
        <v>346488.8</v>
      </c>
      <c r="G18" s="7">
        <f>IF(AND(D18="",E18=""),F18,G17+IF(D18="",0,D18)-IF(E18="",0,E18))</f>
        <v/>
      </c>
    </row>
    <row r="19">
      <c r="A19" s="3" t="inlineStr">
        <is>
          <t>Hang Seng Current Account</t>
        </is>
      </c>
      <c r="B19" s="4" t="n">
        <v>45698</v>
      </c>
      <c r="C19" s="3" t="inlineStr">
        <is>
          <t>CHEQUE 035544</t>
        </is>
      </c>
      <c r="D19" s="5" t="n"/>
      <c r="E19" s="5" t="n">
        <v>1700</v>
      </c>
      <c r="F19" s="6" t="n"/>
      <c r="G19" s="7">
        <f>IF(AND(D19="",E19=""),F19,G18+IF(D19="",0,D19)-IF(E19="",0,E19))</f>
        <v/>
      </c>
    </row>
    <row r="20">
      <c r="A20" s="3" t="inlineStr">
        <is>
          <t>Hang Seng Current Account</t>
        </is>
      </c>
      <c r="B20" s="4" t="n">
        <v>45698</v>
      </c>
      <c r="C20" s="3" t="inlineStr">
        <is>
          <t>CHEQUE 035522</t>
        </is>
      </c>
      <c r="D20" s="5" t="n"/>
      <c r="E20" s="5" t="n">
        <v>2680</v>
      </c>
      <c r="F20" s="6" t="n"/>
      <c r="G20" s="7">
        <f>IF(AND(D20="",E20=""),F20,G19+IF(D20="",0,D20)-IF(E20="",0,E20))</f>
        <v/>
      </c>
    </row>
    <row r="21">
      <c r="A21" s="3" t="inlineStr">
        <is>
          <t>Hang Seng Current Account</t>
        </is>
      </c>
      <c r="B21" s="4" t="n">
        <v>45698</v>
      </c>
      <c r="C21" s="3" t="inlineStr">
        <is>
          <t>CHEQUE 035523</t>
        </is>
      </c>
      <c r="D21" s="5" t="n"/>
      <c r="E21" s="5" t="n">
        <v>6800</v>
      </c>
      <c r="F21" s="6" t="n"/>
      <c r="G21" s="7">
        <f>IF(AND(D21="",E21=""),F21,G20+IF(D21="",0,D21)-IF(E21="",0,E21))</f>
        <v/>
      </c>
    </row>
    <row r="22">
      <c r="A22" s="3" t="inlineStr">
        <is>
          <t>Hang Seng Current Account</t>
        </is>
      </c>
      <c r="B22" s="4" t="n">
        <v>45698</v>
      </c>
      <c r="C22" s="3" t="inlineStr">
        <is>
          <t>CHEQUE 035543</t>
        </is>
      </c>
      <c r="D22" s="5" t="n"/>
      <c r="E22" s="5" t="n">
        <v>8400</v>
      </c>
      <c r="F22" s="6" t="n"/>
      <c r="G22" s="7">
        <f>IF(AND(D22="",E22=""),F22,G21+IF(D22="",0,D22)-IF(E22="",0,E22))</f>
        <v/>
      </c>
    </row>
    <row r="23">
      <c r="A23" s="3" t="inlineStr">
        <is>
          <t>Hang Seng Current Account</t>
        </is>
      </c>
      <c r="B23" s="4" t="n">
        <v>45698</v>
      </c>
      <c r="C23" s="3" t="inlineStr">
        <is>
          <t>CHEQUE 035535</t>
        </is>
      </c>
      <c r="D23" s="5" t="n"/>
      <c r="E23" s="5" t="n">
        <v>13167</v>
      </c>
      <c r="F23" s="6" t="n"/>
      <c r="G23" s="7">
        <f>IF(AND(D23="",E23=""),F23,G22+IF(D23="",0,D23)-IF(E23="",0,E23))</f>
        <v/>
      </c>
    </row>
    <row r="24">
      <c r="A24" s="3" t="inlineStr">
        <is>
          <t>Hang Seng Current Account</t>
        </is>
      </c>
      <c r="B24" s="4" t="n">
        <v>45698</v>
      </c>
      <c r="C24" s="3" t="inlineStr">
        <is>
          <t>CHEQUE 035533</t>
        </is>
      </c>
      <c r="D24" s="5" t="n"/>
      <c r="E24" s="5" t="n">
        <v>13920</v>
      </c>
      <c r="F24" s="6" t="n"/>
      <c r="G24" s="7">
        <f>IF(AND(D24="",E24=""),F24,G23+IF(D24="",0,D24)-IF(E24="",0,E24))</f>
        <v/>
      </c>
    </row>
    <row r="25">
      <c r="A25" s="3" t="inlineStr">
        <is>
          <t>Hang Seng Current Account</t>
        </is>
      </c>
      <c r="B25" s="4" t="n">
        <v>45698</v>
      </c>
      <c r="C25" s="3" t="inlineStr">
        <is>
          <t>CHEQUE 035542</t>
        </is>
      </c>
      <c r="D25" s="5" t="n"/>
      <c r="E25" s="5" t="n">
        <v>15000</v>
      </c>
      <c r="F25" s="6" t="n"/>
      <c r="G25" s="7">
        <f>IF(AND(D25="",E25=""),F25,G24+IF(D25="",0,D25)-IF(E25="",0,E25))</f>
        <v/>
      </c>
    </row>
    <row r="26">
      <c r="A26" s="3" t="inlineStr">
        <is>
          <t>Hang Seng Current Account</t>
        </is>
      </c>
      <c r="B26" s="4" t="n">
        <v>45698</v>
      </c>
      <c r="C26" s="3" t="inlineStr">
        <is>
          <t>CHEQUE 035548</t>
        </is>
      </c>
      <c r="D26" s="5" t="n"/>
      <c r="E26" s="5" t="n">
        <v>21245.91</v>
      </c>
      <c r="F26" s="6" t="n"/>
      <c r="G26" s="7">
        <f>IF(AND(D26="",E26=""),F26,G25+IF(D26="",0,D26)-IF(E26="",0,E26))</f>
        <v/>
      </c>
    </row>
    <row r="27">
      <c r="A27" s="3" t="inlineStr">
        <is>
          <t>Hang Seng Current Account</t>
        </is>
      </c>
      <c r="B27" s="4" t="n">
        <v>45698</v>
      </c>
      <c r="C27" s="3" t="inlineStr">
        <is>
          <t>CHEQUE 035537</t>
        </is>
      </c>
      <c r="D27" s="5" t="n"/>
      <c r="E27" s="5" t="n">
        <v>22000</v>
      </c>
      <c r="F27" s="6" t="n"/>
      <c r="G27" s="7">
        <f>IF(AND(D27="",E27=""),F27,G26+IF(D27="",0,D27)-IF(E27="",0,E27))</f>
        <v/>
      </c>
    </row>
    <row r="28">
      <c r="A28" s="3" t="inlineStr">
        <is>
          <t>Hang Seng Current Account</t>
        </is>
      </c>
      <c r="B28" s="4" t="n">
        <v>45698</v>
      </c>
      <c r="C28" s="3" t="inlineStr">
        <is>
          <t>CHEQUE 035531</t>
        </is>
      </c>
      <c r="D28" s="5" t="n"/>
      <c r="E28" s="5" t="n">
        <v>26000</v>
      </c>
      <c r="F28" s="6" t="n"/>
      <c r="G28" s="7">
        <f>IF(AND(D28="",E28=""),F28,G27+IF(D28="",0,D28)-IF(E28="",0,E28))</f>
        <v/>
      </c>
    </row>
    <row r="29">
      <c r="A29" s="3" t="inlineStr">
        <is>
          <t>Hang Seng Current Account</t>
        </is>
      </c>
      <c r="B29" s="4" t="n">
        <v>45698</v>
      </c>
      <c r="C29" s="3" t="inlineStr">
        <is>
          <t>CHEQUE 035526</t>
        </is>
      </c>
      <c r="D29" s="5" t="n"/>
      <c r="E29" s="5" t="n">
        <v>27000</v>
      </c>
      <c r="F29" s="6" t="n"/>
      <c r="G29" s="7">
        <f>IF(AND(D29="",E29=""),F29,G28+IF(D29="",0,D29)-IF(E29="",0,E29))</f>
        <v/>
      </c>
    </row>
    <row r="30">
      <c r="A30" s="3" t="inlineStr">
        <is>
          <t>Hang Seng Current Account</t>
        </is>
      </c>
      <c r="B30" s="4" t="n">
        <v>45698</v>
      </c>
      <c r="C30" s="3" t="inlineStr">
        <is>
          <t>CHEQUE 035536</t>
        </is>
      </c>
      <c r="D30" s="5" t="n"/>
      <c r="E30" s="5" t="n">
        <v>30000</v>
      </c>
      <c r="F30" s="6" t="n"/>
      <c r="G30" s="7">
        <f>IF(AND(D30="",E30=""),F30,G29+IF(D30="",0,D30)-IF(E30="",0,E30))</f>
        <v/>
      </c>
    </row>
    <row r="31">
      <c r="A31" s="3" t="inlineStr">
        <is>
          <t>Hang Seng Current Account</t>
        </is>
      </c>
      <c r="B31" s="4" t="n">
        <v>45698</v>
      </c>
      <c r="C31" s="3" t="inlineStr">
        <is>
          <t>CHEQUE 035550</t>
        </is>
      </c>
      <c r="D31" s="5" t="n"/>
      <c r="E31" s="5" t="n">
        <v>53453.1</v>
      </c>
      <c r="F31" s="6" t="n"/>
      <c r="G31" s="7">
        <f>IF(AND(D31="",E31=""),F31,G30+IF(D31="",0,D31)-IF(E31="",0,E31))</f>
        <v/>
      </c>
    </row>
    <row r="32">
      <c r="A32" s="3" t="inlineStr">
        <is>
          <t>Hang Seng Current Account</t>
        </is>
      </c>
      <c r="B32" s="4" t="n">
        <v>45698</v>
      </c>
      <c r="C32" s="3" t="inlineStr">
        <is>
          <t>CASH WITHDRAWAL 035527</t>
        </is>
      </c>
      <c r="D32" s="5" t="n"/>
      <c r="E32" s="5" t="n">
        <v>24000</v>
      </c>
      <c r="F32" s="6" t="n"/>
      <c r="G32" s="7">
        <f>IF(AND(D32="",E32=""),F32,G31+IF(D32="",0,D32)-IF(E32="",0,E32))</f>
        <v/>
      </c>
    </row>
    <row r="33">
      <c r="A33" s="3" t="inlineStr">
        <is>
          <t>Hang Seng Current Account</t>
        </is>
      </c>
      <c r="B33" s="4" t="n">
        <v>45698</v>
      </c>
      <c r="C33" s="3" t="inlineStr">
        <is>
          <t>FROM TAKIMOTO C GRP N21003080728(10FEB25)</t>
        </is>
      </c>
      <c r="D33" s="5" t="n">
        <v>200000</v>
      </c>
      <c r="E33" s="5" t="n"/>
      <c r="F33" s="6" t="n">
        <v>281122.79</v>
      </c>
      <c r="G33" s="7">
        <f>IF(AND(D33="",E33=""),F33,G32+IF(D33="",0,D33)-IF(E33="",0,E33))</f>
        <v/>
      </c>
    </row>
    <row r="34">
      <c r="A34" s="3" t="inlineStr">
        <is>
          <t>Hang Seng Current Account</t>
        </is>
      </c>
      <c r="B34" s="4" t="n">
        <v>45699</v>
      </c>
      <c r="C34" s="3" t="inlineStr">
        <is>
          <t>CHEQUE 035545</t>
        </is>
      </c>
      <c r="D34" s="5" t="n"/>
      <c r="E34" s="5" t="n">
        <v>3675</v>
      </c>
      <c r="F34" s="6" t="n"/>
      <c r="G34" s="7">
        <f>IF(AND(D34="",E34=""),F34,G33+IF(D34="",0,D34)-IF(E34="",0,E34))</f>
        <v/>
      </c>
    </row>
    <row r="35">
      <c r="A35" s="3" t="inlineStr">
        <is>
          <t>Hang Seng Current Account</t>
        </is>
      </c>
      <c r="B35" s="4" t="n">
        <v>45699</v>
      </c>
      <c r="C35" s="3" t="inlineStr">
        <is>
          <t>CHEQUE 035564</t>
        </is>
      </c>
      <c r="D35" s="5" t="n"/>
      <c r="E35" s="5" t="n">
        <v>104380</v>
      </c>
      <c r="F35" s="6" t="n"/>
      <c r="G35" s="7">
        <f>IF(AND(D35="",E35=""),F35,G34+IF(D35="",0,D35)-IF(E35="",0,E35))</f>
        <v/>
      </c>
    </row>
    <row r="36">
      <c r="A36" s="3" t="inlineStr">
        <is>
          <t>Hang Seng Current Account</t>
        </is>
      </c>
      <c r="B36" s="4" t="n">
        <v>45699</v>
      </c>
      <c r="C36" s="3" t="inlineStr">
        <is>
          <t>FROM TAKIMOTO C GRP N21105168874(11FEB25)</t>
        </is>
      </c>
      <c r="D36" s="5" t="n">
        <v>50000</v>
      </c>
      <c r="E36" s="5" t="n"/>
      <c r="F36" s="6" t="n">
        <v>223067.79</v>
      </c>
      <c r="G36" s="7">
        <f>IF(AND(D36="",E36=""),F36,G35+IF(D36="",0,D36)-IF(E36="",0,E36))</f>
        <v/>
      </c>
    </row>
    <row r="37">
      <c r="A37" s="3" t="inlineStr">
        <is>
          <t>Hang Seng Current Account</t>
        </is>
      </c>
      <c r="B37" s="4" t="n">
        <v>45700</v>
      </c>
      <c r="C37" s="3" t="inlineStr">
        <is>
          <t>CHEQUE 035560</t>
        </is>
      </c>
      <c r="D37" s="5" t="n"/>
      <c r="E37" s="5" t="n">
        <v>2586</v>
      </c>
      <c r="F37" s="6" t="n"/>
      <c r="G37" s="7">
        <f>IF(AND(D37="",E37=""),F37,G36+IF(D37="",0,D37)-IF(E37="",0,E37))</f>
        <v/>
      </c>
    </row>
    <row r="38">
      <c r="A38" s="3" t="inlineStr">
        <is>
          <t>Hang Seng Current Account</t>
        </is>
      </c>
      <c r="B38" s="4" t="n">
        <v>45700</v>
      </c>
      <c r="C38" s="3" t="inlineStr">
        <is>
          <t>CHEQUE 035551</t>
        </is>
      </c>
      <c r="D38" s="5" t="n"/>
      <c r="E38" s="5" t="n">
        <v>18200</v>
      </c>
      <c r="F38" s="6" t="n"/>
      <c r="G38" s="7">
        <f>IF(AND(D38="",E38=""),F38,G37+IF(D38="",0,D38)-IF(E38="",0,E38))</f>
        <v/>
      </c>
    </row>
    <row r="39">
      <c r="A39" s="3" t="inlineStr">
        <is>
          <t>Hang Seng Current Account</t>
        </is>
      </c>
      <c r="B39" s="4" t="n">
        <v>45700</v>
      </c>
      <c r="C39" s="3" t="inlineStr">
        <is>
          <t>CHEQUE 035554</t>
        </is>
      </c>
      <c r="D39" s="5" t="n"/>
      <c r="E39" s="5" t="n">
        <v>30000</v>
      </c>
      <c r="F39" s="6" t="n"/>
      <c r="G39" s="7">
        <f>IF(AND(D39="",E39=""),F39,G38+IF(D39="",0,D39)-IF(E39="",0,E39))</f>
        <v/>
      </c>
    </row>
    <row r="40">
      <c r="A40" s="3" t="inlineStr">
        <is>
          <t>Hang Seng Current Account</t>
        </is>
      </c>
      <c r="B40" s="4" t="n">
        <v>45700</v>
      </c>
      <c r="C40" s="3" t="inlineStr">
        <is>
          <t>CHEQUE 035553</t>
        </is>
      </c>
      <c r="D40" s="5" t="n"/>
      <c r="E40" s="5" t="n">
        <v>50000</v>
      </c>
      <c r="F40" s="6" t="n">
        <v>122281.79</v>
      </c>
      <c r="G40" s="7">
        <f>IF(AND(D40="",E40=""),F40,G39+IF(D40="",0,D40)-IF(E40="",0,E40))</f>
        <v/>
      </c>
    </row>
    <row r="41">
      <c r="A41" s="3" t="inlineStr">
        <is>
          <t>Hang Seng Current Account</t>
        </is>
      </c>
      <c r="B41" s="4" t="n">
        <v>45701</v>
      </c>
      <c r="C41" s="3" t="inlineStr">
        <is>
          <t>CHEQUE 035568</t>
        </is>
      </c>
      <c r="D41" s="5" t="n"/>
      <c r="E41" s="5" t="n">
        <v>3445</v>
      </c>
      <c r="F41" s="6" t="n"/>
      <c r="G41" s="7">
        <f>IF(AND(D41="",E41=""),F41,G40+IF(D41="",0,D41)-IF(E41="",0,E41))</f>
        <v/>
      </c>
    </row>
    <row r="42">
      <c r="A42" s="3" t="inlineStr">
        <is>
          <t>Hang Seng Current Account</t>
        </is>
      </c>
      <c r="B42" s="4" t="n">
        <v>45701</v>
      </c>
      <c r="C42" s="3" t="inlineStr">
        <is>
          <t>CHEQUE 035519</t>
        </is>
      </c>
      <c r="D42" s="5" t="n"/>
      <c r="E42" s="5" t="n">
        <v>5986</v>
      </c>
      <c r="F42" s="6" t="n"/>
      <c r="G42" s="7">
        <f>IF(AND(D42="",E42=""),F42,G41+IF(D42="",0,D42)-IF(E42="",0,E42))</f>
        <v/>
      </c>
    </row>
    <row r="43">
      <c r="A43" s="3" t="inlineStr">
        <is>
          <t>Hang Seng Current Account</t>
        </is>
      </c>
      <c r="B43" s="4" t="n">
        <v>45701</v>
      </c>
      <c r="C43" s="3" t="inlineStr">
        <is>
          <t>CHEQUE 035518</t>
        </is>
      </c>
      <c r="D43" s="5" t="n"/>
      <c r="E43" s="5" t="n">
        <v>20020</v>
      </c>
      <c r="F43" s="6" t="n"/>
      <c r="G43" s="7">
        <f>IF(AND(D43="",E43=""),F43,G42+IF(D43="",0,D43)-IF(E43="",0,E43))</f>
        <v/>
      </c>
    </row>
    <row r="44">
      <c r="A44" s="3" t="inlineStr">
        <is>
          <t>Hang Seng Current Account</t>
        </is>
      </c>
      <c r="B44" s="4" t="n">
        <v>45701</v>
      </c>
      <c r="C44" s="3" t="inlineStr">
        <is>
          <t>CHEQUE 035565</t>
        </is>
      </c>
      <c r="D44" s="5" t="n"/>
      <c r="E44" s="5" t="n">
        <v>48060</v>
      </c>
      <c r="F44" s="6" t="n"/>
      <c r="G44" s="7">
        <f>IF(AND(D44="",E44=""),F44,G43+IF(D44="",0,D44)-IF(E44="",0,E44))</f>
        <v/>
      </c>
    </row>
    <row r="45">
      <c r="A45" s="3" t="inlineStr">
        <is>
          <t>Hang Seng Current Account</t>
        </is>
      </c>
      <c r="B45" s="4" t="n">
        <v>45701</v>
      </c>
      <c r="C45" s="3" t="inlineStr">
        <is>
          <t>FROM TAKIMOTO C GRP N21311599295(13FEB25)</t>
        </is>
      </c>
      <c r="D45" s="5" t="n">
        <v>50000</v>
      </c>
      <c r="E45" s="5" t="n"/>
      <c r="F45" s="6" t="n"/>
      <c r="G45" s="7">
        <f>IF(AND(D45="",E45=""),F45,G44+IF(D45="",0,D45)-IF(E45="",0,E45))</f>
        <v/>
      </c>
    </row>
    <row r="46">
      <c r="A46" s="3" t="inlineStr">
        <is>
          <t>Hang Seng Current Account</t>
        </is>
      </c>
      <c r="B46" s="4" t="n">
        <v>45701</v>
      </c>
      <c r="C46" s="3" t="inlineStr">
        <is>
          <t>CHEQUE 035532</t>
        </is>
      </c>
      <c r="D46" s="5" t="n"/>
      <c r="E46" s="5" t="n">
        <v>12260</v>
      </c>
      <c r="F46" s="6" t="n">
        <v>82510.78999999999</v>
      </c>
      <c r="G46" s="7">
        <f>IF(AND(D46="",E46=""),F46,G45+IF(D46="",0,D46)-IF(E46="",0,E46))</f>
        <v/>
      </c>
    </row>
    <row r="47">
      <c r="A47" s="3" t="inlineStr">
        <is>
          <t>Hang Seng Current Account</t>
        </is>
      </c>
      <c r="B47" s="4" t="n">
        <v>45702</v>
      </c>
      <c r="C47" s="3" t="inlineStr">
        <is>
          <t>CHEQUE 035529</t>
        </is>
      </c>
      <c r="D47" s="5" t="n"/>
      <c r="E47" s="5" t="n">
        <v>21000</v>
      </c>
      <c r="F47" s="6" t="n"/>
      <c r="G47" s="7">
        <f>IF(AND(D47="",E47=""),F47,G46+IF(D47="",0,D47)-IF(E47="",0,E47))</f>
        <v/>
      </c>
    </row>
    <row r="48">
      <c r="A48" s="3" t="inlineStr">
        <is>
          <t>Hang Seng Current Account</t>
        </is>
      </c>
      <c r="B48" s="4" t="n">
        <v>45702</v>
      </c>
      <c r="C48" s="3" t="inlineStr">
        <is>
          <t>CHEQUE 035566</t>
        </is>
      </c>
      <c r="D48" s="5" t="n"/>
      <c r="E48" s="5" t="n">
        <v>48060.7</v>
      </c>
      <c r="F48" s="6" t="n"/>
      <c r="G48" s="7">
        <f>IF(AND(D48="",E48=""),F48,G47+IF(D48="",0,D48)-IF(E48="",0,E48))</f>
        <v/>
      </c>
    </row>
    <row r="49">
      <c r="A49" s="3" t="inlineStr">
        <is>
          <t>Hang Seng Current Account</t>
        </is>
      </c>
      <c r="B49" s="4" t="n">
        <v>45702</v>
      </c>
      <c r="C49" s="3" t="inlineStr">
        <is>
          <t>CASH WITHDRAWAL 035561</t>
        </is>
      </c>
      <c r="D49" s="5" t="n"/>
      <c r="E49" s="5" t="n">
        <v>2586</v>
      </c>
      <c r="F49" s="6" t="n"/>
      <c r="G49" s="7">
        <f>IF(AND(D49="",E49=""),F49,G48+IF(D49="",0,D49)-IF(E49="",0,E49))</f>
        <v/>
      </c>
    </row>
    <row r="50">
      <c r="A50" s="3" t="inlineStr">
        <is>
          <t>Hang Seng Current Account</t>
        </is>
      </c>
      <c r="B50" s="4" t="n">
        <v>45702</v>
      </c>
      <c r="C50" s="3" t="inlineStr">
        <is>
          <t>CASH WITHDRAWAL 035547</t>
        </is>
      </c>
      <c r="D50" s="5" t="n"/>
      <c r="E50" s="5" t="n">
        <v>1538</v>
      </c>
      <c r="F50" s="6" t="n"/>
      <c r="G50" s="7">
        <f>IF(AND(D50="",E50=""),F50,G49+IF(D50="",0,D50)-IF(E50="",0,E50))</f>
        <v/>
      </c>
    </row>
    <row r="51">
      <c r="A51" s="3" t="inlineStr">
        <is>
          <t>Hang Seng Current Account</t>
        </is>
      </c>
      <c r="B51" s="4" t="n">
        <v>45702</v>
      </c>
      <c r="C51" s="3" t="inlineStr">
        <is>
          <t>CASH WITHDRAWAL 035558</t>
        </is>
      </c>
      <c r="D51" s="5" t="n"/>
      <c r="E51" s="5" t="n">
        <v>5040</v>
      </c>
      <c r="F51" s="6" t="n">
        <v>4286.09</v>
      </c>
      <c r="G51" s="7">
        <f>IF(AND(D51="",E51=""),F51,G50+IF(D51="",0,D51)-IF(E51="",0,E51))</f>
        <v/>
      </c>
    </row>
    <row r="52">
      <c r="A52" s="3" t="inlineStr">
        <is>
          <t>Hang Seng Current Account</t>
        </is>
      </c>
      <c r="B52" s="4" t="n">
        <v>45705</v>
      </c>
      <c r="C52" s="3" t="inlineStr">
        <is>
          <t>CHEQUE 035569</t>
        </is>
      </c>
      <c r="D52" s="5" t="n"/>
      <c r="E52" s="5" t="n">
        <v>5100</v>
      </c>
      <c r="F52" s="6" t="n"/>
      <c r="G52" s="7">
        <f>IF(AND(D52="",E52=""),F52,G51+IF(D52="",0,D52)-IF(E52="",0,E52))</f>
        <v/>
      </c>
    </row>
    <row r="53">
      <c r="A53" s="3" t="inlineStr">
        <is>
          <t>Hang Seng Current Account</t>
        </is>
      </c>
      <c r="B53" s="4" t="n">
        <v>45705</v>
      </c>
      <c r="C53" s="3" t="inlineStr">
        <is>
          <t>CHEQUE 035556</t>
        </is>
      </c>
      <c r="D53" s="5" t="n"/>
      <c r="E53" s="5" t="n">
        <v>9080</v>
      </c>
      <c r="F53" s="6" t="n"/>
      <c r="G53" s="7">
        <f>IF(AND(D53="",E53=""),F53,G52+IF(D53="",0,D53)-IF(E53="",0,E53))</f>
        <v/>
      </c>
    </row>
    <row r="54">
      <c r="A54" s="3" t="inlineStr">
        <is>
          <t>Hang Seng Current Account</t>
        </is>
      </c>
      <c r="B54" s="4" t="n">
        <v>45705</v>
      </c>
      <c r="C54" s="3" t="inlineStr">
        <is>
          <t>CHEQUE 035538</t>
        </is>
      </c>
      <c r="D54" s="5" t="n"/>
      <c r="E54" s="5" t="n">
        <v>14516</v>
      </c>
      <c r="F54" s="6" t="n"/>
      <c r="G54" s="7">
        <f>IF(AND(D54="",E54=""),F54,G53+IF(D54="",0,D54)-IF(E54="",0,E54))</f>
        <v/>
      </c>
    </row>
    <row r="55">
      <c r="A55" s="3" t="inlineStr">
        <is>
          <t>Hang Seng Current Account</t>
        </is>
      </c>
      <c r="B55" s="4" t="n">
        <v>45705</v>
      </c>
      <c r="C55" s="3" t="inlineStr">
        <is>
          <t>CHEQUE 035573</t>
        </is>
      </c>
      <c r="D55" s="5" t="n"/>
      <c r="E55" s="5" t="n">
        <v>15156</v>
      </c>
      <c r="F55" s="6" t="n"/>
      <c r="G55" s="7">
        <f>IF(AND(D55="",E55=""),F55,G54+IF(D55="",0,D55)-IF(E55="",0,E55))</f>
        <v/>
      </c>
    </row>
    <row r="56">
      <c r="A56" s="3" t="inlineStr">
        <is>
          <t>Hang Seng Current Account</t>
        </is>
      </c>
      <c r="B56" s="4" t="n">
        <v>45705</v>
      </c>
      <c r="C56" s="3" t="inlineStr">
        <is>
          <t>CHEQUE 035572</t>
        </is>
      </c>
      <c r="D56" s="5" t="n"/>
      <c r="E56" s="5" t="n">
        <v>24313</v>
      </c>
      <c r="F56" s="6" t="n"/>
      <c r="G56" s="7">
        <f>IF(AND(D56="",E56=""),F56,G55+IF(D56="",0,D56)-IF(E56="",0,E56))</f>
        <v/>
      </c>
    </row>
    <row r="57">
      <c r="A57" s="3" t="inlineStr">
        <is>
          <t>Hang Seng Current Account</t>
        </is>
      </c>
      <c r="B57" s="4" t="n">
        <v>45705</v>
      </c>
      <c r="C57" s="3" t="inlineStr">
        <is>
          <t>CHEQUE 035562</t>
        </is>
      </c>
      <c r="D57" s="5" t="n"/>
      <c r="E57" s="5" t="n">
        <v>38653.93</v>
      </c>
      <c r="F57" s="6" t="n"/>
      <c r="G57" s="7">
        <f>IF(AND(D57="",E57=""),F57,G56+IF(D57="",0,D57)-IF(E57="",0,E57))</f>
        <v/>
      </c>
    </row>
    <row r="58">
      <c r="A58" s="3" t="inlineStr">
        <is>
          <t>Hang Seng Current Account</t>
        </is>
      </c>
      <c r="B58" s="4" t="n">
        <v>45705</v>
      </c>
      <c r="C58" s="3" t="inlineStr">
        <is>
          <t>FROM TAKIMOTO C GRP N21723867058(17FEB25)</t>
        </is>
      </c>
      <c r="D58" s="5" t="n">
        <v>200000</v>
      </c>
      <c r="E58" s="5" t="n"/>
      <c r="F58" s="6" t="n"/>
      <c r="G58" s="7">
        <f>IF(AND(D58="",E58=""),F58,G57+IF(D58="",0,D58)-IF(E58="",0,E58))</f>
        <v/>
      </c>
    </row>
    <row r="59">
      <c r="A59" s="3" t="inlineStr">
        <is>
          <t>Hang Seng Current Account</t>
        </is>
      </c>
      <c r="B59" s="4" t="n">
        <v>45705</v>
      </c>
      <c r="C59" s="3" t="inlineStr">
        <is>
          <t>CASH WITHDRAWAL 035528</t>
        </is>
      </c>
      <c r="D59" s="5" t="n"/>
      <c r="E59" s="5" t="n">
        <v>24000</v>
      </c>
      <c r="F59" s="6" t="n"/>
      <c r="G59" s="7">
        <f>IF(AND(D59="",E59=""),F59,G58+IF(D59="",0,D59)-IF(E59="",0,E59))</f>
        <v/>
      </c>
    </row>
    <row r="60">
      <c r="A60" s="3" t="inlineStr">
        <is>
          <t>Hang Seng Current Account</t>
        </is>
      </c>
      <c r="B60" s="4" t="n">
        <v>45705</v>
      </c>
      <c r="C60" s="3" t="inlineStr">
        <is>
          <t>CASH WITHDRAWAL 035557</t>
        </is>
      </c>
      <c r="D60" s="5" t="n"/>
      <c r="E60" s="5" t="n">
        <v>13575</v>
      </c>
      <c r="F60" s="6" t="n"/>
      <c r="G60" s="7">
        <f>IF(AND(D60="",E60=""),F60,G59+IF(D60="",0,D60)-IF(E60="",0,E60))</f>
        <v/>
      </c>
    </row>
    <row r="61">
      <c r="A61" s="3" t="inlineStr">
        <is>
          <t>Hang Seng Current Account</t>
        </is>
      </c>
      <c r="B61" s="4" t="n">
        <v>45705</v>
      </c>
      <c r="C61" s="3" t="inlineStr">
        <is>
          <t>CASH WITHDRAWAL 035567</t>
        </is>
      </c>
      <c r="D61" s="5" t="n"/>
      <c r="E61" s="5" t="n">
        <v>28000</v>
      </c>
      <c r="F61" s="6" t="n">
        <v>31892.16</v>
      </c>
      <c r="G61" s="7">
        <f>IF(AND(D61="",E61=""),F61,G60+IF(D61="",0,D61)-IF(E61="",0,E61))</f>
        <v/>
      </c>
    </row>
    <row r="62">
      <c r="A62" s="3" t="inlineStr">
        <is>
          <t>Hang Seng Current Account</t>
        </is>
      </c>
      <c r="B62" s="4" t="n">
        <v>45706</v>
      </c>
      <c r="C62" s="3" t="inlineStr">
        <is>
          <t>CHEQUE 035539</t>
        </is>
      </c>
      <c r="D62" s="5" t="n"/>
      <c r="E62" s="5" t="n">
        <v>15000</v>
      </c>
      <c r="F62" s="6" t="n"/>
      <c r="G62" s="7">
        <f>IF(AND(D62="",E62=""),F62,G61+IF(D62="",0,D62)-IF(E62="",0,E62))</f>
        <v/>
      </c>
    </row>
    <row r="63">
      <c r="A63" s="3" t="inlineStr">
        <is>
          <t>Hang Seng Current Account</t>
        </is>
      </c>
      <c r="B63" s="4" t="n">
        <v>45706</v>
      </c>
      <c r="C63" s="3" t="inlineStr">
        <is>
          <t>CHEQUE 035571</t>
        </is>
      </c>
      <c r="D63" s="5" t="n"/>
      <c r="E63" s="5" t="n">
        <v>23172</v>
      </c>
      <c r="F63" s="6" t="n"/>
      <c r="G63" s="7">
        <f>IF(AND(D63="",E63=""),F63,G62+IF(D63="",0,D63)-IF(E63="",0,E63))</f>
        <v/>
      </c>
    </row>
    <row r="64">
      <c r="A64" s="3" t="inlineStr">
        <is>
          <t>Hang Seng Current Account</t>
        </is>
      </c>
      <c r="B64" s="4" t="n">
        <v>45706</v>
      </c>
      <c r="C64" s="3" t="inlineStr">
        <is>
          <t>CHEQUE 035552</t>
        </is>
      </c>
      <c r="D64" s="5" t="n"/>
      <c r="E64" s="5" t="n">
        <v>30000</v>
      </c>
      <c r="F64" s="6" t="n"/>
      <c r="G64" s="7">
        <f>IF(AND(D64="",E64=""),F64,G63+IF(D64="",0,D64)-IF(E64="",0,E64))</f>
        <v/>
      </c>
    </row>
    <row r="65">
      <c r="A65" s="3" t="inlineStr">
        <is>
          <t>Hang Seng Current Account</t>
        </is>
      </c>
      <c r="B65" s="4" t="n">
        <v>45706</v>
      </c>
      <c r="C65" s="3" t="inlineStr">
        <is>
          <t>FROM TAKIMOTO C GRP N21826993940(18FEB25)</t>
        </is>
      </c>
      <c r="D65" s="5" t="n">
        <v>130000</v>
      </c>
      <c r="E65" s="5" t="n"/>
      <c r="F65" s="6" t="n"/>
      <c r="G65" s="7">
        <f>IF(AND(D65="",E65=""),F65,G64+IF(D65="",0,D65)-IF(E65="",0,E65))</f>
        <v/>
      </c>
    </row>
    <row r="66">
      <c r="A66" s="3" t="inlineStr">
        <is>
          <t>Hang Seng Current Account</t>
        </is>
      </c>
      <c r="B66" s="4" t="n">
        <v>45706</v>
      </c>
      <c r="C66" s="3" t="inlineStr">
        <is>
          <t>CASH WITHDRAWAL 035509</t>
        </is>
      </c>
      <c r="D66" s="5" t="n"/>
      <c r="E66" s="5" t="n">
        <v>6669</v>
      </c>
      <c r="F66" s="6" t="n">
        <v>87051.16</v>
      </c>
      <c r="G66" s="7">
        <f>IF(AND(D66="",E66=""),F66,G65+IF(D66="",0,D66)-IF(E66="",0,E66))</f>
        <v/>
      </c>
    </row>
    <row r="67">
      <c r="A67" s="3" t="inlineStr">
        <is>
          <t>Hang Seng Current Account</t>
        </is>
      </c>
      <c r="B67" s="4" t="n">
        <v>45707</v>
      </c>
      <c r="C67" s="3" t="inlineStr">
        <is>
          <t>CASH WITHDRAWAL 035546</t>
        </is>
      </c>
      <c r="D67" s="5" t="n"/>
      <c r="E67" s="5" t="n">
        <v>8500</v>
      </c>
      <c r="F67" s="6" t="n">
        <v>78551.16</v>
      </c>
      <c r="G67" s="7">
        <f>IF(AND(D67="",E67=""),F67,G66+IF(D67="",0,D67)-IF(E67="",0,E67))</f>
        <v/>
      </c>
    </row>
    <row r="68">
      <c r="A68" s="3" t="inlineStr">
        <is>
          <t>Hang Seng Current Account</t>
        </is>
      </c>
      <c r="B68" s="4" t="n">
        <v>45708</v>
      </c>
      <c r="C68" s="3" t="inlineStr">
        <is>
          <t>CHEQUE 035563</t>
        </is>
      </c>
      <c r="D68" s="5" t="n"/>
      <c r="E68" s="5" t="n">
        <v>12929</v>
      </c>
      <c r="F68" s="6" t="n"/>
      <c r="G68" s="7">
        <f>IF(AND(D68="",E68=""),F68,G67+IF(D68="",0,D68)-IF(E68="",0,E68))</f>
        <v/>
      </c>
    </row>
    <row r="69">
      <c r="A69" s="3" t="inlineStr">
        <is>
          <t>Hang Seng Current Account</t>
        </is>
      </c>
      <c r="B69" s="4" t="n">
        <v>45708</v>
      </c>
      <c r="C69" s="3" t="inlineStr">
        <is>
          <t>FROM TAKIMOTO C GRP N22033938360(20FEB25)</t>
        </is>
      </c>
      <c r="D69" s="5" t="n">
        <v>70000</v>
      </c>
      <c r="E69" s="5" t="n"/>
      <c r="F69" s="6" t="n"/>
      <c r="G69" s="7">
        <f>IF(AND(D69="",E69=""),F69,G68+IF(D69="",0,D69)-IF(E69="",0,E69))</f>
        <v/>
      </c>
    </row>
    <row r="70">
      <c r="A70" s="3" t="inlineStr">
        <is>
          <t>Hang Seng Current Account</t>
        </is>
      </c>
      <c r="B70" s="4" t="n">
        <v>45708</v>
      </c>
      <c r="C70" s="3" t="inlineStr">
        <is>
          <t>CASH WITHDRAWAL 035579</t>
        </is>
      </c>
      <c r="D70" s="5" t="n"/>
      <c r="E70" s="5" t="n">
        <v>5180</v>
      </c>
      <c r="F70" s="6" t="n"/>
      <c r="G70" s="7">
        <f>IF(AND(D70="",E70=""),F70,G69+IF(D70="",0,D70)-IF(E70="",0,E70))</f>
        <v/>
      </c>
    </row>
    <row r="71">
      <c r="A71" s="3" t="inlineStr">
        <is>
          <t>Hang Seng Current Account</t>
        </is>
      </c>
      <c r="B71" s="4" t="n">
        <v>45708</v>
      </c>
      <c r="C71" s="3" t="inlineStr">
        <is>
          <t>CASH WITHDRAWAL 035578</t>
        </is>
      </c>
      <c r="D71" s="5" t="n"/>
      <c r="E71" s="5" t="n">
        <v>16520</v>
      </c>
      <c r="F71" s="6" t="n">
        <v>113922.16</v>
      </c>
      <c r="G71" s="7">
        <f>IF(AND(D71="",E71=""),F71,G70+IF(D71="",0,D71)-IF(E71="",0,E71))</f>
        <v/>
      </c>
    </row>
    <row r="72">
      <c r="A72" s="3" t="inlineStr">
        <is>
          <t>Hang Seng Current Account</t>
        </is>
      </c>
      <c r="B72" s="4" t="n">
        <v>45709</v>
      </c>
      <c r="C72" s="3" t="inlineStr">
        <is>
          <t>CHEQUE 035585</t>
        </is>
      </c>
      <c r="D72" s="5" t="n"/>
      <c r="E72" s="5" t="n">
        <v>20752.51</v>
      </c>
      <c r="F72" s="6" t="n"/>
      <c r="G72" s="7">
        <f>IF(AND(D72="",E72=""),F72,G71+IF(D72="",0,D72)-IF(E72="",0,E72))</f>
        <v/>
      </c>
    </row>
    <row r="73">
      <c r="A73" s="3" t="inlineStr">
        <is>
          <t>Hang Seng Current Account</t>
        </is>
      </c>
      <c r="B73" s="4" t="n">
        <v>45709</v>
      </c>
      <c r="C73" s="3" t="inlineStr">
        <is>
          <t>21JAN25 TO 20FEB25 DEBIT INTEREST</t>
        </is>
      </c>
      <c r="D73" s="5" t="n"/>
      <c r="E73" s="5" t="n">
        <v>5.19</v>
      </c>
      <c r="F73" s="6" t="n"/>
      <c r="G73" s="7">
        <f>IF(AND(D73="",E73=""),F73,G72+IF(D73="",0,D73)-IF(E73="",0,E73))</f>
        <v/>
      </c>
    </row>
    <row r="74">
      <c r="A74" s="3" t="inlineStr">
        <is>
          <t>Hang Seng Current Account</t>
        </is>
      </c>
      <c r="B74" s="4" t="n">
        <v>45709</v>
      </c>
      <c r="C74" s="3" t="inlineStr">
        <is>
          <t>FROM TAKIMOTO C GRP N22136635306(21FEB25)</t>
        </is>
      </c>
      <c r="D74" s="5" t="n">
        <v>40000</v>
      </c>
      <c r="E74" s="5" t="n"/>
      <c r="F74" s="6" t="n">
        <v>133164.46</v>
      </c>
      <c r="G74" s="7">
        <f>IF(AND(D74="",E74=""),F74,G73+IF(D74="",0,D74)-IF(E74="",0,E74))</f>
        <v/>
      </c>
    </row>
    <row r="75">
      <c r="A75" s="3" t="inlineStr">
        <is>
          <t>Hang Seng Current Account</t>
        </is>
      </c>
      <c r="B75" s="4" t="n">
        <v>45712</v>
      </c>
      <c r="C75" s="3" t="inlineStr">
        <is>
          <t>CHEQUE 035570</t>
        </is>
      </c>
      <c r="D75" s="5" t="n"/>
      <c r="E75" s="5" t="n">
        <v>900</v>
      </c>
      <c r="F75" s="6" t="n"/>
      <c r="G75" s="7">
        <f>IF(AND(D75="",E75=""),F75,G74+IF(D75="",0,D75)-IF(E75="",0,E75))</f>
        <v/>
      </c>
    </row>
    <row r="76">
      <c r="A76" s="3" t="inlineStr">
        <is>
          <t>Hang Seng Current Account</t>
        </is>
      </c>
      <c r="B76" s="4" t="n">
        <v>45712</v>
      </c>
      <c r="C76" s="3" t="inlineStr">
        <is>
          <t>CHEQUE 035593</t>
        </is>
      </c>
      <c r="D76" s="5" t="n"/>
      <c r="E76" s="5" t="n">
        <v>12000</v>
      </c>
      <c r="F76" s="6" t="n"/>
      <c r="G76" s="7">
        <f>IF(AND(D76="",E76=""),F76,G75+IF(D76="",0,D76)-IF(E76="",0,E76))</f>
        <v/>
      </c>
    </row>
    <row r="77">
      <c r="A77" s="3" t="inlineStr">
        <is>
          <t>Hang Seng Current Account</t>
        </is>
      </c>
      <c r="B77" s="4" t="n">
        <v>45712</v>
      </c>
      <c r="C77" s="3" t="inlineStr">
        <is>
          <t>CHEQUE 035594</t>
        </is>
      </c>
      <c r="D77" s="5" t="n"/>
      <c r="E77" s="5" t="n">
        <v>53563</v>
      </c>
      <c r="F77" s="6" t="n"/>
      <c r="G77" s="7">
        <f>IF(AND(D77="",E77=""),F77,G76+IF(D77="",0,D77)-IF(E77="",0,E77))</f>
        <v/>
      </c>
    </row>
    <row r="78">
      <c r="A78" s="3" t="inlineStr">
        <is>
          <t>Hang Seng Current Account</t>
        </is>
      </c>
      <c r="B78" s="4" t="n">
        <v>45712</v>
      </c>
      <c r="C78" s="3" t="inlineStr">
        <is>
          <t>CHEQUE 035582</t>
        </is>
      </c>
      <c r="D78" s="5" t="n"/>
      <c r="E78" s="5" t="n">
        <v>67090</v>
      </c>
      <c r="F78" s="6" t="n"/>
      <c r="G78" s="7">
        <f>IF(AND(D78="",E78=""),F78,G77+IF(D78="",0,D78)-IF(E78="",0,E78))</f>
        <v/>
      </c>
    </row>
    <row r="79">
      <c r="A79" s="3" t="inlineStr">
        <is>
          <t>Hang Seng Current Account</t>
        </is>
      </c>
      <c r="B79" s="4" t="n">
        <v>45712</v>
      </c>
      <c r="C79" s="3" t="inlineStr">
        <is>
          <t>MCD 035575</t>
        </is>
      </c>
      <c r="D79" s="5" t="n"/>
      <c r="E79" s="5" t="n">
        <v>100000</v>
      </c>
      <c r="F79" s="6" t="n"/>
      <c r="G79" s="7">
        <f>IF(AND(D79="",E79=""),F79,G78+IF(D79="",0,D79)-IF(E79="",0,E79))</f>
        <v/>
      </c>
    </row>
    <row r="80">
      <c r="A80" s="3" t="inlineStr">
        <is>
          <t>Hang Seng Current Account</t>
        </is>
      </c>
      <c r="B80" s="4" t="n">
        <v>45712</v>
      </c>
      <c r="C80" s="3" t="inlineStr">
        <is>
          <t>FROM TAKIMOTO C GRP N22445496656(24FEB25)</t>
        </is>
      </c>
      <c r="D80" s="5" t="n">
        <v>90000</v>
      </c>
      <c r="E80" s="5" t="n"/>
      <c r="F80" s="6" t="n">
        <v>-10388.54</v>
      </c>
      <c r="G80" s="7">
        <f>IF(AND(D80="",E80=""),F80,G79+IF(D80="",0,D80)-IF(E80="",0,E80))</f>
        <v/>
      </c>
    </row>
    <row r="81">
      <c r="A81" s="3" t="inlineStr">
        <is>
          <t>Hang Seng Current Account</t>
        </is>
      </c>
      <c r="B81" s="4" t="n">
        <v>45713</v>
      </c>
      <c r="C81" s="3" t="inlineStr">
        <is>
          <t>CHEQUE 035656</t>
        </is>
      </c>
      <c r="D81" s="5" t="n"/>
      <c r="E81" s="5" t="n">
        <v>1700</v>
      </c>
      <c r="F81" s="6" t="n"/>
      <c r="G81" s="7">
        <f>IF(AND(D81="",E81=""),F81,G80+IF(D81="",0,D81)-IF(E81="",0,E81))</f>
        <v/>
      </c>
    </row>
    <row r="82">
      <c r="A82" s="3" t="inlineStr">
        <is>
          <t>Hang Seng Current Account</t>
        </is>
      </c>
      <c r="B82" s="4" t="n">
        <v>45713</v>
      </c>
      <c r="C82" s="3" t="inlineStr">
        <is>
          <t>CHEQUE 035652</t>
        </is>
      </c>
      <c r="D82" s="5" t="n"/>
      <c r="E82" s="5" t="n">
        <v>1700</v>
      </c>
      <c r="F82" s="6" t="n"/>
      <c r="G82" s="7">
        <f>IF(AND(D82="",E82=""),F82,G81+IF(D82="",0,D82)-IF(E82="",0,E82))</f>
        <v/>
      </c>
    </row>
    <row r="83">
      <c r="A83" s="3" t="inlineStr">
        <is>
          <t>Hang Seng Current Account</t>
        </is>
      </c>
      <c r="B83" s="4" t="n">
        <v>45713</v>
      </c>
      <c r="C83" s="3" t="inlineStr">
        <is>
          <t>CHEQUE 035653</t>
        </is>
      </c>
      <c r="D83" s="5" t="n"/>
      <c r="E83" s="5" t="n">
        <v>2550</v>
      </c>
      <c r="F83" s="6" t="n"/>
      <c r="G83" s="7">
        <f>IF(AND(D83="",E83=""),F83,G82+IF(D83="",0,D83)-IF(E83="",0,E83))</f>
        <v/>
      </c>
    </row>
    <row r="84">
      <c r="A84" s="3" t="inlineStr">
        <is>
          <t>Hang Seng Current Account</t>
        </is>
      </c>
      <c r="B84" s="4" t="n">
        <v>45713</v>
      </c>
      <c r="C84" s="3" t="inlineStr">
        <is>
          <t>CHEQUE 035651</t>
        </is>
      </c>
      <c r="D84" s="5" t="n"/>
      <c r="E84" s="5" t="n">
        <v>3400</v>
      </c>
      <c r="F84" s="6" t="n"/>
      <c r="G84" s="7">
        <f>IF(AND(D84="",E84=""),F84,G83+IF(D84="",0,D84)-IF(E84="",0,E84))</f>
        <v/>
      </c>
    </row>
    <row r="85">
      <c r="A85" s="3" t="inlineStr">
        <is>
          <t>Hang Seng Current Account</t>
        </is>
      </c>
      <c r="B85" s="4" t="n">
        <v>45713</v>
      </c>
      <c r="C85" s="3" t="inlineStr">
        <is>
          <t>CHEQUE 035590</t>
        </is>
      </c>
      <c r="D85" s="5" t="n"/>
      <c r="E85" s="5" t="n">
        <v>4197</v>
      </c>
      <c r="F85" s="6" t="n"/>
      <c r="G85" s="7">
        <f>IF(AND(D85="",E85=""),F85,G84+IF(D85="",0,D85)-IF(E85="",0,E85))</f>
        <v/>
      </c>
    </row>
    <row r="86">
      <c r="A86" s="3" t="inlineStr">
        <is>
          <t>Hang Seng Current Account</t>
        </is>
      </c>
      <c r="B86" s="4" t="n">
        <v>45713</v>
      </c>
      <c r="C86" s="3" t="inlineStr">
        <is>
          <t>CHEQUE 035662</t>
        </is>
      </c>
      <c r="D86" s="5" t="n"/>
      <c r="E86" s="5" t="n">
        <v>4250</v>
      </c>
      <c r="F86" s="6" t="n"/>
      <c r="G86" s="7">
        <f>IF(AND(D86="",E86=""),F86,G85+IF(D86="",0,D86)-IF(E86="",0,E86))</f>
        <v/>
      </c>
    </row>
    <row r="87">
      <c r="A87" s="3" t="inlineStr">
        <is>
          <t>Hang Seng Current Account</t>
        </is>
      </c>
      <c r="B87" s="4" t="n">
        <v>45713</v>
      </c>
      <c r="C87" s="3" t="inlineStr">
        <is>
          <t>CHEQUE 035661</t>
        </is>
      </c>
      <c r="D87" s="5" t="n"/>
      <c r="E87" s="5" t="n">
        <v>4250</v>
      </c>
      <c r="F87" s="6" t="n"/>
      <c r="G87" s="7">
        <f>IF(AND(D87="",E87=""),F87,G86+IF(D87="",0,D87)-IF(E87="",0,E87))</f>
        <v/>
      </c>
    </row>
    <row r="88">
      <c r="A88" s="3" t="inlineStr">
        <is>
          <t>Hang Seng Current Account</t>
        </is>
      </c>
      <c r="B88" s="4" t="n">
        <v>45713</v>
      </c>
      <c r="C88" s="3" t="inlineStr">
        <is>
          <t>CHEQUE 035665</t>
        </is>
      </c>
      <c r="D88" s="5" t="n"/>
      <c r="E88" s="5" t="n">
        <v>6230</v>
      </c>
      <c r="F88" s="6" t="n"/>
      <c r="G88" s="7">
        <f>IF(AND(D88="",E88=""),F88,G87+IF(D88="",0,D88)-IF(E88="",0,E88))</f>
        <v/>
      </c>
    </row>
    <row r="89">
      <c r="A89" s="3" t="inlineStr">
        <is>
          <t>Hang Seng Current Account</t>
        </is>
      </c>
      <c r="B89" s="4" t="n">
        <v>45713</v>
      </c>
      <c r="C89" s="3" t="inlineStr">
        <is>
          <t>CHEQUE 035589</t>
        </is>
      </c>
      <c r="D89" s="5" t="n"/>
      <c r="E89" s="5" t="n">
        <v>14700</v>
      </c>
      <c r="F89" s="6" t="n"/>
      <c r="G89" s="7">
        <f>IF(AND(D89="",E89=""),F89,G88+IF(D89="",0,D89)-IF(E89="",0,E89))</f>
        <v/>
      </c>
    </row>
    <row r="90">
      <c r="A90" s="3" t="inlineStr">
        <is>
          <t>Hang Seng Current Account</t>
        </is>
      </c>
      <c r="B90" s="4" t="n">
        <v>45713</v>
      </c>
      <c r="C90" s="3" t="inlineStr">
        <is>
          <t>CHEQUE 035596</t>
        </is>
      </c>
      <c r="D90" s="5" t="n"/>
      <c r="E90" s="5" t="n">
        <v>21287.2</v>
      </c>
      <c r="F90" s="6" t="n"/>
      <c r="G90" s="7">
        <f>IF(AND(D90="",E90=""),F90,G89+IF(D90="",0,D90)-IF(E90="",0,E90))</f>
        <v/>
      </c>
    </row>
    <row r="91">
      <c r="A91" s="3" t="inlineStr">
        <is>
          <t>Hang Seng Current Account</t>
        </is>
      </c>
      <c r="B91" s="4" t="n">
        <v>45713</v>
      </c>
      <c r="C91" s="3" t="inlineStr">
        <is>
          <t>CHEQUE 035581</t>
        </is>
      </c>
      <c r="D91" s="5" t="n"/>
      <c r="E91" s="5" t="n">
        <v>77785</v>
      </c>
      <c r="F91" s="6" t="n"/>
      <c r="G91" s="7">
        <f>IF(AND(D91="",E91=""),F91,G90+IF(D91="",0,D91)-IF(E91="",0,E91))</f>
        <v/>
      </c>
    </row>
    <row r="92">
      <c r="A92" s="3" t="inlineStr">
        <is>
          <t>Hang Seng Current Account</t>
        </is>
      </c>
      <c r="B92" s="4" t="n">
        <v>45713</v>
      </c>
      <c r="C92" s="3" t="inlineStr">
        <is>
          <t>FROM TAKIMOTO C GRP AUTO SWEEPING (25FEB25)</t>
        </is>
      </c>
      <c r="D92" s="5" t="n">
        <v>10538.54</v>
      </c>
      <c r="E92" s="5" t="n"/>
      <c r="F92" s="6" t="n"/>
      <c r="G92" s="7">
        <f>IF(AND(D92="",E92=""),F92,G91+IF(D92="",0,D92)-IF(E92="",0,E92))</f>
        <v/>
      </c>
    </row>
    <row r="93">
      <c r="A93" s="3" t="inlineStr">
        <is>
          <t>Hang Seng Current Account</t>
        </is>
      </c>
      <c r="B93" s="4" t="n">
        <v>45713</v>
      </c>
      <c r="C93" s="3" t="inlineStr">
        <is>
          <t>FROM TAKIMOTO C GRP N22548863346(25FEB25)</t>
        </is>
      </c>
      <c r="D93" s="5" t="n">
        <v>100000</v>
      </c>
      <c r="E93" s="5" t="n"/>
      <c r="F93" s="6" t="n"/>
      <c r="G93" s="7">
        <f>IF(AND(D93="",E93=""),F93,G92+IF(D93="",0,D93)-IF(E93="",0,E93))</f>
        <v/>
      </c>
    </row>
    <row r="94">
      <c r="A94" s="3" t="inlineStr">
        <is>
          <t>Hang Seng Current Account</t>
        </is>
      </c>
      <c r="B94" s="4" t="n">
        <v>45713</v>
      </c>
      <c r="C94" s="3" t="inlineStr">
        <is>
          <t>CASH WITHDRAWAL 035598</t>
        </is>
      </c>
      <c r="D94" s="5" t="n"/>
      <c r="E94" s="5" t="n">
        <v>20000</v>
      </c>
      <c r="F94" s="6" t="n"/>
      <c r="G94" s="7">
        <f>IF(AND(D94="",E94=""),F94,G93+IF(D94="",0,D94)-IF(E94="",0,E94))</f>
        <v/>
      </c>
    </row>
    <row r="95">
      <c r="A95" s="3" t="inlineStr">
        <is>
          <t>Hang Seng Current Account</t>
        </is>
      </c>
      <c r="B95" s="4" t="n">
        <v>45713</v>
      </c>
      <c r="C95" s="3" t="inlineStr">
        <is>
          <t>CASH WITHDRAWAL 035659</t>
        </is>
      </c>
      <c r="D95" s="5" t="n"/>
      <c r="E95" s="5" t="n">
        <v>4250</v>
      </c>
      <c r="F95" s="6" t="n"/>
      <c r="G95" s="7">
        <f>IF(AND(D95="",E95=""),F95,G94+IF(D95="",0,D95)-IF(E95="",0,E95))</f>
        <v/>
      </c>
    </row>
    <row r="96">
      <c r="A96" s="3" t="inlineStr">
        <is>
          <t>Hang Seng Current Account</t>
        </is>
      </c>
      <c r="B96" s="4" t="n">
        <v>45713</v>
      </c>
      <c r="C96" s="3" t="inlineStr">
        <is>
          <t>CASH WITHDRAWAL 035701</t>
        </is>
      </c>
      <c r="D96" s="5" t="n"/>
      <c r="E96" s="5" t="n">
        <v>2550</v>
      </c>
      <c r="F96" s="6" t="n"/>
      <c r="G96" s="7">
        <f>IF(AND(D96="",E96=""),F96,G95+IF(D96="",0,D96)-IF(E96="",0,E96))</f>
        <v/>
      </c>
    </row>
    <row r="97">
      <c r="A97" s="3" t="inlineStr">
        <is>
          <t>Hang Seng Current Account</t>
        </is>
      </c>
      <c r="B97" s="4" t="n">
        <v>45713</v>
      </c>
      <c r="C97" s="3" t="inlineStr">
        <is>
          <t>CASH WITHDRAWAL 035667</t>
        </is>
      </c>
      <c r="D97" s="5" t="n"/>
      <c r="E97" s="5" t="n">
        <v>1425</v>
      </c>
      <c r="F97" s="6" t="n"/>
      <c r="G97" s="7">
        <f>IF(AND(D97="",E97=""),F97,G96+IF(D97="",0,D97)-IF(E97="",0,E97))</f>
        <v/>
      </c>
    </row>
    <row r="98">
      <c r="A98" s="3" t="inlineStr">
        <is>
          <t>Hang Seng Current Account</t>
        </is>
      </c>
      <c r="B98" s="4" t="n">
        <v>45713</v>
      </c>
      <c r="C98" s="3" t="inlineStr">
        <is>
          <t>CASH WITHDRAWAL 035654</t>
        </is>
      </c>
      <c r="D98" s="5" t="n"/>
      <c r="E98" s="5" t="n">
        <v>2550</v>
      </c>
      <c r="F98" s="6" t="n"/>
      <c r="G98" s="7">
        <f>IF(AND(D98="",E98=""),F98,G97+IF(D98="",0,D98)-IF(E98="",0,E98))</f>
        <v/>
      </c>
    </row>
    <row r="99">
      <c r="A99" s="3" t="inlineStr">
        <is>
          <t>Hang Seng Current Account</t>
        </is>
      </c>
      <c r="B99" s="4" t="n">
        <v>45713</v>
      </c>
      <c r="C99" s="3" t="inlineStr">
        <is>
          <t>CASH WITHDRAWAL 035670</t>
        </is>
      </c>
      <c r="D99" s="5" t="n"/>
      <c r="E99" s="5" t="n">
        <v>1400</v>
      </c>
      <c r="F99" s="6" t="n">
        <v>-74074.2</v>
      </c>
      <c r="G99" s="7">
        <f>IF(AND(D99="",E99=""),F99,G98+IF(D99="",0,D99)-IF(E99="",0,E99))</f>
        <v/>
      </c>
    </row>
    <row r="100">
      <c r="A100" s="3" t="inlineStr">
        <is>
          <t>Hang Seng Current Account</t>
        </is>
      </c>
      <c r="B100" s="4" t="n">
        <v>45714</v>
      </c>
      <c r="C100" s="3" t="inlineStr">
        <is>
          <t>UOD</t>
        </is>
      </c>
      <c r="D100" s="5" t="n"/>
      <c r="E100" s="5" t="n">
        <v>120</v>
      </c>
      <c r="F100" s="6" t="n"/>
      <c r="G100" s="7">
        <f>IF(AND(D100="",E100=""),F100,G99+IF(D100="",0,D100)-IF(E100="",0,E100))</f>
        <v/>
      </c>
    </row>
    <row r="101">
      <c r="A101" s="3" t="inlineStr">
        <is>
          <t>Hang Seng Current Account</t>
        </is>
      </c>
      <c r="B101" s="4" t="n">
        <v>45714</v>
      </c>
      <c r="C101" s="3" t="inlineStr">
        <is>
          <t>CHEQUE 035657</t>
        </is>
      </c>
      <c r="D101" s="5" t="n"/>
      <c r="E101" s="5" t="n">
        <v>1700</v>
      </c>
      <c r="F101" s="6" t="n"/>
      <c r="G101" s="7">
        <f>IF(AND(D101="",E101=""),F101,G100+IF(D101="",0,D101)-IF(E101="",0,E101))</f>
        <v/>
      </c>
    </row>
    <row r="102">
      <c r="A102" s="3" t="inlineStr">
        <is>
          <t>Hang Seng Current Account</t>
        </is>
      </c>
      <c r="B102" s="4" t="n">
        <v>45714</v>
      </c>
      <c r="C102" s="3" t="inlineStr">
        <is>
          <t>FROM TAKIMOTO C GRP N22651759647(26FEB25)</t>
        </is>
      </c>
      <c r="D102" s="5" t="n">
        <v>75000</v>
      </c>
      <c r="E102" s="5" t="n"/>
      <c r="F102" s="6" t="n">
        <v>-894.2</v>
      </c>
      <c r="G102" s="7">
        <f>IF(AND(D102="",E102=""),F102,G101+IF(D102="",0,D102)-IF(E102="",0,E102))</f>
        <v/>
      </c>
    </row>
    <row r="103">
      <c r="A103" s="3" t="inlineStr">
        <is>
          <t>Hang Seng Current Account</t>
        </is>
      </c>
      <c r="B103" s="4" t="n">
        <v>45715</v>
      </c>
      <c r="C103" s="3" t="inlineStr">
        <is>
          <t>UOD</t>
        </is>
      </c>
      <c r="D103" s="5" t="n"/>
      <c r="E103" s="5" t="n">
        <v>120</v>
      </c>
      <c r="F103" s="6" t="n"/>
      <c r="G103" s="7">
        <f>IF(AND(D103="",E103=""),F103,G102+IF(D103="",0,D103)-IF(E103="",0,E103))</f>
        <v/>
      </c>
    </row>
    <row r="104">
      <c r="A104" s="3" t="inlineStr">
        <is>
          <t>Hang Seng Current Account</t>
        </is>
      </c>
      <c r="B104" s="4" t="n">
        <v>45715</v>
      </c>
      <c r="C104" s="3" t="inlineStr">
        <is>
          <t>FROM TAKIMOTO C GRP N22756167568(27FEB25)</t>
        </is>
      </c>
      <c r="D104" s="5" t="n">
        <v>30000</v>
      </c>
      <c r="E104" s="5" t="n"/>
      <c r="F104" s="6" t="n"/>
      <c r="G104" s="7">
        <f>IF(AND(D104="",E104=""),F104,G103+IF(D104="",0,D104)-IF(E104="",0,E104))</f>
        <v/>
      </c>
    </row>
    <row r="105">
      <c r="A105" s="3" t="inlineStr">
        <is>
          <t>Hang Seng Current Account</t>
        </is>
      </c>
      <c r="B105" s="4" t="n">
        <v>45715</v>
      </c>
      <c r="C105" s="3" t="inlineStr">
        <is>
          <t>CASH WITHDRAWAL 035597</t>
        </is>
      </c>
      <c r="D105" s="5" t="n"/>
      <c r="E105" s="5" t="n">
        <v>2550</v>
      </c>
      <c r="F105" s="6" t="n"/>
      <c r="G105" s="7">
        <f>IF(AND(D105="",E105=""),F105,G104+IF(D105="",0,D105)-IF(E105="",0,E105))</f>
        <v/>
      </c>
    </row>
    <row r="106">
      <c r="A106" s="3" t="inlineStr">
        <is>
          <t>Hang Seng Current Account</t>
        </is>
      </c>
      <c r="B106" s="4" t="n">
        <v>45715</v>
      </c>
      <c r="C106" s="3" t="inlineStr">
        <is>
          <t>CASH WITHDRAWAL 035664</t>
        </is>
      </c>
      <c r="D106" s="5" t="n"/>
      <c r="E106" s="5" t="n">
        <v>2520</v>
      </c>
      <c r="F106" s="6" t="n">
        <v>23915.8</v>
      </c>
      <c r="G106" s="7">
        <f>IF(AND(D106="",E106=""),F106,G105+IF(D106="",0,D106)-IF(E106="",0,E106))</f>
        <v/>
      </c>
    </row>
    <row r="107">
      <c r="A107" s="3" t="inlineStr">
        <is>
          <t>Hang Seng Current Account</t>
        </is>
      </c>
      <c r="B107" s="4" t="n">
        <v>45716</v>
      </c>
      <c r="C107" s="3" t="inlineStr">
        <is>
          <t>CHEQUE 035516</t>
        </is>
      </c>
      <c r="D107" s="5" t="n"/>
      <c r="E107" s="5" t="n">
        <v>313.92</v>
      </c>
      <c r="F107" s="6" t="n"/>
      <c r="G107" s="7">
        <f>IF(AND(D107="",E107=""),F107,G106+IF(D107="",0,D107)-IF(E107="",0,E107))</f>
        <v/>
      </c>
    </row>
    <row r="108">
      <c r="A108" s="3" t="inlineStr">
        <is>
          <t>Hang Seng Current Account</t>
        </is>
      </c>
      <c r="B108" s="4" t="n">
        <v>45716</v>
      </c>
      <c r="C108" s="3" t="inlineStr">
        <is>
          <t>CHEQUE 035600</t>
        </is>
      </c>
      <c r="D108" s="5" t="n"/>
      <c r="E108" s="5" t="n">
        <v>750</v>
      </c>
      <c r="F108" s="6" t="n"/>
      <c r="G108" s="7">
        <f>IF(AND(D108="",E108=""),F108,G107+IF(D108="",0,D108)-IF(E108="",0,E108))</f>
        <v/>
      </c>
    </row>
    <row r="109">
      <c r="A109" s="3" t="inlineStr">
        <is>
          <t>Hang Seng Current Account</t>
        </is>
      </c>
      <c r="B109" s="4" t="n">
        <v>45716</v>
      </c>
      <c r="C109" s="3" t="inlineStr">
        <is>
          <t>CHEQUE 035515</t>
        </is>
      </c>
      <c r="D109" s="5" t="n"/>
      <c r="E109" s="5" t="n">
        <v>95250</v>
      </c>
      <c r="F109" s="6" t="n">
        <v>-72398.12</v>
      </c>
      <c r="G109" s="7">
        <f>IF(AND(D109="",E109=""),F109,G108+IF(D109="",0,D109)-IF(E109="",0,E109))</f>
        <v/>
      </c>
    </row>
    <row r="110">
      <c r="A110" s="3" t="inlineStr">
        <is>
          <t>Hang Seng Current Account</t>
        </is>
      </c>
      <c r="B110" s="4" t="n">
        <v>45716</v>
      </c>
      <c r="C110" s="3" t="inlineStr">
        <is>
          <t>C/F BALANCE</t>
        </is>
      </c>
      <c r="D110" s="5" t="n"/>
      <c r="E110" s="5" t="n"/>
      <c r="F110" s="6" t="n">
        <v>-72398.12</v>
      </c>
      <c r="G110" s="7">
        <f>IF(AND(D110="",E110=""),F110,G109+IF(D110="",0,D110)-IF(E110="",0,E110))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2026-06-22T08:35:21Z</dcterms:created>
  <dcterms:modified xmlns:dcterms="http://purl.org/dc/terms/" xmlns:xsi="http://www.w3.org/2001/XMLSchema-instance" xsi:type="dcterms:W3CDTF">2026-06-22T08:35:21Z</dcterms:modified>
</cp:coreProperties>
</file>