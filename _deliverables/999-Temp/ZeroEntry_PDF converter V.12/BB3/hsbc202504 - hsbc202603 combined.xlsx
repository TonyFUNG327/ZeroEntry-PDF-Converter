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45740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45894</v>
      </c>
      <c r="C3" s="3" t="inlineStr">
        <is>
          <t>CHEQUE 121391</t>
        </is>
      </c>
      <c r="D3" s="5" t="n"/>
      <c r="E3" s="6" t="n">
        <v>110</v>
      </c>
      <c r="F3" s="7" t="n">
        <v>49971.19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45934</v>
      </c>
      <c r="C4" s="3" t="inlineStr">
        <is>
          <t>NINE WATER COMPANY L NA0319335608(03OCT25)</t>
        </is>
      </c>
      <c r="D4" s="5" t="n">
        <v>30</v>
      </c>
      <c r="E4" s="6" t="n"/>
      <c r="F4" s="7" t="n">
        <v>50001.19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46067</v>
      </c>
      <c r="C5" s="3" t="inlineStr">
        <is>
          <t>NINE WATER COMPANY L N21434209823(14FEB26)</t>
        </is>
      </c>
      <c r="D5" s="5" t="n">
        <v>100000</v>
      </c>
      <c r="E5" s="6" t="n"/>
      <c r="F5" s="7" t="n">
        <v>150001.19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46073</v>
      </c>
      <c r="C6" s="3" t="inlineStr">
        <is>
          <t>CHEQUE 121392</t>
        </is>
      </c>
      <c r="D6" s="5" t="n"/>
      <c r="E6" s="6" t="n">
        <v>100000</v>
      </c>
      <c r="F6" s="7" t="n">
        <v>50001.19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45740</v>
      </c>
      <c r="C2" s="3" t="inlineStr">
        <is>
          <t>B/F BALANCE</t>
        </is>
      </c>
      <c r="D2" s="5" t="n"/>
      <c r="E2" s="6" t="n"/>
      <c r="F2" s="7" t="n">
        <v>5777.12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1.17</v>
      </c>
      <c r="E3" s="6" t="n"/>
      <c r="F3" s="7" t="n">
        <v>5778.29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45749</v>
      </c>
      <c r="C4" s="3" t="inlineStr">
        <is>
          <t>PETINUM GROUP LIMITE HC12540293573293 02APR</t>
        </is>
      </c>
      <c r="D4" s="5" t="n">
        <v>600</v>
      </c>
      <c r="E4" s="6" t="n"/>
      <c r="F4" s="7" t="n">
        <v>6378.29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45752</v>
      </c>
      <c r="C5" s="3" t="inlineStr">
        <is>
          <t>MONTHLY SERVICE FEE</t>
        </is>
      </c>
      <c r="D5" s="5" t="n"/>
      <c r="E5" s="6" t="n">
        <v>200</v>
      </c>
      <c r="F5" s="7" t="n">
        <v>6178.29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45754</v>
      </c>
      <c r="C6" s="3" t="inlineStr">
        <is>
          <t>PRINCIPAL TR CO(ASIA SD259529 07APR</t>
        </is>
      </c>
      <c r="D6" s="5" t="n"/>
      <c r="E6" s="6" t="n">
        <v>710</v>
      </c>
      <c r="F6" s="7" t="n">
        <v>5468.29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45755</v>
      </c>
      <c r="C7" s="3" t="inlineStr">
        <is>
          <t>REF:58A2 0357 CHEQUE DEPOSIT MACHINE (08APR25)</t>
        </is>
      </c>
      <c r="D7" s="5" t="n">
        <v>1600</v>
      </c>
      <c r="E7" s="6" t="n"/>
      <c r="F7" s="7" t="n">
        <v>7068.29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45757</v>
      </c>
      <c r="C8" s="3" t="inlineStr">
        <is>
          <t>DAIKIN AIRCONDITIONI HC12541016192363 10APR</t>
        </is>
      </c>
      <c r="D8" s="5" t="n">
        <v>67210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45757</v>
      </c>
      <c r="C9" s="3" t="inlineStr">
        <is>
          <t>CR TO 509-1-022722 N41004141515(10APR25)</t>
        </is>
      </c>
      <c r="D9" s="5" t="n"/>
      <c r="E9" s="6" t="n">
        <v>33600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45757</v>
      </c>
      <c r="C10" s="3" t="inlineStr">
        <is>
          <t>CR TO 058-637554-833 N41004144234(10APR25)</t>
        </is>
      </c>
      <c r="D10" s="5" t="n"/>
      <c r="E10" s="6" t="n">
        <v>19300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45757</v>
      </c>
      <c r="C11" s="3" t="inlineStr">
        <is>
          <t>CR TO 509-1-022722 TOOLS (10APR25)</t>
        </is>
      </c>
      <c r="D11" s="5" t="n"/>
      <c r="E11" s="6" t="n">
        <v>4560</v>
      </c>
      <c r="F11" s="7" t="n">
        <v>16818.29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45762</v>
      </c>
      <c r="C12" s="3" t="inlineStr">
        <is>
          <t>ATM WITHDRAWAL (15APR25)</t>
        </is>
      </c>
      <c r="D12" s="5" t="n"/>
      <c r="E12" s="6" t="n">
        <v>15000</v>
      </c>
      <c r="F12" s="7" t="n">
        <v>1818.29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45770</v>
      </c>
      <c r="C13" s="3" t="inlineStr">
        <is>
          <t>PETINUM GROUP LIMITE HC12542349260452 23APR</t>
        </is>
      </c>
      <c r="D13" s="5" t="n">
        <v>6400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45770</v>
      </c>
      <c r="C14" s="3" t="inlineStr">
        <is>
          <t>ATM WITHDRAWAL (23APR25)</t>
        </is>
      </c>
      <c r="D14" s="5" t="n"/>
      <c r="E14" s="6" t="n">
        <v>6400</v>
      </c>
      <c r="F14" s="7" t="n">
        <v>1818.29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45775</v>
      </c>
      <c r="C15" s="3" t="inlineStr">
        <is>
          <t>CREDIT INTEREST</t>
        </is>
      </c>
      <c r="D15" s="5" t="n">
        <v>1.12</v>
      </c>
      <c r="E15" s="6" t="n"/>
      <c r="F15" s="7" t="n">
        <v>1819.41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45776</v>
      </c>
      <c r="C16" s="3" t="inlineStr">
        <is>
          <t>INV NW20250331 CHEQUE DEPOSIT MACHINE (29APR25)</t>
        </is>
      </c>
      <c r="D16" s="5" t="n">
        <v>24850</v>
      </c>
      <c r="E16" s="6" t="n"/>
      <c r="F16" s="7" t="n">
        <v>26669.41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45779</v>
      </c>
      <c r="C17" s="3" t="inlineStr">
        <is>
          <t>POLE BEAT LIMITED FIX AIR CON (02MAY25)</t>
        </is>
      </c>
      <c r="D17" s="5" t="n">
        <v>1300</v>
      </c>
      <c r="E17" s="6" t="n"/>
      <c r="F17" s="7" t="n">
        <v>27969.41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45783</v>
      </c>
      <c r="C18" s="3" t="inlineStr">
        <is>
          <t>ATM WITHDRAWAL (03MAY25)</t>
        </is>
      </c>
      <c r="D18" s="5" t="n"/>
      <c r="E18" s="6" t="n">
        <v>20000</v>
      </c>
      <c r="F18" s="7" t="n">
        <v>7969.41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45784</v>
      </c>
      <c r="C19" s="3" t="inlineStr">
        <is>
          <t>MONTHLY SERVICE FEE</t>
        </is>
      </c>
      <c r="D19" s="5" t="n"/>
      <c r="E19" s="6" t="n">
        <v>200</v>
      </c>
      <c r="F19" s="7" t="n">
        <v>7769.41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45790</v>
      </c>
      <c r="C20" s="3" t="inlineStr">
        <is>
          <t>DAIKIN AIRCONDITIONI HC12551307617055 13MAY</t>
        </is>
      </c>
      <c r="D20" s="5" t="n">
        <v>91470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45790</v>
      </c>
      <c r="C21" s="3" t="inlineStr">
        <is>
          <t>ATM (13MAY25) TRANSFER 110-488368-001</t>
        </is>
      </c>
      <c r="D21" s="5" t="n"/>
      <c r="E21" s="6" t="n">
        <v>5200</v>
      </c>
      <c r="F21" s="7" t="n">
        <v>94039.41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45791</v>
      </c>
      <c r="C22" s="3" t="inlineStr">
        <is>
          <t>ATM WITHDRAWAL (14MAY25)</t>
        </is>
      </c>
      <c r="D22" s="5" t="n"/>
      <c r="E22" s="6" t="n">
        <v>40000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45791</v>
      </c>
      <c r="C23" s="3" t="inlineStr">
        <is>
          <t>ATM WITHDRAWAL (14MAY25)</t>
        </is>
      </c>
      <c r="D23" s="5" t="n"/>
      <c r="E23" s="6" t="n">
        <v>10000</v>
      </c>
      <c r="F23" s="7" t="n">
        <v>44039.41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45792</v>
      </c>
      <c r="C24" s="3" t="inlineStr">
        <is>
          <t>CR TO 509-1-022722 APIRL (14MAY25)</t>
        </is>
      </c>
      <c r="D24" s="5" t="n"/>
      <c r="E24" s="6" t="n">
        <v>23500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45792</v>
      </c>
      <c r="C25" s="3" t="inlineStr">
        <is>
          <t>CR TO 058-637554-833 APIRL (14MAY25)</t>
        </is>
      </c>
      <c r="D25" s="5" t="n"/>
      <c r="E25" s="6" t="n">
        <v>19300</v>
      </c>
      <c r="F25" s="7" t="n">
        <v>1239.41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45796</v>
      </c>
      <c r="C26" s="3" t="inlineStr">
        <is>
          <t>PRINCIPAL TR CO(ASIA SD259529 19MAY</t>
        </is>
      </c>
      <c r="D26" s="5" t="n"/>
      <c r="E26" s="6" t="n">
        <v>710</v>
      </c>
      <c r="F26" s="7" t="n">
        <v>529.41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45805</v>
      </c>
      <c r="C27" s="3" t="inlineStr">
        <is>
          <t>CREDIT INTEREST</t>
        </is>
      </c>
      <c r="D27" s="5" t="n">
        <v>1.92</v>
      </c>
      <c r="E27" s="6" t="n"/>
      <c r="F27" s="7" t="n">
        <v>531.33</v>
      </c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45813</v>
      </c>
      <c r="C28" s="3" t="inlineStr">
        <is>
          <t>MONTHLY SERVICE FEE</t>
        </is>
      </c>
      <c r="D28" s="5" t="n"/>
      <c r="E28" s="6" t="n">
        <v>200</v>
      </c>
      <c r="F28" s="7" t="n">
        <v>331.33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45819</v>
      </c>
      <c r="C29" s="3" t="inlineStr">
        <is>
          <t>DAIKIN AIRCONDITIONI HC12561191798660 11JUN</t>
        </is>
      </c>
      <c r="D29" s="5" t="n">
        <v>117270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45819</v>
      </c>
      <c r="C30" s="3" t="inlineStr">
        <is>
          <t>CR TO 015-495500-292 N61116891189(11JUN25)</t>
        </is>
      </c>
      <c r="D30" s="5" t="n"/>
      <c r="E30" s="6" t="n">
        <v>20000</v>
      </c>
      <c r="F30" s="7" t="n"/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45819</v>
      </c>
      <c r="C31" s="3" t="inlineStr">
        <is>
          <t>CR TO 509-1-022722 N61116892476(11JUN25)</t>
        </is>
      </c>
      <c r="D31" s="5" t="n"/>
      <c r="E31" s="6" t="n">
        <v>20000</v>
      </c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45819</v>
      </c>
      <c r="C32" s="3" t="inlineStr">
        <is>
          <t>CR TO 058-637554-833 N61116895594(11JUN25)</t>
        </is>
      </c>
      <c r="D32" s="5" t="n"/>
      <c r="E32" s="6" t="n">
        <v>19300</v>
      </c>
      <c r="F32" s="7" t="n">
        <v>58301.33</v>
      </c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45820</v>
      </c>
      <c r="C33" s="3" t="inlineStr">
        <is>
          <t>ATM WITHDRAWAL (12JUN25)</t>
        </is>
      </c>
      <c r="D33" s="5" t="n"/>
      <c r="E33" s="6" t="n">
        <v>20000</v>
      </c>
      <c r="F33" s="7" t="n"/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45820</v>
      </c>
      <c r="C34" s="3" t="inlineStr">
        <is>
          <t>ATM WITHDRAWAL (12JUN25)</t>
        </is>
      </c>
      <c r="D34" s="5" t="n"/>
      <c r="E34" s="6" t="n">
        <v>10000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45820</v>
      </c>
      <c r="C35" s="3" t="inlineStr">
        <is>
          <t>PANG T** C**** HC12561193802009 11JUN</t>
        </is>
      </c>
      <c r="D35" s="5" t="n"/>
      <c r="E35" s="6" t="n">
        <v>1</v>
      </c>
      <c r="F35" s="7" t="n"/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45820</v>
      </c>
      <c r="C36" s="3" t="inlineStr">
        <is>
          <t>CHARGES HC12561193802009 11JUN</t>
        </is>
      </c>
      <c r="D36" s="5" t="n"/>
      <c r="E36" s="6" t="n">
        <v>5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45820</v>
      </c>
      <c r="C37" s="3" t="inlineStr">
        <is>
          <t>CHARGES HC12561193852094 11JUN</t>
        </is>
      </c>
      <c r="D37" s="5" t="n"/>
      <c r="E37" s="6" t="n">
        <v>5</v>
      </c>
      <c r="F37" s="7" t="n"/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45820</v>
      </c>
      <c r="C38" s="3" t="inlineStr">
        <is>
          <t>PANG T** C**** HC12561193852094 11JUN</t>
        </is>
      </c>
      <c r="D38" s="5" t="n"/>
      <c r="E38" s="6" t="n">
        <v>7200</v>
      </c>
      <c r="F38" s="7" t="n"/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45820</v>
      </c>
      <c r="C39" s="3" t="inlineStr">
        <is>
          <t>CHARGES HC12561193887733 11JUN</t>
        </is>
      </c>
      <c r="D39" s="5" t="n"/>
      <c r="E39" s="6" t="n">
        <v>5</v>
      </c>
      <c r="F39" s="7" t="n"/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45820</v>
      </c>
      <c r="C40" s="3" t="inlineStr">
        <is>
          <t>PANG T** C**** HC12561193887733 11JUN</t>
        </is>
      </c>
      <c r="D40" s="5" t="n"/>
      <c r="E40" s="6" t="n">
        <v>1200</v>
      </c>
      <c r="F40" s="7" t="n">
        <v>19885.33</v>
      </c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45822</v>
      </c>
      <c r="C41" s="3" t="inlineStr">
        <is>
          <t>MS LEUNG WAI YAN HC12561400246514 14JUN</t>
        </is>
      </c>
      <c r="D41" s="5" t="n">
        <v>1100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HKD Savings Account</t>
        </is>
      </c>
      <c r="B42" s="4" t="n">
        <v>45822</v>
      </c>
      <c r="C42" s="3" t="inlineStr">
        <is>
          <t>MR LEUNG WAI KEE HC12561400689424 14JUN</t>
        </is>
      </c>
      <c r="D42" s="5" t="n">
        <v>550</v>
      </c>
      <c r="E42" s="6" t="n"/>
      <c r="F42" s="7" t="n">
        <v>21535.33</v>
      </c>
      <c r="G42" s="8">
        <f>IF(AND(D42="",E42=""),F42,G41+IF(D42="",0,D42)-IF(E42="",0,E42))</f>
        <v/>
      </c>
    </row>
    <row r="43">
      <c r="A43" s="3" t="inlineStr">
        <is>
          <t>HSBC HKD Savings Account</t>
        </is>
      </c>
      <c r="B43" s="4" t="n">
        <v>45824</v>
      </c>
      <c r="C43" s="3" t="inlineStr">
        <is>
          <t>MISS CHAN WING SHAN HC12561605571493 16JUN</t>
        </is>
      </c>
      <c r="D43" s="5" t="n">
        <v>550</v>
      </c>
      <c r="E43" s="6" t="n"/>
      <c r="F43" s="7" t="n">
        <v>22085.33</v>
      </c>
      <c r="G43" s="8">
        <f>IF(AND(D43="",E43=""),F43,G42+IF(D43="",0,D43)-IF(E43="",0,E43))</f>
        <v/>
      </c>
    </row>
    <row r="44">
      <c r="A44" s="3" t="inlineStr">
        <is>
          <t>HSBC HKD Savings Account</t>
        </is>
      </c>
      <c r="B44" s="4" t="n">
        <v>45825</v>
      </c>
      <c r="C44" s="3" t="inlineStr">
        <is>
          <t>AU KA LONG HC12561708665953 17JUN</t>
        </is>
      </c>
      <c r="D44" s="5" t="n">
        <v>2880</v>
      </c>
      <c r="E44" s="6" t="n"/>
      <c r="F44" s="7" t="n">
        <v>24965.33</v>
      </c>
      <c r="G44" s="8">
        <f>IF(AND(D44="",E44=""),F44,G43+IF(D44="",0,D44)-IF(E44="",0,E44))</f>
        <v/>
      </c>
    </row>
    <row r="45">
      <c r="A45" s="3" t="inlineStr">
        <is>
          <t>HSBC HKD Savings Account</t>
        </is>
      </c>
      <c r="B45" s="4" t="n">
        <v>45826</v>
      </c>
      <c r="C45" s="3" t="inlineStr">
        <is>
          <t>PRINCIPAL TR CO(ASIA SD259529 18JUN</t>
        </is>
      </c>
      <c r="D45" s="5" t="n"/>
      <c r="E45" s="6" t="n">
        <v>710</v>
      </c>
      <c r="F45" s="7" t="n">
        <v>24255.33</v>
      </c>
      <c r="G45" s="8">
        <f>IF(AND(D45="",E45=""),F45,G44+IF(D45="",0,D45)-IF(E45="",0,E45))</f>
        <v/>
      </c>
    </row>
    <row r="46">
      <c r="A46" s="3" t="inlineStr">
        <is>
          <t>HSBC HKD Savings Account</t>
        </is>
      </c>
      <c r="B46" s="4" t="n">
        <v>45831</v>
      </c>
      <c r="C46" s="3" t="inlineStr">
        <is>
          <t>MISS IP YEE MAN JOJO HC12562222077159 22JUN</t>
        </is>
      </c>
      <c r="D46" s="5" t="n">
        <v>4430</v>
      </c>
      <c r="E46" s="6" t="n"/>
      <c r="F46" s="7" t="n">
        <v>28685.33</v>
      </c>
      <c r="G46" s="8">
        <f>IF(AND(D46="",E46=""),F46,G45+IF(D46="",0,D46)-IF(E46="",0,E46))</f>
        <v/>
      </c>
    </row>
    <row r="47">
      <c r="A47" s="3" t="inlineStr">
        <is>
          <t>HSBC HKD Savings Account</t>
        </is>
      </c>
      <c r="B47" s="4" t="n">
        <v>45834</v>
      </c>
      <c r="C47" s="3" t="inlineStr">
        <is>
          <t>CHUNG PAK KIN HC12562633386599 26JUN</t>
        </is>
      </c>
      <c r="D47" s="5" t="n">
        <v>1800</v>
      </c>
      <c r="E47" s="6" t="n"/>
      <c r="F47" s="7" t="n">
        <v>30485.33</v>
      </c>
      <c r="G47" s="8">
        <f>IF(AND(D47="",E47=""),F47,G46+IF(D47="",0,D47)-IF(E47="",0,E47))</f>
        <v/>
      </c>
    </row>
    <row r="48">
      <c r="A48" s="3" t="inlineStr">
        <is>
          <t>HSBC HKD Savings Account</t>
        </is>
      </c>
      <c r="B48" s="4" t="n">
        <v>45835</v>
      </c>
      <c r="C48" s="3" t="inlineStr">
        <is>
          <t>TANG SAI KIN HC12562734349331 27JUN</t>
        </is>
      </c>
      <c r="D48" s="5" t="n"/>
      <c r="E48" s="6" t="n">
        <v>1</v>
      </c>
      <c r="F48" s="7" t="n"/>
      <c r="G48" s="8">
        <f>IF(AND(D48="",E48=""),F48,G47+IF(D48="",0,D48)-IF(E48="",0,E48))</f>
        <v/>
      </c>
    </row>
    <row r="49">
      <c r="A49" s="3" t="inlineStr">
        <is>
          <t>HSBC HKD Savings Account</t>
        </is>
      </c>
      <c r="B49" s="4" t="n">
        <v>45835</v>
      </c>
      <c r="C49" s="3" t="inlineStr">
        <is>
          <t>CHARGES HC12562734349331 27JUN</t>
        </is>
      </c>
      <c r="D49" s="5" t="n"/>
      <c r="E49" s="6" t="n">
        <v>5</v>
      </c>
      <c r="F49" s="7" t="n"/>
      <c r="G49" s="8">
        <f>IF(AND(D49="",E49=""),F49,G48+IF(D49="",0,D49)-IF(E49="",0,E49))</f>
        <v/>
      </c>
    </row>
    <row r="50">
      <c r="A50" s="3" t="inlineStr">
        <is>
          <t>HSBC HKD Savings Account</t>
        </is>
      </c>
      <c r="B50" s="4" t="n">
        <v>45835</v>
      </c>
      <c r="C50" s="3" t="inlineStr">
        <is>
          <t>CHARGES HC12562734369966 27JUN</t>
        </is>
      </c>
      <c r="D50" s="5" t="n"/>
      <c r="E50" s="6" t="n">
        <v>5</v>
      </c>
      <c r="F50" s="7" t="n"/>
      <c r="G50" s="8">
        <f>IF(AND(D50="",E50=""),F50,G49+IF(D50="",0,D50)-IF(E50="",0,E50))</f>
        <v/>
      </c>
    </row>
    <row r="51">
      <c r="A51" s="3" t="inlineStr">
        <is>
          <t>HSBC HKD Savings Account</t>
        </is>
      </c>
      <c r="B51" s="4" t="n">
        <v>45835</v>
      </c>
      <c r="C51" s="3" t="inlineStr">
        <is>
          <t>TANG SAI KIN HC12562734369966 27JUN</t>
        </is>
      </c>
      <c r="D51" s="5" t="n"/>
      <c r="E51" s="6" t="n">
        <v>14999</v>
      </c>
      <c r="F51" s="7" t="n"/>
      <c r="G51" s="8">
        <f>IF(AND(D51="",E51=""),F51,G50+IF(D51="",0,D51)-IF(E51="",0,E51))</f>
        <v/>
      </c>
    </row>
    <row r="52">
      <c r="A52" s="3" t="inlineStr">
        <is>
          <t>HSBC HKD Savings Account</t>
        </is>
      </c>
      <c r="B52" s="4" t="n">
        <v>45835</v>
      </c>
      <c r="C52" s="3" t="inlineStr">
        <is>
          <t>KWOK CHING LAP HC12562633998457 26JUN</t>
        </is>
      </c>
      <c r="D52" s="5" t="n">
        <v>5600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HSBC HKD Savings Account</t>
        </is>
      </c>
      <c r="B53" s="4" t="n">
        <v>45835</v>
      </c>
      <c r="C53" s="3" t="inlineStr">
        <is>
          <t>YEUNG LEONG SING HC12562634070662 26JUN</t>
        </is>
      </c>
      <c r="D53" s="5" t="n">
        <v>8100</v>
      </c>
      <c r="E53" s="6" t="n"/>
      <c r="F53" s="7" t="n">
        <v>29175.33</v>
      </c>
      <c r="G53" s="8">
        <f>IF(AND(D53="",E53=""),F53,G52+IF(D53="",0,D53)-IF(E53="",0,E53))</f>
        <v/>
      </c>
    </row>
    <row r="54">
      <c r="A54" s="3" t="inlineStr">
        <is>
          <t>HSBC HKD Savings Account</t>
        </is>
      </c>
      <c r="B54" s="4" t="n">
        <v>45836</v>
      </c>
      <c r="C54" s="3" t="inlineStr">
        <is>
          <t>CREDIT INTEREST</t>
        </is>
      </c>
      <c r="D54" s="5" t="n">
        <v>3.19</v>
      </c>
      <c r="E54" s="6" t="n"/>
      <c r="F54" s="7" t="n">
        <v>29178.52</v>
      </c>
      <c r="G54" s="8">
        <f>IF(AND(D54="",E54=""),F54,G53+IF(D54="",0,D54)-IF(E54="",0,E54))</f>
        <v/>
      </c>
    </row>
    <row r="55">
      <c r="A55" s="3" t="inlineStr">
        <is>
          <t>HSBC HKD Savings Account</t>
        </is>
      </c>
      <c r="B55" s="4" t="n">
        <v>45838</v>
      </c>
      <c r="C55" s="3" t="inlineStr">
        <is>
          <t>PHOENIX FITNESS LTD N63080326322(30JUN25)</t>
        </is>
      </c>
      <c r="D55" s="5" t="n">
        <v>10900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HKD Savings Account</t>
        </is>
      </c>
      <c r="B56" s="4" t="n">
        <v>45838</v>
      </c>
      <c r="C56" s="3" t="inlineStr">
        <is>
          <t>ATM WITHDRAWAL (29JUN25)</t>
        </is>
      </c>
      <c r="D56" s="5" t="n"/>
      <c r="E56" s="6" t="n">
        <v>20000</v>
      </c>
      <c r="F56" s="7" t="n"/>
      <c r="G56" s="8">
        <f>IF(AND(D56="",E56=""),F56,G55+IF(D56="",0,D56)-IF(E56="",0,E56))</f>
        <v/>
      </c>
    </row>
    <row r="57">
      <c r="A57" s="3" t="inlineStr">
        <is>
          <t>HSBC HKD Savings Account</t>
        </is>
      </c>
      <c r="B57" s="4" t="n">
        <v>45838</v>
      </c>
      <c r="C57" s="3" t="inlineStr">
        <is>
          <t>MS LI TSZ KI HC12563046043450 30JUN</t>
        </is>
      </c>
      <c r="D57" s="5" t="n">
        <v>1500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HSBC HKD Savings Account</t>
        </is>
      </c>
      <c r="B58" s="4" t="n">
        <v>45838</v>
      </c>
      <c r="C58" s="3" t="inlineStr">
        <is>
          <t>CHARGES HC12563046124834 30JUN</t>
        </is>
      </c>
      <c r="D58" s="5" t="n"/>
      <c r="E58" s="6" t="n">
        <v>5</v>
      </c>
      <c r="F58" s="7" t="n"/>
      <c r="G58" s="8">
        <f>IF(AND(D58="",E58=""),F58,G57+IF(D58="",0,D58)-IF(E58="",0,E58))</f>
        <v/>
      </c>
    </row>
    <row r="59">
      <c r="A59" s="3" t="inlineStr">
        <is>
          <t>HSBC HKD Savings Account</t>
        </is>
      </c>
      <c r="B59" s="4" t="n">
        <v>45838</v>
      </c>
      <c r="C59" s="3" t="inlineStr">
        <is>
          <t>SO K* F** HC12563046124834 30JUN</t>
        </is>
      </c>
      <c r="D59" s="5" t="n"/>
      <c r="E59" s="6" t="n">
        <v>6700</v>
      </c>
      <c r="F59" s="7" t="n"/>
      <c r="G59" s="8">
        <f>IF(AND(D59="",E59=""),F59,G58+IF(D59="",0,D59)-IF(E59="",0,E59))</f>
        <v/>
      </c>
    </row>
    <row r="60">
      <c r="A60" s="3" t="inlineStr">
        <is>
          <t>HSBC HKD Savings Account</t>
        </is>
      </c>
      <c r="B60" s="4" t="n">
        <v>45838</v>
      </c>
      <c r="C60" s="3" t="inlineStr">
        <is>
          <t>CHUN SHING DECORATIO HC12563046489485 30JUN</t>
        </is>
      </c>
      <c r="D60" s="5" t="n">
        <v>3000</v>
      </c>
      <c r="E60" s="6" t="n"/>
      <c r="F60" s="7" t="n">
        <v>17873.52</v>
      </c>
      <c r="G60" s="8">
        <f>IF(AND(D60="",E60=""),F60,G59+IF(D60="",0,D60)-IF(E60="",0,E60))</f>
        <v/>
      </c>
    </row>
    <row r="61">
      <c r="A61" s="3" t="inlineStr">
        <is>
          <t>HSBC HKD Savings Account</t>
        </is>
      </c>
      <c r="B61" s="4" t="n">
        <v>45840</v>
      </c>
      <c r="C61" s="3" t="inlineStr">
        <is>
          <t>PETINUM GROUP LIMITE HC12570251820072 02JUL</t>
        </is>
      </c>
      <c r="D61" s="5" t="n">
        <v>5400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HSBC HKD Savings Account</t>
        </is>
      </c>
      <c r="B62" s="4" t="n">
        <v>45840</v>
      </c>
      <c r="C62" s="3" t="inlineStr">
        <is>
          <t>MR TSANG TSZ WA HC12570148531381 01JUL</t>
        </is>
      </c>
      <c r="D62" s="5" t="n">
        <v>3700</v>
      </c>
      <c r="E62" s="6" t="n"/>
      <c r="F62" s="7" t="n">
        <v>26973.52</v>
      </c>
      <c r="G62" s="8">
        <f>IF(AND(D62="",E62=""),F62,G61+IF(D62="",0,D62)-IF(E62="",0,E62))</f>
        <v/>
      </c>
    </row>
    <row r="63">
      <c r="A63" s="3" t="inlineStr">
        <is>
          <t>HSBC HKD Savings Account</t>
        </is>
      </c>
      <c r="B63" s="4" t="n">
        <v>45842</v>
      </c>
      <c r="C63" s="3" t="inlineStr">
        <is>
          <t>NG MA LEE HC12570459779977 04JUL</t>
        </is>
      </c>
      <c r="D63" s="5" t="n">
        <v>900</v>
      </c>
      <c r="E63" s="6" t="n"/>
      <c r="F63" s="7" t="n">
        <v>27873.52</v>
      </c>
      <c r="G63" s="8">
        <f>IF(AND(D63="",E63=""),F63,G62+IF(D63="",0,D63)-IF(E63="",0,E63))</f>
        <v/>
      </c>
    </row>
    <row r="64">
      <c r="A64" s="3" t="inlineStr">
        <is>
          <t>HSBC HKD Savings Account</t>
        </is>
      </c>
      <c r="B64" s="4" t="n">
        <v>45843</v>
      </c>
      <c r="C64" s="3" t="inlineStr">
        <is>
          <t>MONTHLY SERVICE FEE</t>
        </is>
      </c>
      <c r="D64" s="5" t="n"/>
      <c r="E64" s="6" t="n">
        <v>200</v>
      </c>
      <c r="F64" s="7" t="n">
        <v>27673.52</v>
      </c>
      <c r="G64" s="8">
        <f>IF(AND(D64="",E64=""),F64,G63+IF(D64="",0,D64)-IF(E64="",0,E64))</f>
        <v/>
      </c>
    </row>
    <row r="65">
      <c r="A65" s="3" t="inlineStr">
        <is>
          <t>HSBC HKD Savings Account</t>
        </is>
      </c>
      <c r="B65" s="4" t="n">
        <v>45847</v>
      </c>
      <c r="C65" s="3" t="inlineStr">
        <is>
          <t>KWOK CHING LAP HC12570974039957 09JUL</t>
        </is>
      </c>
      <c r="D65" s="5" t="n">
        <v>4380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HSBC HKD Savings Account</t>
        </is>
      </c>
      <c r="B66" s="4" t="n">
        <v>45847</v>
      </c>
      <c r="C66" s="3" t="inlineStr">
        <is>
          <t>MR YEUNG LEONG SING HC12570872703019 08JUL</t>
        </is>
      </c>
      <c r="D66" s="5" t="n">
        <v>3780</v>
      </c>
      <c r="E66" s="6" t="n"/>
      <c r="F66" s="7" t="n">
        <v>35833.52</v>
      </c>
      <c r="G66" s="8">
        <f>IF(AND(D66="",E66=""),F66,G65+IF(D66="",0,D66)-IF(E66="",0,E66))</f>
        <v/>
      </c>
    </row>
    <row r="67">
      <c r="A67" s="3" t="inlineStr">
        <is>
          <t>HSBC HKD Savings Account</t>
        </is>
      </c>
      <c r="B67" s="4" t="n">
        <v>45848</v>
      </c>
      <c r="C67" s="3" t="inlineStr">
        <is>
          <t>DAIKIN AIRCONDITIONI HC12571076927209 10JUL</t>
        </is>
      </c>
      <c r="D67" s="5" t="n">
        <v>120800</v>
      </c>
      <c r="E67" s="6" t="n"/>
      <c r="F67" s="7" t="n">
        <v>156633.52</v>
      </c>
      <c r="G67" s="8">
        <f>IF(AND(D67="",E67=""),F67,G66+IF(D67="",0,D67)-IF(E67="",0,E67))</f>
        <v/>
      </c>
    </row>
    <row r="68">
      <c r="A68" s="3" t="inlineStr">
        <is>
          <t>HSBC HKD Savings Account</t>
        </is>
      </c>
      <c r="B68" s="4" t="n">
        <v>45849</v>
      </c>
      <c r="C68" s="3" t="inlineStr">
        <is>
          <t>CR TO 015-495500-292 6 (10JUL25)</t>
        </is>
      </c>
      <c r="D68" s="5" t="n"/>
      <c r="E68" s="6" t="n">
        <v>20000</v>
      </c>
      <c r="F68" s="7" t="n"/>
      <c r="G68" s="8">
        <f>IF(AND(D68="",E68=""),F68,G67+IF(D68="",0,D68)-IF(E68="",0,E68))</f>
        <v/>
      </c>
    </row>
    <row r="69">
      <c r="A69" s="3" t="inlineStr">
        <is>
          <t>HSBC HKD Savings Account</t>
        </is>
      </c>
      <c r="B69" s="4" t="n">
        <v>45849</v>
      </c>
      <c r="C69" s="3" t="inlineStr">
        <is>
          <t>CR TO 509-1-022722 6 (10JUL25)</t>
        </is>
      </c>
      <c r="D69" s="5" t="n"/>
      <c r="E69" s="6" t="n">
        <v>20000</v>
      </c>
      <c r="F69" s="7" t="n"/>
      <c r="G69" s="8">
        <f>IF(AND(D69="",E69=""),F69,G68+IF(D69="",0,D69)-IF(E69="",0,E69))</f>
        <v/>
      </c>
    </row>
    <row r="70">
      <c r="A70" s="3" t="inlineStr">
        <is>
          <t>HSBC HKD Savings Account</t>
        </is>
      </c>
      <c r="B70" s="4" t="n">
        <v>45849</v>
      </c>
      <c r="C70" s="3" t="inlineStr">
        <is>
          <t>CR TO 058-637554-833 6 (10JUL25)</t>
        </is>
      </c>
      <c r="D70" s="5" t="n"/>
      <c r="E70" s="6" t="n">
        <v>19300</v>
      </c>
      <c r="F70" s="7" t="n"/>
      <c r="G70" s="8">
        <f>IF(AND(D70="",E70=""),F70,G69+IF(D70="",0,D70)-IF(E70="",0,E70))</f>
        <v/>
      </c>
    </row>
    <row r="71">
      <c r="A71" s="3" t="inlineStr">
        <is>
          <t>HSBC HKD Savings Account</t>
        </is>
      </c>
      <c r="B71" s="4" t="n">
        <v>45849</v>
      </c>
      <c r="C71" s="3" t="inlineStr">
        <is>
          <t>CHARGES HC12571078525405 10JUL</t>
        </is>
      </c>
      <c r="D71" s="5" t="n"/>
      <c r="E71" s="6" t="n">
        <v>5</v>
      </c>
      <c r="F71" s="7" t="n"/>
      <c r="G71" s="8">
        <f>IF(AND(D71="",E71=""),F71,G70+IF(D71="",0,D71)-IF(E71="",0,E71))</f>
        <v/>
      </c>
    </row>
    <row r="72">
      <c r="A72" s="3" t="inlineStr">
        <is>
          <t>HSBC HKD Savings Account</t>
        </is>
      </c>
      <c r="B72" s="4" t="n">
        <v>45849</v>
      </c>
      <c r="C72" s="3" t="inlineStr">
        <is>
          <t>YEUNG L**** S*** HC12571078525405 10JUL</t>
        </is>
      </c>
      <c r="D72" s="5" t="n"/>
      <c r="E72" s="6" t="n">
        <v>80</v>
      </c>
      <c r="F72" s="7" t="n"/>
      <c r="G72" s="8">
        <f>IF(AND(D72="",E72=""),F72,G71+IF(D72="",0,D72)-IF(E72="",0,E72))</f>
        <v/>
      </c>
    </row>
    <row r="73">
      <c r="A73" s="3" t="inlineStr">
        <is>
          <t>HSBC HKD Savings Account</t>
        </is>
      </c>
      <c r="B73" s="4" t="n">
        <v>45849</v>
      </c>
      <c r="C73" s="3" t="inlineStr">
        <is>
          <t>CHARGES HC12571078531841 10JUL</t>
        </is>
      </c>
      <c r="D73" s="5" t="n"/>
      <c r="E73" s="6" t="n">
        <v>5</v>
      </c>
      <c r="F73" s="7" t="n"/>
      <c r="G73" s="8">
        <f>IF(AND(D73="",E73=""),F73,G72+IF(D73="",0,D73)-IF(E73="",0,E73))</f>
        <v/>
      </c>
    </row>
    <row r="74">
      <c r="A74" s="3" t="inlineStr">
        <is>
          <t>HSBC HKD Savings Account</t>
        </is>
      </c>
      <c r="B74" s="4" t="n">
        <v>45849</v>
      </c>
      <c r="C74" s="3" t="inlineStr">
        <is>
          <t>YEUNG L**** S*** HC12571078531841 10JUL</t>
        </is>
      </c>
      <c r="D74" s="5" t="n"/>
      <c r="E74" s="6" t="n">
        <v>11500</v>
      </c>
      <c r="F74" s="7" t="n">
        <v>85743.52</v>
      </c>
      <c r="G74" s="8">
        <f>IF(AND(D74="",E74=""),F74,G73+IF(D74="",0,D74)-IF(E74="",0,E74))</f>
        <v/>
      </c>
    </row>
    <row r="75">
      <c r="A75" s="3" t="inlineStr">
        <is>
          <t>HSBC HKD Savings Account</t>
        </is>
      </c>
      <c r="B75" s="4" t="n">
        <v>45850</v>
      </c>
      <c r="C75" s="3" t="inlineStr">
        <is>
          <t>CASH DEPOSIT (12JUL25)</t>
        </is>
      </c>
      <c r="D75" s="5" t="n">
        <v>2500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HSBC HKD Savings Account</t>
        </is>
      </c>
      <c r="B76" s="4" t="n">
        <v>45850</v>
      </c>
      <c r="C76" s="3" t="inlineStr">
        <is>
          <t>CHARGES HC12571181397652 11JUL</t>
        </is>
      </c>
      <c r="D76" s="5" t="n"/>
      <c r="E76" s="6" t="n">
        <v>5</v>
      </c>
      <c r="F76" s="7" t="n"/>
      <c r="G76" s="8">
        <f>IF(AND(D76="",E76=""),F76,G75+IF(D76="",0,D76)-IF(E76="",0,E76))</f>
        <v/>
      </c>
    </row>
    <row r="77">
      <c r="A77" s="3" t="inlineStr">
        <is>
          <t>HSBC HKD Savings Account</t>
        </is>
      </c>
      <c r="B77" s="4" t="n">
        <v>45850</v>
      </c>
      <c r="C77" s="3" t="inlineStr">
        <is>
          <t>PANG T** C**** HC12571181397652 11JUL</t>
        </is>
      </c>
      <c r="D77" s="5" t="n"/>
      <c r="E77" s="6" t="n">
        <v>7700</v>
      </c>
      <c r="F77" s="7" t="n">
        <v>80538.52</v>
      </c>
      <c r="G77" s="8">
        <f>IF(AND(D77="",E77=""),F77,G76+IF(D77="",0,D77)-IF(E77="",0,E77))</f>
        <v/>
      </c>
    </row>
    <row r="78">
      <c r="A78" s="3" t="inlineStr">
        <is>
          <t>HSBC HKD Savings Account</t>
        </is>
      </c>
      <c r="B78" s="4" t="n">
        <v>45852</v>
      </c>
      <c r="C78" s="3" t="inlineStr">
        <is>
          <t>ATM WITHDRAWAL (13JUL25)</t>
        </is>
      </c>
      <c r="D78" s="5" t="n"/>
      <c r="E78" s="6" t="n">
        <v>20000</v>
      </c>
      <c r="F78" s="7" t="n"/>
      <c r="G78" s="8">
        <f>IF(AND(D78="",E78=""),F78,G77+IF(D78="",0,D78)-IF(E78="",0,E78))</f>
        <v/>
      </c>
    </row>
    <row r="79">
      <c r="A79" s="3" t="inlineStr">
        <is>
          <t>HSBC HKD Savings Account</t>
        </is>
      </c>
      <c r="B79" s="4" t="n">
        <v>45852</v>
      </c>
      <c r="C79" s="3" t="inlineStr">
        <is>
          <t>ATM WITHDRAWAL (13JUL25)</t>
        </is>
      </c>
      <c r="D79" s="5" t="n"/>
      <c r="E79" s="6" t="n">
        <v>20000</v>
      </c>
      <c r="F79" s="7" t="n"/>
      <c r="G79" s="8">
        <f>IF(AND(D79="",E79=""),F79,G78+IF(D79="",0,D79)-IF(E79="",0,E79))</f>
        <v/>
      </c>
    </row>
    <row r="80">
      <c r="A80" s="3" t="inlineStr">
        <is>
          <t>HSBC HKD Savings Account</t>
        </is>
      </c>
      <c r="B80" s="4" t="n">
        <v>45852</v>
      </c>
      <c r="C80" s="3" t="inlineStr">
        <is>
          <t>ATM WITHDRAWAL (13JUL25)</t>
        </is>
      </c>
      <c r="D80" s="5" t="n"/>
      <c r="E80" s="6" t="n">
        <v>10000</v>
      </c>
      <c r="F80" s="7" t="n">
        <v>30538.52</v>
      </c>
      <c r="G80" s="8">
        <f>IF(AND(D80="",E80=""),F80,G79+IF(D80="",0,D80)-IF(E80="",0,E80))</f>
        <v/>
      </c>
    </row>
    <row r="81">
      <c r="A81" s="3" t="inlineStr">
        <is>
          <t>HSBC HKD Savings Account</t>
        </is>
      </c>
      <c r="B81" s="4" t="n">
        <v>45854</v>
      </c>
      <c r="C81" s="3" t="inlineStr">
        <is>
          <t>PRINCIPAL TR CO(ASIA SD259529 16JUL</t>
        </is>
      </c>
      <c r="D81" s="5" t="n"/>
      <c r="E81" s="6" t="n">
        <v>710</v>
      </c>
      <c r="F81" s="7" t="n">
        <v>29828.52</v>
      </c>
      <c r="G81" s="8">
        <f>IF(AND(D81="",E81=""),F81,G80+IF(D81="",0,D81)-IF(E81="",0,E81))</f>
        <v/>
      </c>
    </row>
    <row r="82">
      <c r="A82" s="3" t="inlineStr">
        <is>
          <t>HSBC HKD Savings Account</t>
        </is>
      </c>
      <c r="B82" s="4" t="n">
        <v>45855</v>
      </c>
      <c r="C82" s="3" t="inlineStr">
        <is>
          <t>WOO CHING YIN HC12571796193709 17JUL</t>
        </is>
      </c>
      <c r="D82" s="5" t="n">
        <v>500</v>
      </c>
      <c r="E82" s="6" t="n"/>
      <c r="F82" s="7" t="n">
        <v>30328.52</v>
      </c>
      <c r="G82" s="8">
        <f>IF(AND(D82="",E82=""),F82,G81+IF(D82="",0,D82)-IF(E82="",0,E82))</f>
        <v/>
      </c>
    </row>
    <row r="83">
      <c r="A83" s="3" t="inlineStr">
        <is>
          <t>HSBC HKD Savings Account</t>
        </is>
      </c>
      <c r="B83" s="4" t="n">
        <v>45856</v>
      </c>
      <c r="C83" s="3" t="inlineStr">
        <is>
          <t>KWOK CHING LAP HC12571898218694 18JUL</t>
        </is>
      </c>
      <c r="D83" s="5" t="n">
        <v>2000</v>
      </c>
      <c r="E83" s="6" t="n"/>
      <c r="F83" s="7" t="n">
        <v>32328.52</v>
      </c>
      <c r="G83" s="8">
        <f>IF(AND(D83="",E83=""),F83,G82+IF(D83="",0,D83)-IF(E83="",0,E83))</f>
        <v/>
      </c>
    </row>
    <row r="84">
      <c r="A84" s="3" t="inlineStr">
        <is>
          <t>HSBC HKD Savings Account</t>
        </is>
      </c>
      <c r="B84" s="4" t="n">
        <v>45859</v>
      </c>
      <c r="C84" s="3" t="inlineStr">
        <is>
          <t>MR YEUNG LEONG SING HC12572003154785 20JUL</t>
        </is>
      </c>
      <c r="D84" s="5" t="n">
        <v>2000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HSBC HKD Savings Account</t>
        </is>
      </c>
      <c r="B85" s="4" t="n">
        <v>45859</v>
      </c>
      <c r="C85" s="3" t="inlineStr">
        <is>
          <t>MR YEUNG LEONG SING HC12572105579436 21JUL</t>
        </is>
      </c>
      <c r="D85" s="5" t="n">
        <v>2700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HSBC HKD Savings Account</t>
        </is>
      </c>
      <c r="B86" s="4" t="n">
        <v>45859</v>
      </c>
      <c r="C86" s="3" t="inlineStr">
        <is>
          <t>MISS CHUENCHAI SIRIM HC12571902415569 19JUL</t>
        </is>
      </c>
      <c r="D86" s="5" t="n">
        <v>2600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HSBC HKD Savings Account</t>
        </is>
      </c>
      <c r="B87" s="4" t="n">
        <v>45859</v>
      </c>
      <c r="C87" s="3" t="inlineStr">
        <is>
          <t>MR CHAN WAI KONG HC12572004170000 20JUL</t>
        </is>
      </c>
      <c r="D87" s="5" t="n">
        <v>1100</v>
      </c>
      <c r="E87" s="6" t="n"/>
      <c r="F87" s="7" t="n">
        <v>40728.52</v>
      </c>
      <c r="G87" s="8">
        <f>IF(AND(D87="",E87=""),F87,G86+IF(D87="",0,D87)-IF(E87="",0,E87))</f>
        <v/>
      </c>
    </row>
    <row r="88">
      <c r="A88" s="3" t="inlineStr">
        <is>
          <t>HSBC HKD Savings Account</t>
        </is>
      </c>
      <c r="B88" s="4" t="n">
        <v>45860</v>
      </c>
      <c r="C88" s="3" t="inlineStr">
        <is>
          <t>MR YEUNG LEONG SING HC12572209437259 22JUL</t>
        </is>
      </c>
      <c r="D88" s="5" t="n">
        <v>5130</v>
      </c>
      <c r="E88" s="6" t="n"/>
      <c r="F88" s="7" t="n">
        <v>45858.52</v>
      </c>
      <c r="G88" s="8">
        <f>IF(AND(D88="",E88=""),F88,G87+IF(D88="",0,D88)-IF(E88="",0,E88))</f>
        <v/>
      </c>
    </row>
    <row r="89">
      <c r="A89" s="3" t="inlineStr">
        <is>
          <t>HSBC HKD Savings Account</t>
        </is>
      </c>
      <c r="B89" s="4" t="n">
        <v>45861</v>
      </c>
      <c r="C89" s="3" t="inlineStr">
        <is>
          <t>LO MAN NA HC12572310852573 23JUL</t>
        </is>
      </c>
      <c r="D89" s="5" t="n">
        <v>800</v>
      </c>
      <c r="E89" s="6" t="n"/>
      <c r="F89" s="7" t="n">
        <v>46658.52</v>
      </c>
      <c r="G89" s="8">
        <f>IF(AND(D89="",E89=""),F89,G88+IF(D89="",0,D89)-IF(E89="",0,E89))</f>
        <v/>
      </c>
    </row>
    <row r="90">
      <c r="A90" s="3" t="inlineStr">
        <is>
          <t>HSBC HKD Savings Account</t>
        </is>
      </c>
      <c r="B90" s="4" t="n">
        <v>45863</v>
      </c>
      <c r="C90" s="3" t="inlineStr">
        <is>
          <t>MR CHAN WAI KONG HC12572517219226 25JUL</t>
        </is>
      </c>
      <c r="D90" s="5" t="n">
        <v>100</v>
      </c>
      <c r="E90" s="6" t="n"/>
      <c r="F90" s="7" t="n">
        <v>46758.52</v>
      </c>
      <c r="G90" s="8">
        <f>IF(AND(D90="",E90=""),F90,G89+IF(D90="",0,D90)-IF(E90="",0,E90))</f>
        <v/>
      </c>
    </row>
    <row r="91">
      <c r="A91" s="3" t="inlineStr">
        <is>
          <t>HSBC HKD Savings Account</t>
        </is>
      </c>
      <c r="B91" s="4" t="n">
        <v>45866</v>
      </c>
      <c r="C91" s="3" t="inlineStr">
        <is>
          <t>CREDIT INTEREST</t>
        </is>
      </c>
      <c r="D91" s="5" t="n">
        <v>7.54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HSBC HKD Savings Account</t>
        </is>
      </c>
      <c r="B92" s="4" t="n">
        <v>45866</v>
      </c>
      <c r="C92" s="3" t="inlineStr">
        <is>
          <t>REF:581B 0078 CHEQUE DEPOSIT MACHINE (28JUL25)</t>
        </is>
      </c>
      <c r="D92" s="5" t="n">
        <v>3700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HSBC HKD Savings Account</t>
        </is>
      </c>
      <c r="B93" s="4" t="n">
        <v>45866</v>
      </c>
      <c r="C93" s="3" t="inlineStr">
        <is>
          <t>CHEQUE DEPOSIT</t>
        </is>
      </c>
      <c r="D93" s="5" t="n">
        <v>19560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HSBC HKD Savings Account</t>
        </is>
      </c>
      <c r="B94" s="4" t="n">
        <v>45866</v>
      </c>
      <c r="C94" s="3" t="inlineStr">
        <is>
          <t>ATM BILPYT (27JUL25) TRAFFIC TICKETS</t>
        </is>
      </c>
      <c r="D94" s="5" t="n"/>
      <c r="E94" s="6" t="n">
        <v>320</v>
      </c>
      <c r="F94" s="7" t="n"/>
      <c r="G94" s="8">
        <f>IF(AND(D94="",E94=""),F94,G93+IF(D94="",0,D94)-IF(E94="",0,E94))</f>
        <v/>
      </c>
    </row>
    <row r="95">
      <c r="A95" s="3" t="inlineStr">
        <is>
          <t>HSBC HKD Savings Account</t>
        </is>
      </c>
      <c r="B95" s="4" t="n">
        <v>45866</v>
      </c>
      <c r="C95" s="3" t="inlineStr">
        <is>
          <t>ATM WITHDRAWAL (27JUL25)</t>
        </is>
      </c>
      <c r="D95" s="5" t="n"/>
      <c r="E95" s="6" t="n">
        <v>20000</v>
      </c>
      <c r="F95" s="7" t="n"/>
      <c r="G95" s="8">
        <f>IF(AND(D95="",E95=""),F95,G94+IF(D95="",0,D95)-IF(E95="",0,E95))</f>
        <v/>
      </c>
    </row>
    <row r="96">
      <c r="A96" s="3" t="inlineStr">
        <is>
          <t>HSBC HKD Savings Account</t>
        </is>
      </c>
      <c r="B96" s="4" t="n">
        <v>45866</v>
      </c>
      <c r="C96" s="3" t="inlineStr">
        <is>
          <t>ATM WITHDRAWAL (27JUL25)</t>
        </is>
      </c>
      <c r="D96" s="5" t="n"/>
      <c r="E96" s="6" t="n">
        <v>10000</v>
      </c>
      <c r="F96" s="7" t="n">
        <v>39706.06</v>
      </c>
      <c r="G96" s="8">
        <f>IF(AND(D96="",E96=""),F96,G95+IF(D96="",0,D96)-IF(E96="",0,E96))</f>
        <v/>
      </c>
    </row>
    <row r="97">
      <c r="A97" s="3" t="inlineStr">
        <is>
          <t>HSBC HKD Savings Account</t>
        </is>
      </c>
      <c r="B97" s="4" t="n">
        <v>45867</v>
      </c>
      <c r="C97" s="3" t="inlineStr">
        <is>
          <t>PETINUM GROUP LIMITE HC12572926607461 29JUL</t>
        </is>
      </c>
      <c r="D97" s="5" t="n">
        <v>5400</v>
      </c>
      <c r="E97" s="6" t="n"/>
      <c r="F97" s="7" t="n">
        <v>45106.06</v>
      </c>
      <c r="G97" s="8">
        <f>IF(AND(D97="",E97=""),F97,G96+IF(D97="",0,D97)-IF(E97="",0,E97))</f>
        <v/>
      </c>
    </row>
    <row r="98">
      <c r="A98" s="3" t="inlineStr">
        <is>
          <t>HSBC HKD Savings Account</t>
        </is>
      </c>
      <c r="B98" s="4" t="n">
        <v>45868</v>
      </c>
      <c r="C98" s="3" t="inlineStr">
        <is>
          <t>MR SHING WAI HO HC12573031402260 30JUL</t>
        </is>
      </c>
      <c r="D98" s="5" t="n">
        <v>500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HSBC HKD Savings Account</t>
        </is>
      </c>
      <c r="B99" s="4" t="n">
        <v>45868</v>
      </c>
      <c r="C99" s="3" t="inlineStr">
        <is>
          <t>KWOK CHING LAP HC12573031635409 30JUL</t>
        </is>
      </c>
      <c r="D99" s="5" t="n">
        <v>2000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HSBC HKD Savings Account</t>
        </is>
      </c>
      <c r="B100" s="4" t="n">
        <v>45868</v>
      </c>
      <c r="C100" s="3" t="inlineStr">
        <is>
          <t>CHARGES HC12572928551749 29JUL</t>
        </is>
      </c>
      <c r="D100" s="5" t="n"/>
      <c r="E100" s="6" t="n">
        <v>5</v>
      </c>
      <c r="F100" s="7" t="n"/>
      <c r="G100" s="8">
        <f>IF(AND(D100="",E100=""),F100,G99+IF(D100="",0,D100)-IF(E100="",0,E100))</f>
        <v/>
      </c>
    </row>
    <row r="101">
      <c r="A101" s="3" t="inlineStr">
        <is>
          <t>HSBC HKD Savings Account</t>
        </is>
      </c>
      <c r="B101" s="4" t="n">
        <v>45868</v>
      </c>
      <c r="C101" s="3" t="inlineStr">
        <is>
          <t>CHAU K** Y** HC12572928551749 29JUL</t>
        </is>
      </c>
      <c r="D101" s="5" t="n"/>
      <c r="E101" s="6" t="n">
        <v>8300</v>
      </c>
      <c r="F101" s="7" t="n">
        <v>39301.06</v>
      </c>
      <c r="G101" s="8">
        <f>IF(AND(D101="",E101=""),F101,G100+IF(D101="",0,D101)-IF(E101="",0,E101))</f>
        <v/>
      </c>
    </row>
    <row r="102">
      <c r="A102" s="3" t="inlineStr">
        <is>
          <t>HSBC HKD Savings Account</t>
        </is>
      </c>
      <c r="B102" s="4" t="n">
        <v>45870</v>
      </c>
      <c r="C102" s="3" t="inlineStr">
        <is>
          <t>REF:58D8 0038 CHEQUE DEPOSIT MACHINE (01AUG25)</t>
        </is>
      </c>
      <c r="D102" s="5" t="n">
        <v>2850</v>
      </c>
      <c r="E102" s="6" t="n"/>
      <c r="F102" s="7" t="n">
        <v>42151.06</v>
      </c>
      <c r="G102" s="8">
        <f>IF(AND(D102="",E102=""),F102,G101+IF(D102="",0,D102)-IF(E102="",0,E102))</f>
        <v/>
      </c>
    </row>
    <row r="103">
      <c r="A103" s="3" t="inlineStr">
        <is>
          <t>HSBC HKD Savings Account</t>
        </is>
      </c>
      <c r="B103" s="4" t="n">
        <v>45871</v>
      </c>
      <c r="C103" s="3" t="inlineStr">
        <is>
          <t>MR CHAU CHUN KIN HC12580240191595 02AUG</t>
        </is>
      </c>
      <c r="D103" s="5" t="n">
        <v>3000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HSBC HKD Savings Account</t>
        </is>
      </c>
      <c r="B104" s="4" t="n">
        <v>45871</v>
      </c>
      <c r="C104" s="3" t="inlineStr">
        <is>
          <t>WONG KA HO HC12580241353372 02AUG</t>
        </is>
      </c>
      <c r="D104" s="5" t="n">
        <v>2000</v>
      </c>
      <c r="E104" s="6" t="n"/>
      <c r="F104" s="7" t="n">
        <v>47151.06</v>
      </c>
      <c r="G104" s="8">
        <f>IF(AND(D104="",E104=""),F104,G103+IF(D104="",0,D104)-IF(E104="",0,E104))</f>
        <v/>
      </c>
    </row>
    <row r="105">
      <c r="A105" s="3" t="inlineStr">
        <is>
          <t>HSBC HKD Savings Account</t>
        </is>
      </c>
      <c r="B105" s="4" t="n">
        <v>45874</v>
      </c>
      <c r="C105" s="3" t="inlineStr">
        <is>
          <t>BLG CHQ DEP</t>
        </is>
      </c>
      <c r="D105" s="5" t="n"/>
      <c r="E105" s="6" t="n">
        <v>5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HSBC HKD Savings Account</t>
        </is>
      </c>
      <c r="B106" s="4" t="n">
        <v>45874</v>
      </c>
      <c r="C106" s="3" t="inlineStr">
        <is>
          <t>MONTHLY SERVICE FEE</t>
        </is>
      </c>
      <c r="D106" s="5" t="n"/>
      <c r="E106" s="6" t="n">
        <v>200</v>
      </c>
      <c r="F106" s="7" t="n">
        <v>46946.06</v>
      </c>
      <c r="G106" s="8">
        <f>IF(AND(D106="",E106=""),F106,G105+IF(D106="",0,D106)-IF(E106="",0,E106))</f>
        <v/>
      </c>
    </row>
    <row r="107">
      <c r="A107" s="3" t="inlineStr">
        <is>
          <t>HSBC HKD Savings Account</t>
        </is>
      </c>
      <c r="B107" s="4" t="n">
        <v>45877</v>
      </c>
      <c r="C107" s="3" t="inlineStr">
        <is>
          <t>DAIKIN AIRCONDITIONI HC12580858248565 08AUG</t>
        </is>
      </c>
      <c r="D107" s="5" t="n">
        <v>142820</v>
      </c>
      <c r="E107" s="6" t="n"/>
      <c r="F107" s="7" t="n">
        <v>189766.06</v>
      </c>
      <c r="G107" s="8">
        <f>IF(AND(D107="",E107=""),F107,G106+IF(D107="",0,D107)-IF(E107="",0,E107))</f>
        <v/>
      </c>
    </row>
    <row r="108">
      <c r="A108" s="3" t="inlineStr">
        <is>
          <t>HSBC HKD Savings Account</t>
        </is>
      </c>
      <c r="B108" s="4" t="n">
        <v>45878</v>
      </c>
      <c r="C108" s="3" t="inlineStr">
        <is>
          <t>CHUNG PAK KIN HC12580961478501 09AUG</t>
        </is>
      </c>
      <c r="D108" s="5" t="n">
        <v>2000</v>
      </c>
      <c r="E108" s="6" t="n"/>
      <c r="F108" s="7" t="n">
        <v>191766.06</v>
      </c>
      <c r="G108" s="8">
        <f>IF(AND(D108="",E108=""),F108,G107+IF(D108="",0,D108)-IF(E108="",0,E108))</f>
        <v/>
      </c>
    </row>
    <row r="109">
      <c r="A109" s="3" t="inlineStr">
        <is>
          <t>HSBC HKD Savings Account</t>
        </is>
      </c>
      <c r="B109" s="4" t="n">
        <v>45880</v>
      </c>
      <c r="C109" s="3" t="inlineStr">
        <is>
          <t>CHARGES HC12581064933802 10AUG</t>
        </is>
      </c>
      <c r="D109" s="5" t="n"/>
      <c r="E109" s="6" t="n">
        <v>5</v>
      </c>
      <c r="F109" s="7" t="n"/>
      <c r="G109" s="8">
        <f>IF(AND(D109="",E109=""),F109,G108+IF(D109="",0,D109)-IF(E109="",0,E109))</f>
        <v/>
      </c>
    </row>
    <row r="110">
      <c r="A110" s="3" t="inlineStr">
        <is>
          <t>HSBC HKD Savings Account</t>
        </is>
      </c>
      <c r="B110" s="4" t="n">
        <v>45880</v>
      </c>
      <c r="C110" s="3" t="inlineStr">
        <is>
          <t>PANG T** C**** HC12581064933802 10AUG</t>
        </is>
      </c>
      <c r="D110" s="5" t="n"/>
      <c r="E110" s="6" t="n">
        <v>6000</v>
      </c>
      <c r="F110" s="7" t="n"/>
      <c r="G110" s="8">
        <f>IF(AND(D110="",E110=""),F110,G109+IF(D110="",0,D110)-IF(E110="",0,E110))</f>
        <v/>
      </c>
    </row>
    <row r="111">
      <c r="A111" s="3" t="inlineStr">
        <is>
          <t>HSBC HKD Savings Account</t>
        </is>
      </c>
      <c r="B111" s="4" t="n">
        <v>45880</v>
      </c>
      <c r="C111" s="3" t="inlineStr">
        <is>
          <t>CR TO 015-495500-292 N81027438794(10AUG25)</t>
        </is>
      </c>
      <c r="D111" s="5" t="n"/>
      <c r="E111" s="6" t="n">
        <v>20000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HSBC HKD Savings Account</t>
        </is>
      </c>
      <c r="B112" s="4" t="n">
        <v>45880</v>
      </c>
      <c r="C112" s="3" t="inlineStr">
        <is>
          <t>CR TO 509-1-022722 N81027440763(10AUG25)</t>
        </is>
      </c>
      <c r="D112" s="5" t="n"/>
      <c r="E112" s="6" t="n">
        <v>20000</v>
      </c>
      <c r="F112" s="7" t="n"/>
      <c r="G112" s="8">
        <f>IF(AND(D112="",E112=""),F112,G111+IF(D112="",0,D112)-IF(E112="",0,E112))</f>
        <v/>
      </c>
    </row>
    <row r="113">
      <c r="A113" s="3" t="inlineStr">
        <is>
          <t>HSBC HKD Savings Account</t>
        </is>
      </c>
      <c r="B113" s="4" t="n">
        <v>45880</v>
      </c>
      <c r="C113" s="3" t="inlineStr">
        <is>
          <t>CR TO 058-637554-833 N81027442912(10AUG25)</t>
        </is>
      </c>
      <c r="D113" s="5" t="n"/>
      <c r="E113" s="6" t="n">
        <v>19300</v>
      </c>
      <c r="F113" s="7" t="n"/>
      <c r="G113" s="8">
        <f>IF(AND(D113="",E113=""),F113,G112+IF(D113="",0,D113)-IF(E113="",0,E113))</f>
        <v/>
      </c>
    </row>
    <row r="114">
      <c r="A114" s="3" t="inlineStr">
        <is>
          <t>HSBC HKD Savings Account</t>
        </is>
      </c>
      <c r="B114" s="4" t="n">
        <v>45880</v>
      </c>
      <c r="C114" s="3" t="inlineStr">
        <is>
          <t>CHARGES HC12581064940883 10AUG</t>
        </is>
      </c>
      <c r="D114" s="5" t="n"/>
      <c r="E114" s="6" t="n">
        <v>5</v>
      </c>
      <c r="F114" s="7" t="n"/>
      <c r="G114" s="8">
        <f>IF(AND(D114="",E114=""),F114,G113+IF(D114="",0,D114)-IF(E114="",0,E114))</f>
        <v/>
      </c>
    </row>
    <row r="115">
      <c r="A115" s="3" t="inlineStr">
        <is>
          <t>HSBC HKD Savings Account</t>
        </is>
      </c>
      <c r="B115" s="4" t="n">
        <v>45880</v>
      </c>
      <c r="C115" s="3" t="inlineStr">
        <is>
          <t>YEUNG L**** S*** HC12581064940883 10AUG</t>
        </is>
      </c>
      <c r="D115" s="5" t="n"/>
      <c r="E115" s="6" t="n">
        <v>100</v>
      </c>
      <c r="F115" s="7" t="n">
        <v>126356.06</v>
      </c>
      <c r="G115" s="8">
        <f>IF(AND(D115="",E115=""),F115,G114+IF(D115="",0,D115)-IF(E115="",0,E115))</f>
        <v/>
      </c>
    </row>
    <row r="116">
      <c r="A116" s="3" t="inlineStr">
        <is>
          <t>HSBC HKD Savings Account</t>
        </is>
      </c>
      <c r="B116" s="4" t="n">
        <v>45881</v>
      </c>
      <c r="C116" s="3" t="inlineStr">
        <is>
          <t>PRINCIPAL TR CO(ASIA SD259529 12AUG</t>
        </is>
      </c>
      <c r="D116" s="5" t="n"/>
      <c r="E116" s="6" t="n">
        <v>710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HSBC HKD Savings Account</t>
        </is>
      </c>
      <c r="B117" s="4" t="n">
        <v>45881</v>
      </c>
      <c r="C117" s="3" t="inlineStr">
        <is>
          <t>MR YEUNG LEONG SING HC12581270345263 12AUG</t>
        </is>
      </c>
      <c r="D117" s="5" t="n">
        <v>4000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HSBC HKD Savings Account</t>
        </is>
      </c>
      <c r="B118" s="4" t="n">
        <v>45881</v>
      </c>
      <c r="C118" s="3" t="inlineStr">
        <is>
          <t>CHARGES HC12581168028888 11AUG</t>
        </is>
      </c>
      <c r="D118" s="5" t="n"/>
      <c r="E118" s="6" t="n">
        <v>5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HSBC HKD Savings Account</t>
        </is>
      </c>
      <c r="B119" s="4" t="n">
        <v>45881</v>
      </c>
      <c r="C119" s="3" t="inlineStr">
        <is>
          <t>YEUNG L**** S*** HC12581168028888 11AUG</t>
        </is>
      </c>
      <c r="D119" s="5" t="n"/>
      <c r="E119" s="6" t="n">
        <v>15540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HSBC HKD Savings Account</t>
        </is>
      </c>
      <c r="B120" s="4" t="n">
        <v>45881</v>
      </c>
      <c r="C120" s="3" t="inlineStr">
        <is>
          <t>LING MAN YEE EDMUND HC12581168044215 11AUG</t>
        </is>
      </c>
      <c r="D120" s="5" t="n">
        <v>3763</v>
      </c>
      <c r="E120" s="6" t="n"/>
      <c r="F120" s="7" t="n">
        <v>117864.06</v>
      </c>
      <c r="G120" s="8">
        <f>IF(AND(D120="",E120=""),F120,G119+IF(D120="",0,D120)-IF(E120="",0,E120))</f>
        <v/>
      </c>
    </row>
    <row r="121">
      <c r="A121" s="3" t="inlineStr">
        <is>
          <t>HSBC HKD Savings Account</t>
        </is>
      </c>
      <c r="B121" s="4" t="n">
        <v>45882</v>
      </c>
      <c r="C121" s="3" t="inlineStr">
        <is>
          <t>MR CHUNG KA WAI HC12581371441757 13AUG</t>
        </is>
      </c>
      <c r="D121" s="5" t="n">
        <v>400</v>
      </c>
      <c r="E121" s="6" t="n"/>
      <c r="F121" s="7" t="n">
        <v>118264.06</v>
      </c>
      <c r="G121" s="8">
        <f>IF(AND(D121="",E121=""),F121,G120+IF(D121="",0,D121)-IF(E121="",0,E121))</f>
        <v/>
      </c>
    </row>
    <row r="122">
      <c r="A122" s="3" t="inlineStr">
        <is>
          <t>HSBC HKD Savings Account</t>
        </is>
      </c>
      <c r="B122" s="4" t="n">
        <v>45883</v>
      </c>
      <c r="C122" s="3" t="inlineStr">
        <is>
          <t>ATM WITHDRAWAL (14AUG25)</t>
        </is>
      </c>
      <c r="D122" s="5" t="n"/>
      <c r="E122" s="6" t="n">
        <v>20000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HSBC HKD Savings Account</t>
        </is>
      </c>
      <c r="B123" s="4" t="n">
        <v>45883</v>
      </c>
      <c r="C123" s="3" t="inlineStr">
        <is>
          <t>ATM WITHDRAWAL (14AUG25)</t>
        </is>
      </c>
      <c r="D123" s="5" t="n"/>
      <c r="E123" s="6" t="n">
        <v>20000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HSBC HKD Savings Account</t>
        </is>
      </c>
      <c r="B124" s="4" t="n">
        <v>45883</v>
      </c>
      <c r="C124" s="3" t="inlineStr">
        <is>
          <t>ATM WITHDRAWAL (14AUG25)</t>
        </is>
      </c>
      <c r="D124" s="5" t="n"/>
      <c r="E124" s="6" t="n">
        <v>10000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HSBC HKD Savings Account</t>
        </is>
      </c>
      <c r="B125" s="4" t="n">
        <v>45883</v>
      </c>
      <c r="C125" s="3" t="inlineStr">
        <is>
          <t>TSENG Y* C**** HC12581474929534 14AUG</t>
        </is>
      </c>
      <c r="D125" s="5" t="n"/>
      <c r="E125" s="6" t="n">
        <v>6900</v>
      </c>
      <c r="F125" s="7" t="n"/>
      <c r="G125" s="8">
        <f>IF(AND(D125="",E125=""),F125,G124+IF(D125="",0,D125)-IF(E125="",0,E125))</f>
        <v/>
      </c>
    </row>
    <row r="126">
      <c r="A126" s="3" t="inlineStr">
        <is>
          <t>HSBC HKD Savings Account</t>
        </is>
      </c>
      <c r="B126" s="4" t="n">
        <v>45883</v>
      </c>
      <c r="C126" s="3" t="inlineStr">
        <is>
          <t>YEUNG SHU KAN HC12581373560842 13AUG</t>
        </is>
      </c>
      <c r="D126" s="5" t="n">
        <v>7300</v>
      </c>
      <c r="E126" s="6" t="n"/>
      <c r="F126" s="7" t="n">
        <v>68664.06</v>
      </c>
      <c r="G126" s="8">
        <f>IF(AND(D126="",E126=""),F126,G125+IF(D126="",0,D126)-IF(E126="",0,E126))</f>
        <v/>
      </c>
    </row>
    <row r="127">
      <c r="A127" s="3" t="inlineStr">
        <is>
          <t>HSBC HKD Savings Account</t>
        </is>
      </c>
      <c r="B127" s="4" t="n">
        <v>45890</v>
      </c>
      <c r="C127" s="3" t="inlineStr">
        <is>
          <t>CHG FOR AUDIT CONF O N 31032025 (21AUG25)</t>
        </is>
      </c>
      <c r="D127" s="5" t="n"/>
      <c r="E127" s="6" t="n">
        <v>760</v>
      </c>
      <c r="F127" s="7" t="n"/>
      <c r="G127" s="8">
        <f>IF(AND(D127="",E127=""),F127,G126+IF(D127="",0,D127)-IF(E127="",0,E127))</f>
        <v/>
      </c>
    </row>
    <row r="128">
      <c r="A128" s="3" t="inlineStr">
        <is>
          <t>HSBC HKD Savings Account</t>
        </is>
      </c>
      <c r="B128" s="4" t="n">
        <v>45890</v>
      </c>
      <c r="C128" s="3" t="inlineStr">
        <is>
          <t>MR YEUNG LEONG SING HC12582194440041 21AUG</t>
        </is>
      </c>
      <c r="D128" s="5" t="n">
        <v>3870</v>
      </c>
      <c r="E128" s="6" t="n"/>
      <c r="F128" s="7" t="n">
        <v>71774.06</v>
      </c>
      <c r="G128" s="8">
        <f>IF(AND(D128="",E128=""),F128,G127+IF(D128="",0,D128)-IF(E128="",0,E128))</f>
        <v/>
      </c>
    </row>
    <row r="129">
      <c r="A129" s="3" t="inlineStr">
        <is>
          <t>HSBC HKD Savings Account</t>
        </is>
      </c>
      <c r="B129" s="4" t="n">
        <v>45892</v>
      </c>
      <c r="C129" s="3" t="inlineStr">
        <is>
          <t>ATM WITHDRAWAL (23AUG25)</t>
        </is>
      </c>
      <c r="D129" s="5" t="n"/>
      <c r="E129" s="6" t="n">
        <v>12000</v>
      </c>
      <c r="F129" s="7" t="n"/>
      <c r="G129" s="8">
        <f>IF(AND(D129="",E129=""),F129,G128+IF(D129="",0,D129)-IF(E129="",0,E129))</f>
        <v/>
      </c>
    </row>
    <row r="130">
      <c r="A130" s="3" t="inlineStr">
        <is>
          <t>HSBC HKD Savings Account</t>
        </is>
      </c>
      <c r="B130" s="4" t="n">
        <v>45892</v>
      </c>
      <c r="C130" s="3" t="inlineStr">
        <is>
          <t>R &amp; E FACTORY LIMITE HC12582398611907 23AUG</t>
        </is>
      </c>
      <c r="D130" s="5" t="n">
        <v>3000</v>
      </c>
      <c r="E130" s="6" t="n"/>
      <c r="F130" s="7" t="n">
        <v>62774.06</v>
      </c>
      <c r="G130" s="8">
        <f>IF(AND(D130="",E130=""),F130,G129+IF(D130="",0,D130)-IF(E130="",0,E130))</f>
        <v/>
      </c>
    </row>
    <row r="131">
      <c r="A131" s="3" t="inlineStr">
        <is>
          <t>HSBC HKD Savings Account</t>
        </is>
      </c>
      <c r="B131" s="4" t="n">
        <v>45894</v>
      </c>
      <c r="C131" s="3" t="inlineStr">
        <is>
          <t>ATM (25AUG25) TRANSFER 191-882901-001</t>
        </is>
      </c>
      <c r="D131" s="5" t="n"/>
      <c r="E131" s="6" t="n">
        <v>643.2</v>
      </c>
      <c r="F131" s="7" t="n"/>
      <c r="G131" s="8">
        <f>IF(AND(D131="",E131=""),F131,G130+IF(D131="",0,D131)-IF(E131="",0,E131))</f>
        <v/>
      </c>
    </row>
    <row r="132">
      <c r="A132" s="3" t="inlineStr">
        <is>
          <t>HSBC HKD Savings Account</t>
        </is>
      </c>
      <c r="B132" s="4" t="n">
        <v>45894</v>
      </c>
      <c r="C132" s="3" t="inlineStr">
        <is>
          <t>CHARGES HC12582401973567 24AUG</t>
        </is>
      </c>
      <c r="D132" s="5" t="n"/>
      <c r="E132" s="6" t="n">
        <v>5</v>
      </c>
      <c r="F132" s="7" t="n"/>
      <c r="G132" s="8">
        <f>IF(AND(D132="",E132=""),F132,G131+IF(D132="",0,D132)-IF(E132="",0,E132))</f>
        <v/>
      </c>
    </row>
    <row r="133">
      <c r="A133" s="3" t="inlineStr">
        <is>
          <t>HSBC HKD Savings Account</t>
        </is>
      </c>
      <c r="B133" s="4" t="n">
        <v>45894</v>
      </c>
      <c r="C133" s="3" t="inlineStr">
        <is>
          <t>CHAU K** Y** HC12582401973567 24AUG</t>
        </is>
      </c>
      <c r="D133" s="5" t="n"/>
      <c r="E133" s="6" t="n">
        <v>8300</v>
      </c>
      <c r="F133" s="7" t="n"/>
      <c r="G133" s="8">
        <f>IF(AND(D133="",E133=""),F133,G132+IF(D133="",0,D133)-IF(E133="",0,E133))</f>
        <v/>
      </c>
    </row>
    <row r="134">
      <c r="A134" s="3" t="inlineStr">
        <is>
          <t>HSBC HKD Savings Account</t>
        </is>
      </c>
      <c r="B134" s="4" t="n">
        <v>45894</v>
      </c>
      <c r="C134" s="3" t="inlineStr">
        <is>
          <t>CHARGES HC12582401977875 24AUG</t>
        </is>
      </c>
      <c r="D134" s="5" t="n"/>
      <c r="E134" s="6" t="n">
        <v>5</v>
      </c>
      <c r="F134" s="7" t="n"/>
      <c r="G134" s="8">
        <f>IF(AND(D134="",E134=""),F134,G133+IF(D134="",0,D134)-IF(E134="",0,E134))</f>
        <v/>
      </c>
    </row>
    <row r="135">
      <c r="A135" s="3" t="inlineStr">
        <is>
          <t>HSBC HKD Savings Account</t>
        </is>
      </c>
      <c r="B135" s="4" t="n">
        <v>45894</v>
      </c>
      <c r="C135" s="3" t="inlineStr">
        <is>
          <t>SINCERITY TRANSPORTA HC12582401977875 24AUG</t>
        </is>
      </c>
      <c r="D135" s="5" t="n"/>
      <c r="E135" s="6" t="n">
        <v>4500</v>
      </c>
      <c r="F135" s="7" t="n">
        <v>49320.86</v>
      </c>
      <c r="G135" s="8">
        <f>IF(AND(D135="",E135=""),F135,G134+IF(D135="",0,D135)-IF(E135="",0,E135))</f>
        <v/>
      </c>
    </row>
    <row r="136">
      <c r="A136" s="3" t="inlineStr">
        <is>
          <t>HSBC HKD Savings Account</t>
        </is>
      </c>
      <c r="B136" s="4" t="n">
        <v>45896</v>
      </c>
      <c r="C136" s="3" t="inlineStr">
        <is>
          <t>LING MAN YEE EDMUND HC12582608006685 26AUG</t>
        </is>
      </c>
      <c r="D136" s="5" t="n">
        <v>7700</v>
      </c>
      <c r="E136" s="6" t="n"/>
      <c r="F136" s="7" t="n">
        <v>57020.86</v>
      </c>
      <c r="G136" s="8">
        <f>IF(AND(D136="",E136=""),F136,G135+IF(D136="",0,D136)-IF(E136="",0,E136))</f>
        <v/>
      </c>
    </row>
    <row r="137">
      <c r="A137" s="3" t="inlineStr">
        <is>
          <t>HSBC HKD Savings Account</t>
        </is>
      </c>
      <c r="B137" s="4" t="n">
        <v>45897</v>
      </c>
      <c r="C137" s="3" t="inlineStr">
        <is>
          <t>CREDIT INTEREST</t>
        </is>
      </c>
      <c r="D137" s="5" t="n">
        <v>15.38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HSBC HKD Savings Account</t>
        </is>
      </c>
      <c r="B138" s="4" t="n">
        <v>45897</v>
      </c>
      <c r="C138" s="3" t="inlineStr">
        <is>
          <t>WONG SIU WAI HC12582812763648 28AUG</t>
        </is>
      </c>
      <c r="D138" s="5" t="n">
        <v>1500</v>
      </c>
      <c r="E138" s="6" t="n"/>
      <c r="F138" s="7" t="n">
        <v>58536.24</v>
      </c>
      <c r="G138" s="8">
        <f>IF(AND(D138="",E138=""),F138,G137+IF(D138="",0,D138)-IF(E138="",0,E138))</f>
        <v/>
      </c>
    </row>
    <row r="139">
      <c r="A139" s="3" t="inlineStr">
        <is>
          <t>HSBC HKD Savings Account</t>
        </is>
      </c>
      <c r="B139" s="4" t="n">
        <v>45901</v>
      </c>
      <c r="C139" s="3" t="inlineStr">
        <is>
          <t>KWOK CHING LAP HC12583123137472 31AUG</t>
        </is>
      </c>
      <c r="D139" s="5" t="n">
        <v>2000</v>
      </c>
      <c r="E139" s="6" t="n"/>
      <c r="F139" s="7" t="n">
        <v>60536.24</v>
      </c>
      <c r="G139" s="8">
        <f>IF(AND(D139="",E139=""),F139,G138+IF(D139="",0,D139)-IF(E139="",0,E139))</f>
        <v/>
      </c>
    </row>
    <row r="140">
      <c r="A140" s="3" t="inlineStr">
        <is>
          <t>HSBC HKD Savings Account</t>
        </is>
      </c>
      <c r="B140" s="4" t="n">
        <v>45902</v>
      </c>
      <c r="C140" s="3" t="inlineStr">
        <is>
          <t>YEUNG LEONG SING HC12590127547542 01SEP</t>
        </is>
      </c>
      <c r="D140" s="5" t="n">
        <v>1200</v>
      </c>
      <c r="E140" s="6" t="n"/>
      <c r="F140" s="7" t="n">
        <v>61736.24</v>
      </c>
      <c r="G140" s="8">
        <f>IF(AND(D140="",E140=""),F140,G139+IF(D140="",0,D140)-IF(E140="",0,E140))</f>
        <v/>
      </c>
    </row>
    <row r="141">
      <c r="A141" s="3" t="inlineStr">
        <is>
          <t>HSBC HKD Savings Account</t>
        </is>
      </c>
      <c r="B141" s="4" t="n">
        <v>45903</v>
      </c>
      <c r="C141" s="3" t="inlineStr">
        <is>
          <t>MR CHAU CHUN KIN HC12590230988375 02SEP</t>
        </is>
      </c>
      <c r="D141" s="5" t="n">
        <v>4800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HSBC HKD Savings Account</t>
        </is>
      </c>
      <c r="B142" s="4" t="n">
        <v>45903</v>
      </c>
      <c r="C142" s="3" t="inlineStr">
        <is>
          <t>CHARGES HC12590231049891 02SEP</t>
        </is>
      </c>
      <c r="D142" s="5" t="n"/>
      <c r="E142" s="6" t="n">
        <v>5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HSBC HKD Savings Account</t>
        </is>
      </c>
      <c r="B143" s="4" t="n">
        <v>45903</v>
      </c>
      <c r="C143" s="3" t="inlineStr">
        <is>
          <t>WONG C**** M** HC12590231049891 02SEP</t>
        </is>
      </c>
      <c r="D143" s="5" t="n"/>
      <c r="E143" s="6" t="n">
        <v>5500</v>
      </c>
      <c r="F143" s="7" t="n">
        <v>61031.24</v>
      </c>
      <c r="G143" s="8">
        <f>IF(AND(D143="",E143=""),F143,G142+IF(D143="",0,D143)-IF(E143="",0,E143))</f>
        <v/>
      </c>
    </row>
    <row r="144">
      <c r="A144" s="3" t="inlineStr">
        <is>
          <t>HSBC HKD Savings Account</t>
        </is>
      </c>
      <c r="B144" s="4" t="n">
        <v>45904</v>
      </c>
      <c r="C144" s="3" t="inlineStr">
        <is>
          <t>MONTHLY SERVICE FEE</t>
        </is>
      </c>
      <c r="D144" s="5" t="n"/>
      <c r="E144" s="6" t="n">
        <v>200</v>
      </c>
      <c r="F144" s="7" t="n">
        <v>60831.24</v>
      </c>
      <c r="G144" s="8">
        <f>IF(AND(D144="",E144=""),F144,G143+IF(D144="",0,D144)-IF(E144="",0,E144))</f>
        <v/>
      </c>
    </row>
    <row r="145">
      <c r="A145" s="3" t="inlineStr">
        <is>
          <t>HSBC HKD Savings Account</t>
        </is>
      </c>
      <c r="B145" s="4" t="n">
        <v>45905</v>
      </c>
      <c r="C145" s="3" t="inlineStr">
        <is>
          <t>MING CHRISTOPHER Y H N90518282050(05SEP25)</t>
        </is>
      </c>
      <c r="D145" s="5" t="n">
        <v>6480</v>
      </c>
      <c r="E145" s="6" t="n"/>
      <c r="F145" s="7" t="n">
        <v>67311.24000000001</v>
      </c>
      <c r="G145" s="8">
        <f>IF(AND(D145="",E145=""),F145,G144+IF(D145="",0,D145)-IF(E145="",0,E145))</f>
        <v/>
      </c>
    </row>
    <row r="146">
      <c r="A146" s="3" t="inlineStr">
        <is>
          <t>HSBC HKD Savings Account</t>
        </is>
      </c>
      <c r="B146" s="4" t="n">
        <v>45906</v>
      </c>
      <c r="C146" s="3" t="inlineStr">
        <is>
          <t>LI MAN WA HC12590641524130 06SEP</t>
        </is>
      </c>
      <c r="D146" s="5" t="n">
        <v>500</v>
      </c>
      <c r="E146" s="6" t="n"/>
      <c r="F146" s="7" t="n">
        <v>67811.24000000001</v>
      </c>
      <c r="G146" s="8">
        <f>IF(AND(D146="",E146=""),F146,G145+IF(D146="",0,D146)-IF(E146="",0,E146))</f>
        <v/>
      </c>
    </row>
    <row r="147">
      <c r="A147" s="3" t="inlineStr">
        <is>
          <t>HSBC HKD Savings Account</t>
        </is>
      </c>
      <c r="B147" s="4" t="n">
        <v>45908</v>
      </c>
      <c r="C147" s="3" t="inlineStr">
        <is>
          <t>SIU KIN PONG HC12590745425126 07SEP</t>
        </is>
      </c>
      <c r="D147" s="5" t="n">
        <v>4000</v>
      </c>
      <c r="E147" s="6" t="n"/>
      <c r="F147" s="7" t="n">
        <v>71811.24000000001</v>
      </c>
      <c r="G147" s="8">
        <f>IF(AND(D147="",E147=""),F147,G146+IF(D147="",0,D147)-IF(E147="",0,E147))</f>
        <v/>
      </c>
    </row>
    <row r="148">
      <c r="A148" s="3" t="inlineStr">
        <is>
          <t>HSBC HKD Savings Account</t>
        </is>
      </c>
      <c r="B148" s="4" t="n">
        <v>45909</v>
      </c>
      <c r="C148" s="3" t="inlineStr">
        <is>
          <t>CR TO 178-329538-833 N90930652561(09SEP25)</t>
        </is>
      </c>
      <c r="D148" s="5" t="n"/>
      <c r="E148" s="6" t="n">
        <v>8924</v>
      </c>
      <c r="F148" s="7" t="n">
        <v>62887.24</v>
      </c>
      <c r="G148" s="8">
        <f>IF(AND(D148="",E148=""),F148,G147+IF(D148="",0,D148)-IF(E148="",0,E148))</f>
        <v/>
      </c>
    </row>
    <row r="149">
      <c r="A149" s="3" t="inlineStr">
        <is>
          <t>HSBC HKD Savings Account</t>
        </is>
      </c>
      <c r="B149" s="4" t="n">
        <v>45910</v>
      </c>
      <c r="C149" s="3" t="inlineStr">
        <is>
          <t>DAIKIN AIRCONDITIONI HC12591053004742 10SEP</t>
        </is>
      </c>
      <c r="D149" s="5" t="n">
        <v>124820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HSBC HKD Savings Account</t>
        </is>
      </c>
      <c r="B150" s="4" t="n">
        <v>45910</v>
      </c>
      <c r="C150" s="3" t="inlineStr">
        <is>
          <t>MR LEE MING HO HC12591054547150 10SEP</t>
        </is>
      </c>
      <c r="D150" s="5" t="n">
        <v>700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HSBC HKD Savings Account</t>
        </is>
      </c>
      <c r="B151" s="4" t="n">
        <v>45910</v>
      </c>
      <c r="C151" s="3" t="inlineStr">
        <is>
          <t>CR TO 509-1-022722 N91036814882(10SEP25)</t>
        </is>
      </c>
      <c r="D151" s="5" t="n"/>
      <c r="E151" s="6" t="n">
        <v>20000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HSBC HKD Savings Account</t>
        </is>
      </c>
      <c r="B152" s="4" t="n">
        <v>45910</v>
      </c>
      <c r="C152" s="3" t="inlineStr">
        <is>
          <t>CR TO 058-637554-833 N91036817170(10SEP25)</t>
        </is>
      </c>
      <c r="D152" s="5" t="n"/>
      <c r="E152" s="6" t="n">
        <v>19300</v>
      </c>
      <c r="F152" s="7" t="n">
        <v>149107.24</v>
      </c>
      <c r="G152" s="8">
        <f>IF(AND(D152="",E152=""),F152,G151+IF(D152="",0,D152)-IF(E152="",0,E152))</f>
        <v/>
      </c>
    </row>
    <row r="153">
      <c r="A153" s="3" t="inlineStr">
        <is>
          <t>HSBC HKD Savings Account</t>
        </is>
      </c>
      <c r="B153" s="4" t="n">
        <v>45911</v>
      </c>
      <c r="C153" s="3" t="inlineStr">
        <is>
          <t>REF:58B4 0098 CHEQUE DEPOSIT MACHINE (11SEP25)</t>
        </is>
      </c>
      <c r="D153" s="5" t="n">
        <v>21740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HSBC HKD Savings Account</t>
        </is>
      </c>
      <c r="B154" s="4" t="n">
        <v>45911</v>
      </c>
      <c r="C154" s="3" t="inlineStr">
        <is>
          <t>CHARGES HC12591157809482 11SEP</t>
        </is>
      </c>
      <c r="D154" s="5" t="n"/>
      <c r="E154" s="6" t="n">
        <v>5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HSBC HKD Savings Account</t>
        </is>
      </c>
      <c r="B155" s="4" t="n">
        <v>45911</v>
      </c>
      <c r="C155" s="3" t="inlineStr">
        <is>
          <t>PANG T** C**** HC12591157809482 11SEP</t>
        </is>
      </c>
      <c r="D155" s="5" t="n"/>
      <c r="E155" s="6" t="n">
        <v>20000</v>
      </c>
      <c r="F155" s="7" t="n"/>
      <c r="G155" s="8">
        <f>IF(AND(D155="",E155=""),F155,G154+IF(D155="",0,D155)-IF(E155="",0,E155))</f>
        <v/>
      </c>
    </row>
    <row r="156">
      <c r="A156" s="3" t="inlineStr">
        <is>
          <t>HSBC HKD Savings Account</t>
        </is>
      </c>
      <c r="B156" s="4" t="n">
        <v>45911</v>
      </c>
      <c r="C156" s="3" t="inlineStr">
        <is>
          <t>CR TO 015-495500-292 N91037172939(10SEP25)</t>
        </is>
      </c>
      <c r="D156" s="5" t="n"/>
      <c r="E156" s="6" t="n">
        <v>20000</v>
      </c>
      <c r="F156" s="7" t="n">
        <v>130842.24</v>
      </c>
      <c r="G156" s="8">
        <f>IF(AND(D156="",E156=""),F156,G155+IF(D156="",0,D156)-IF(E156="",0,E156))</f>
        <v/>
      </c>
    </row>
    <row r="157">
      <c r="A157" s="3" t="inlineStr">
        <is>
          <t>HSBC HKD Savings Account</t>
        </is>
      </c>
      <c r="B157" s="4" t="n">
        <v>45912</v>
      </c>
      <c r="C157" s="3" t="inlineStr">
        <is>
          <t>ATM WITHDRAWAL (12SEP25)</t>
        </is>
      </c>
      <c r="D157" s="5" t="n"/>
      <c r="E157" s="6" t="n">
        <v>20000</v>
      </c>
      <c r="F157" s="7" t="n"/>
      <c r="G157" s="8">
        <f>IF(AND(D157="",E157=""),F157,G156+IF(D157="",0,D157)-IF(E157="",0,E157))</f>
        <v/>
      </c>
    </row>
    <row r="158">
      <c r="A158" s="3" t="inlineStr">
        <is>
          <t>HSBC HKD Savings Account</t>
        </is>
      </c>
      <c r="B158" s="4" t="n">
        <v>45912</v>
      </c>
      <c r="C158" s="3" t="inlineStr">
        <is>
          <t>ATM WITHDRAWAL (12SEP25)</t>
        </is>
      </c>
      <c r="D158" s="5" t="n"/>
      <c r="E158" s="6" t="n">
        <v>20000</v>
      </c>
      <c r="F158" s="7" t="n"/>
      <c r="G158" s="8">
        <f>IF(AND(D158="",E158=""),F158,G157+IF(D158="",0,D158)-IF(E158="",0,E158))</f>
        <v/>
      </c>
    </row>
    <row r="159">
      <c r="A159" s="3" t="inlineStr">
        <is>
          <t>HSBC HKD Savings Account</t>
        </is>
      </c>
      <c r="B159" s="4" t="n">
        <v>45912</v>
      </c>
      <c r="C159" s="3" t="inlineStr">
        <is>
          <t>ATM WITHDRAWAL (12SEP25)</t>
        </is>
      </c>
      <c r="D159" s="5" t="n"/>
      <c r="E159" s="6" t="n">
        <v>10000</v>
      </c>
      <c r="F159" s="7" t="n">
        <v>80842.24000000001</v>
      </c>
      <c r="G159" s="8">
        <f>IF(AND(D159="",E159=""),F159,G158+IF(D159="",0,D159)-IF(E159="",0,E159))</f>
        <v/>
      </c>
    </row>
    <row r="160">
      <c r="A160" s="3" t="inlineStr">
        <is>
          <t>HSBC HKD Savings Account</t>
        </is>
      </c>
      <c r="B160" s="4" t="n">
        <v>45915</v>
      </c>
      <c r="C160" s="3" t="inlineStr">
        <is>
          <t>PRINCIPAL TR CO(ASIA SD259529 15SEP</t>
        </is>
      </c>
      <c r="D160" s="5" t="n"/>
      <c r="E160" s="6" t="n">
        <v>710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HSBC HKD Savings Account</t>
        </is>
      </c>
      <c r="B161" s="4" t="n">
        <v>45915</v>
      </c>
      <c r="C161" s="3" t="inlineStr">
        <is>
          <t>IP SIN KAI SAMSON HC12591464324880 14SEP</t>
        </is>
      </c>
      <c r="D161" s="5" t="n">
        <v>1600</v>
      </c>
      <c r="E161" s="6" t="n"/>
      <c r="F161" s="7" t="n">
        <v>81732.24000000001</v>
      </c>
      <c r="G161" s="8">
        <f>IF(AND(D161="",E161=""),F161,G160+IF(D161="",0,D161)-IF(E161="",0,E161))</f>
        <v/>
      </c>
    </row>
    <row r="162">
      <c r="A162" s="3" t="inlineStr">
        <is>
          <t>HSBC HKD Savings Account</t>
        </is>
      </c>
      <c r="B162" s="4" t="n">
        <v>45916</v>
      </c>
      <c r="C162" s="3" t="inlineStr">
        <is>
          <t>CHARGES HC12591669420075 16SEP</t>
        </is>
      </c>
      <c r="D162" s="5" t="n"/>
      <c r="E162" s="6" t="n">
        <v>5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HSBC HKD Savings Account</t>
        </is>
      </c>
      <c r="B163" s="4" t="n">
        <v>45916</v>
      </c>
      <c r="C163" s="3" t="inlineStr">
        <is>
          <t>MIS INTERNATIONAL CO HC12591669420075 16SEP</t>
        </is>
      </c>
      <c r="D163" s="5" t="n"/>
      <c r="E163" s="6" t="n">
        <v>3000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HSBC HKD Savings Account</t>
        </is>
      </c>
      <c r="B164" s="4" t="n">
        <v>45916</v>
      </c>
      <c r="C164" s="3" t="inlineStr">
        <is>
          <t>PETINUM GROUP LIMITE HC12591670521162 16SEP</t>
        </is>
      </c>
      <c r="D164" s="5" t="n">
        <v>8600</v>
      </c>
      <c r="E164" s="6" t="n"/>
      <c r="F164" s="7" t="n">
        <v>87327.24000000001</v>
      </c>
      <c r="G164" s="8">
        <f>IF(AND(D164="",E164=""),F164,G163+IF(D164="",0,D164)-IF(E164="",0,E164))</f>
        <v/>
      </c>
    </row>
    <row r="165">
      <c r="A165" s="3" t="inlineStr">
        <is>
          <t>HSBC HKD Savings Account</t>
        </is>
      </c>
      <c r="B165" s="4" t="n">
        <v>45917</v>
      </c>
      <c r="C165" s="3" t="inlineStr">
        <is>
          <t>MR QIU YINGMING HC12591774517422 17SEP</t>
        </is>
      </c>
      <c r="D165" s="5" t="n">
        <v>2000</v>
      </c>
      <c r="E165" s="6" t="n"/>
      <c r="F165" s="7" t="n">
        <v>89327.24000000001</v>
      </c>
      <c r="G165" s="8">
        <f>IF(AND(D165="",E165=""),F165,G164+IF(D165="",0,D165)-IF(E165="",0,E165))</f>
        <v/>
      </c>
    </row>
    <row r="166">
      <c r="A166" s="3" t="inlineStr">
        <is>
          <t>HSBC HKD Savings Account</t>
        </is>
      </c>
      <c r="B166" s="4" t="n">
        <v>45922</v>
      </c>
      <c r="C166" s="3" t="inlineStr">
        <is>
          <t>MISS NG WAI KWAN CHA HC12592184844405 21SEP</t>
        </is>
      </c>
      <c r="D166" s="5" t="n">
        <v>2100</v>
      </c>
      <c r="E166" s="6" t="n"/>
      <c r="F166" s="7" t="n">
        <v>91427.24000000001</v>
      </c>
      <c r="G166" s="8">
        <f>IF(AND(D166="",E166=""),F166,G165+IF(D166="",0,D166)-IF(E166="",0,E166))</f>
        <v/>
      </c>
    </row>
    <row r="167">
      <c r="A167" s="3" t="inlineStr">
        <is>
          <t>HSBC HKD Savings Account</t>
        </is>
      </c>
      <c r="B167" s="4" t="n">
        <v>45923</v>
      </c>
      <c r="C167" s="3" t="inlineStr">
        <is>
          <t>MR YEUNG LEONG SING HC12592390207173 23SEP</t>
        </is>
      </c>
      <c r="D167" s="5" t="n">
        <v>6880</v>
      </c>
      <c r="E167" s="6" t="n"/>
      <c r="F167" s="7" t="n">
        <v>98307.24000000001</v>
      </c>
      <c r="G167" s="8">
        <f>IF(AND(D167="",E167=""),F167,G166+IF(D167="",0,D167)-IF(E167="",0,E167))</f>
        <v/>
      </c>
    </row>
    <row r="168">
      <c r="A168" s="3" t="inlineStr">
        <is>
          <t>HSBC HKD Savings Account</t>
        </is>
      </c>
      <c r="B168" s="4" t="n">
        <v>45925</v>
      </c>
      <c r="C168" s="3" t="inlineStr">
        <is>
          <t>CHARGES HC12592594556439 25SEP</t>
        </is>
      </c>
      <c r="D168" s="5" t="n"/>
      <c r="E168" s="6" t="n">
        <v>5</v>
      </c>
      <c r="F168" s="7" t="n"/>
      <c r="G168" s="8">
        <f>IF(AND(D168="",E168=""),F168,G167+IF(D168="",0,D168)-IF(E168="",0,E168))</f>
        <v/>
      </c>
    </row>
    <row r="169">
      <c r="A169" s="3" t="inlineStr">
        <is>
          <t>HSBC HKD Savings Account</t>
        </is>
      </c>
      <c r="B169" s="4" t="n">
        <v>45925</v>
      </c>
      <c r="C169" s="3" t="inlineStr">
        <is>
          <t>SO K* F** HC12592594556439 25SEP</t>
        </is>
      </c>
      <c r="D169" s="5" t="n"/>
      <c r="E169" s="6" t="n">
        <v>7920</v>
      </c>
      <c r="F169" s="7" t="n">
        <v>90382.24000000001</v>
      </c>
      <c r="G169" s="8">
        <f>IF(AND(D169="",E169=""),F169,G168+IF(D169="",0,D169)-IF(E169="",0,E169))</f>
        <v/>
      </c>
    </row>
    <row r="170">
      <c r="A170" s="3" t="inlineStr">
        <is>
          <t>HSBC HKD Savings Account</t>
        </is>
      </c>
      <c r="B170" s="4" t="n">
        <v>45927</v>
      </c>
      <c r="C170" s="3" t="inlineStr">
        <is>
          <t>CREDIT INTEREST</t>
        </is>
      </c>
      <c r="D170" s="5" t="n">
        <v>14</v>
      </c>
      <c r="E170" s="6" t="n"/>
      <c r="F170" s="7" t="n">
        <v>90396.24000000001</v>
      </c>
      <c r="G170" s="8">
        <f>IF(AND(D170="",E170=""),F170,G169+IF(D170="",0,D170)-IF(E170="",0,E170))</f>
        <v/>
      </c>
    </row>
    <row r="171">
      <c r="A171" s="3" t="inlineStr">
        <is>
          <t>HSBC HKD Savings Account</t>
        </is>
      </c>
      <c r="B171" s="4" t="n">
        <v>45929</v>
      </c>
      <c r="C171" s="3" t="inlineStr">
        <is>
          <t>ATM WITHDRAWAL (27SEP25)</t>
        </is>
      </c>
      <c r="D171" s="5" t="n"/>
      <c r="E171" s="6" t="n">
        <v>10000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HSBC HKD Savings Account</t>
        </is>
      </c>
      <c r="B172" s="4" t="n">
        <v>45929</v>
      </c>
      <c r="C172" s="3" t="inlineStr">
        <is>
          <t>ATM WITHDRAWAL (27SEP25)</t>
        </is>
      </c>
      <c r="D172" s="5" t="n"/>
      <c r="E172" s="6" t="n">
        <v>10000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HSBC HKD Savings Account</t>
        </is>
      </c>
      <c r="B173" s="4" t="n">
        <v>45929</v>
      </c>
      <c r="C173" s="3" t="inlineStr">
        <is>
          <t>ATM WITHDRAWAL (27SEP25)</t>
        </is>
      </c>
      <c r="D173" s="5" t="n"/>
      <c r="E173" s="6" t="n">
        <v>10000</v>
      </c>
      <c r="F173" s="7" t="n">
        <v>60396.24</v>
      </c>
      <c r="G173" s="8">
        <f>IF(AND(D173="",E173=""),F173,G172+IF(D173="",0,D173)-IF(E173="",0,E173))</f>
        <v/>
      </c>
    </row>
    <row r="174">
      <c r="A174" s="3" t="inlineStr">
        <is>
          <t>HSBC HKD Savings Account</t>
        </is>
      </c>
      <c r="B174" s="4" t="n">
        <v>45932</v>
      </c>
      <c r="C174" s="3" t="inlineStr">
        <is>
          <t>KWOK CHING LAP HC12593011609726 30SEP</t>
        </is>
      </c>
      <c r="D174" s="5" t="n">
        <v>2000</v>
      </c>
      <c r="E174" s="6" t="n"/>
      <c r="F174" s="7" t="n">
        <v>62396.24</v>
      </c>
      <c r="G174" s="8">
        <f>IF(AND(D174="",E174=""),F174,G173+IF(D174="",0,D174)-IF(E174="",0,E174))</f>
        <v/>
      </c>
    </row>
    <row r="175">
      <c r="A175" s="3" t="inlineStr">
        <is>
          <t>HSBC HKD Savings Account</t>
        </is>
      </c>
      <c r="B175" s="4" t="n">
        <v>45933</v>
      </c>
      <c r="C175" s="3" t="inlineStr">
        <is>
          <t>MING CHRISTOPHER Y H NA0318521588(03OCT25)</t>
        </is>
      </c>
      <c r="D175" s="5" t="n">
        <v>14000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HSBC HKD Savings Account</t>
        </is>
      </c>
      <c r="B176" s="4" t="n">
        <v>45933</v>
      </c>
      <c r="C176" s="3" t="inlineStr">
        <is>
          <t>YUSHENG ENGINEERING HC125A0218886114 02OCT</t>
        </is>
      </c>
      <c r="D176" s="5" t="n">
        <v>3000</v>
      </c>
      <c r="E176" s="6" t="n"/>
      <c r="F176" s="7" t="n">
        <v>79396.24000000001</v>
      </c>
      <c r="G176" s="8">
        <f>IF(AND(D176="",E176=""),F176,G175+IF(D176="",0,D176)-IF(E176="",0,E176))</f>
        <v/>
      </c>
    </row>
    <row r="177">
      <c r="A177" s="3" t="inlineStr">
        <is>
          <t>HSBC HKD Savings Account</t>
        </is>
      </c>
      <c r="B177" s="4" t="n">
        <v>45934</v>
      </c>
      <c r="C177" s="3" t="inlineStr">
        <is>
          <t>CR TO 521-101550-001 NA0319335608(03OCT25)</t>
        </is>
      </c>
      <c r="D177" s="5" t="n"/>
      <c r="E177" s="6" t="n">
        <v>30</v>
      </c>
      <c r="F177" s="7" t="n">
        <v>79366.24000000001</v>
      </c>
      <c r="G177" s="8">
        <f>IF(AND(D177="",E177=""),F177,G176+IF(D177="",0,D177)-IF(E177="",0,E177))</f>
        <v/>
      </c>
    </row>
    <row r="178">
      <c r="A178" s="3" t="inlineStr">
        <is>
          <t>HSBC HKD Savings Account</t>
        </is>
      </c>
      <c r="B178" s="4" t="n">
        <v>45936</v>
      </c>
      <c r="C178" s="3" t="inlineStr">
        <is>
          <t>KWOK CHING LAP HC125A0528167706 05OCT</t>
        </is>
      </c>
      <c r="D178" s="5" t="n">
        <v>700</v>
      </c>
      <c r="E178" s="6" t="n"/>
      <c r="F178" s="7" t="n">
        <v>80066.24000000001</v>
      </c>
      <c r="G178" s="8">
        <f>IF(AND(D178="",E178=""),F178,G177+IF(D178="",0,D178)-IF(E178="",0,E178))</f>
        <v/>
      </c>
    </row>
    <row r="179">
      <c r="A179" s="3" t="inlineStr">
        <is>
          <t>HSBC HKD Savings Account</t>
        </is>
      </c>
      <c r="B179" s="4" t="n">
        <v>45938</v>
      </c>
      <c r="C179" s="3" t="inlineStr">
        <is>
          <t>ATM WITHDRAWAL (07OCT25)</t>
        </is>
      </c>
      <c r="D179" s="5" t="n"/>
      <c r="E179" s="6" t="n">
        <v>10000</v>
      </c>
      <c r="F179" s="7" t="n">
        <v>70066.24000000001</v>
      </c>
      <c r="G179" s="8">
        <f>IF(AND(D179="",E179=""),F179,G178+IF(D179="",0,D179)-IF(E179="",0,E179))</f>
        <v/>
      </c>
    </row>
    <row r="180">
      <c r="A180" s="3" t="inlineStr">
        <is>
          <t>HSBC HKD Savings Account</t>
        </is>
      </c>
      <c r="B180" s="4" t="n">
        <v>45940</v>
      </c>
      <c r="C180" s="3" t="inlineStr">
        <is>
          <t>DAIKIN AIRCONDITIONI HC125A1042336203 10OCT</t>
        </is>
      </c>
      <c r="D180" s="5" t="n">
        <v>163240</v>
      </c>
      <c r="E180" s="6" t="n"/>
      <c r="F180" s="7" t="n">
        <v>233306.24</v>
      </c>
      <c r="G180" s="8">
        <f>IF(AND(D180="",E180=""),F180,G179+IF(D180="",0,D180)-IF(E180="",0,E180))</f>
        <v/>
      </c>
    </row>
    <row r="181">
      <c r="A181" s="3" t="inlineStr">
        <is>
          <t>HSBC HKD Savings Account</t>
        </is>
      </c>
      <c r="B181" s="4" t="n">
        <v>45941</v>
      </c>
      <c r="C181" s="3" t="inlineStr">
        <is>
          <t>CR TO 058-637554-833 NA1148319853(11OCT25)</t>
        </is>
      </c>
      <c r="D181" s="5" t="n"/>
      <c r="E181" s="6" t="n">
        <v>19300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HSBC HKD Savings Account</t>
        </is>
      </c>
      <c r="B182" s="4" t="n">
        <v>45941</v>
      </c>
      <c r="C182" s="3" t="inlineStr">
        <is>
          <t>CR TO 509-1-022722 NA1148321387(11OCT25)</t>
        </is>
      </c>
      <c r="D182" s="5" t="n"/>
      <c r="E182" s="6" t="n">
        <v>20000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HSBC HKD Savings Account</t>
        </is>
      </c>
      <c r="B183" s="4" t="n">
        <v>45941</v>
      </c>
      <c r="C183" s="3" t="inlineStr">
        <is>
          <t>CR TO 015-495500-292 NA1148323845(11OCT25)</t>
        </is>
      </c>
      <c r="D183" s="5" t="n"/>
      <c r="E183" s="6" t="n">
        <v>20000</v>
      </c>
      <c r="F183" s="7" t="n">
        <v>174006.24</v>
      </c>
      <c r="G183" s="8">
        <f>IF(AND(D183="",E183=""),F183,G182+IF(D183="",0,D183)-IF(E183="",0,E183))</f>
        <v/>
      </c>
    </row>
    <row r="184">
      <c r="A184" s="3" t="inlineStr">
        <is>
          <t>HSBC HKD Savings Account</t>
        </is>
      </c>
      <c r="B184" s="4" t="n">
        <v>45943</v>
      </c>
      <c r="C184" s="3" t="inlineStr">
        <is>
          <t>ATM BILPYT (12OCT25) TRAFFIC TICKETS</t>
        </is>
      </c>
      <c r="D184" s="5" t="n"/>
      <c r="E184" s="6" t="n">
        <v>320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HSBC HKD Savings Account</t>
        </is>
      </c>
      <c r="B185" s="4" t="n">
        <v>45943</v>
      </c>
      <c r="C185" s="3" t="inlineStr">
        <is>
          <t>ATM WITHDRAWAL (12OCT25)</t>
        </is>
      </c>
      <c r="D185" s="5" t="n"/>
      <c r="E185" s="6" t="n">
        <v>20000</v>
      </c>
      <c r="F185" s="7" t="n"/>
      <c r="G185" s="8">
        <f>IF(AND(D185="",E185=""),F185,G184+IF(D185="",0,D185)-IF(E185="",0,E185))</f>
        <v/>
      </c>
    </row>
    <row r="186">
      <c r="A186" s="3" t="inlineStr">
        <is>
          <t>HSBC HKD Savings Account</t>
        </is>
      </c>
      <c r="B186" s="4" t="n">
        <v>45943</v>
      </c>
      <c r="C186" s="3" t="inlineStr">
        <is>
          <t>ATM WITHDRAWAL (12OCT25)</t>
        </is>
      </c>
      <c r="D186" s="5" t="n"/>
      <c r="E186" s="6" t="n">
        <v>20000</v>
      </c>
      <c r="F186" s="7" t="n"/>
      <c r="G186" s="8">
        <f>IF(AND(D186="",E186=""),F186,G185+IF(D186="",0,D186)-IF(E186="",0,E186))</f>
        <v/>
      </c>
    </row>
    <row r="187">
      <c r="A187" s="3" t="inlineStr">
        <is>
          <t>HSBC HKD Savings Account</t>
        </is>
      </c>
      <c r="B187" s="4" t="n">
        <v>45943</v>
      </c>
      <c r="C187" s="3" t="inlineStr">
        <is>
          <t>ATM WITHDRAWAL (12OCT25)</t>
        </is>
      </c>
      <c r="D187" s="5" t="n"/>
      <c r="E187" s="6" t="n">
        <v>10000</v>
      </c>
      <c r="F187" s="7" t="n"/>
      <c r="G187" s="8">
        <f>IF(AND(D187="",E187=""),F187,G186+IF(D187="",0,D187)-IF(E187="",0,E187))</f>
        <v/>
      </c>
    </row>
    <row r="188">
      <c r="A188" s="3" t="inlineStr">
        <is>
          <t>HSBC HKD Savings Account</t>
        </is>
      </c>
      <c r="B188" s="4" t="n">
        <v>45943</v>
      </c>
      <c r="C188" s="3" t="inlineStr">
        <is>
          <t>ATM BILPYT (12OCT25) TRAFFIC TICKETS</t>
        </is>
      </c>
      <c r="D188" s="5" t="n"/>
      <c r="E188" s="6" t="n">
        <v>320</v>
      </c>
      <c r="F188" s="7" t="n"/>
      <c r="G188" s="8">
        <f>IF(AND(D188="",E188=""),F188,G187+IF(D188="",0,D188)-IF(E188="",0,E188))</f>
        <v/>
      </c>
    </row>
    <row r="189">
      <c r="A189" s="3" t="inlineStr">
        <is>
          <t>HSBC HKD Savings Account</t>
        </is>
      </c>
      <c r="B189" s="4" t="n">
        <v>45943</v>
      </c>
      <c r="C189" s="3" t="inlineStr">
        <is>
          <t>CHARGES HC125A1249424640 12OCT</t>
        </is>
      </c>
      <c r="D189" s="5" t="n"/>
      <c r="E189" s="6" t="n">
        <v>5</v>
      </c>
      <c r="F189" s="7" t="n">
        <v>123361.24</v>
      </c>
      <c r="G189" s="8">
        <f>IF(AND(D189="",E189=""),F189,G188+IF(D189="",0,D189)-IF(E189="",0,E189))</f>
        <v/>
      </c>
    </row>
    <row r="190">
      <c r="A190" s="3" t="inlineStr">
        <is>
          <t>HSBC HKD Savings Account</t>
        </is>
      </c>
      <c r="B190" s="4" t="n">
        <v>45944</v>
      </c>
      <c r="C190" s="3" t="inlineStr">
        <is>
          <t>PRINCIPAL TR CO(ASIA SD259529 14OCT</t>
        </is>
      </c>
      <c r="D190" s="5" t="n"/>
      <c r="E190" s="6" t="n">
        <v>710</v>
      </c>
      <c r="F190" s="7" t="n"/>
      <c r="G190" s="8">
        <f>IF(AND(D190="",E190=""),F190,G189+IF(D190="",0,D190)-IF(E190="",0,E190))</f>
        <v/>
      </c>
    </row>
    <row r="191">
      <c r="A191" s="3" t="inlineStr">
        <is>
          <t>HSBC HKD Savings Account</t>
        </is>
      </c>
      <c r="B191" s="4" t="n">
        <v>45944</v>
      </c>
      <c r="C191" s="3" t="inlineStr">
        <is>
          <t>CHENG MAN WING HC125A1454946482 14OCT</t>
        </is>
      </c>
      <c r="D191" s="5" t="n">
        <v>2400</v>
      </c>
      <c r="E191" s="6" t="n"/>
      <c r="F191" s="7" t="n">
        <v>125051.24</v>
      </c>
      <c r="G191" s="8">
        <f>IF(AND(D191="",E191=""),F191,G190+IF(D191="",0,D191)-IF(E191="",0,E191))</f>
        <v/>
      </c>
    </row>
    <row r="192">
      <c r="A192" s="3" t="inlineStr">
        <is>
          <t>HSBC HKD Savings Account</t>
        </is>
      </c>
      <c r="B192" s="4" t="n">
        <v>45945</v>
      </c>
      <c r="C192" s="3" t="inlineStr">
        <is>
          <t>KWOK C**** L** HC125A1455712098 14OCT</t>
        </is>
      </c>
      <c r="D192" s="5" t="n"/>
      <c r="E192" s="6" t="n">
        <v>10</v>
      </c>
      <c r="F192" s="7" t="n"/>
      <c r="G192" s="8">
        <f>IF(AND(D192="",E192=""),F192,G191+IF(D192="",0,D192)-IF(E192="",0,E192))</f>
        <v/>
      </c>
    </row>
    <row r="193">
      <c r="A193" s="3" t="inlineStr">
        <is>
          <t>HSBC HKD Savings Account</t>
        </is>
      </c>
      <c r="B193" s="4" t="n">
        <v>45945</v>
      </c>
      <c r="C193" s="3" t="inlineStr">
        <is>
          <t>CHARGES HC125A1455712098 14OCT</t>
        </is>
      </c>
      <c r="D193" s="5" t="n"/>
      <c r="E193" s="6" t="n">
        <v>5</v>
      </c>
      <c r="F193" s="7" t="n"/>
      <c r="G193" s="8">
        <f>IF(AND(D193="",E193=""),F193,G192+IF(D193="",0,D193)-IF(E193="",0,E193))</f>
        <v/>
      </c>
    </row>
    <row r="194">
      <c r="A194" s="3" t="inlineStr">
        <is>
          <t>HSBC HKD Savings Account</t>
        </is>
      </c>
      <c r="B194" s="4" t="n">
        <v>45945</v>
      </c>
      <c r="C194" s="3" t="inlineStr">
        <is>
          <t>CHARGES HC125A1455716729 14OCT</t>
        </is>
      </c>
      <c r="D194" s="5" t="n"/>
      <c r="E194" s="6" t="n">
        <v>5</v>
      </c>
      <c r="F194" s="7" t="n"/>
      <c r="G194" s="8">
        <f>IF(AND(D194="",E194=""),F194,G193+IF(D194="",0,D194)-IF(E194="",0,E194))</f>
        <v/>
      </c>
    </row>
    <row r="195">
      <c r="A195" s="3" t="inlineStr">
        <is>
          <t>HSBC HKD Savings Account</t>
        </is>
      </c>
      <c r="B195" s="4" t="n">
        <v>45945</v>
      </c>
      <c r="C195" s="3" t="inlineStr">
        <is>
          <t>KWOK C**** L** HC125A1455716729 14OCT</t>
        </is>
      </c>
      <c r="D195" s="5" t="n"/>
      <c r="E195" s="6" t="n">
        <v>25532</v>
      </c>
      <c r="F195" s="7" t="n">
        <v>99499.24000000001</v>
      </c>
      <c r="G195" s="8">
        <f>IF(AND(D195="",E195=""),F195,G194+IF(D195="",0,D195)-IF(E195="",0,E195))</f>
        <v/>
      </c>
    </row>
    <row r="196">
      <c r="A196" s="3" t="inlineStr">
        <is>
          <t>HSBC HKD Savings Account</t>
        </is>
      </c>
      <c r="B196" s="4" t="n">
        <v>45946</v>
      </c>
      <c r="C196" s="3" t="inlineStr">
        <is>
          <t>LING MAN YEE EDMUND HC125A1659224944 16OCT</t>
        </is>
      </c>
      <c r="D196" s="5" t="n">
        <v>1650</v>
      </c>
      <c r="E196" s="6" t="n"/>
      <c r="F196" s="7" t="n"/>
      <c r="G196" s="8">
        <f>IF(AND(D196="",E196=""),F196,G195+IF(D196="",0,D196)-IF(E196="",0,E196))</f>
        <v/>
      </c>
    </row>
    <row r="197">
      <c r="A197" s="3" t="inlineStr">
        <is>
          <t>HSBC HKD Savings Account</t>
        </is>
      </c>
      <c r="B197" s="4" t="n">
        <v>45946</v>
      </c>
      <c r="C197" s="3" t="inlineStr">
        <is>
          <t>LING MAN YEE EDMUND HC125A1659634352 16OCT</t>
        </is>
      </c>
      <c r="D197" s="5" t="n">
        <v>5782</v>
      </c>
      <c r="E197" s="6" t="n"/>
      <c r="F197" s="7" t="n">
        <v>106931.24</v>
      </c>
      <c r="G197" s="8">
        <f>IF(AND(D197="",E197=""),F197,G196+IF(D197="",0,D197)-IF(E197="",0,E197))</f>
        <v/>
      </c>
    </row>
    <row r="198">
      <c r="A198" s="3" t="inlineStr">
        <is>
          <t>HSBC HKD Savings Account</t>
        </is>
      </c>
      <c r="B198" s="4" t="n">
        <v>45951</v>
      </c>
      <c r="C198" s="3" t="inlineStr">
        <is>
          <t>CHARGES HC125A2072882133 20OCT</t>
        </is>
      </c>
      <c r="D198" s="5" t="n"/>
      <c r="E198" s="6" t="n">
        <v>5</v>
      </c>
      <c r="F198" s="7" t="n"/>
      <c r="G198" s="8">
        <f>IF(AND(D198="",E198=""),F198,G197+IF(D198="",0,D198)-IF(E198="",0,E198))</f>
        <v/>
      </c>
    </row>
    <row r="199">
      <c r="A199" s="3" t="inlineStr">
        <is>
          <t>HSBC HKD Savings Account</t>
        </is>
      </c>
      <c r="B199" s="4" t="n">
        <v>45951</v>
      </c>
      <c r="C199" s="3" t="inlineStr">
        <is>
          <t>CHAU K** Y** HC125A2072882133 20OCT</t>
        </is>
      </c>
      <c r="D199" s="5" t="n"/>
      <c r="E199" s="6" t="n">
        <v>8300</v>
      </c>
      <c r="F199" s="7" t="n">
        <v>98626.24000000001</v>
      </c>
      <c r="G199" s="8">
        <f>IF(AND(D199="",E199=""),F199,G198+IF(D199="",0,D199)-IF(E199="",0,E199))</f>
        <v/>
      </c>
    </row>
    <row r="200">
      <c r="A200" s="3" t="inlineStr">
        <is>
          <t>HSBC HKD Savings Account</t>
        </is>
      </c>
      <c r="B200" s="4" t="n">
        <v>45952</v>
      </c>
      <c r="C200" s="3" t="inlineStr">
        <is>
          <t>MS WONG YIN FAI HC125A2278362477 22OCT</t>
        </is>
      </c>
      <c r="D200" s="5" t="n">
        <v>8150</v>
      </c>
      <c r="E200" s="6" t="n"/>
      <c r="F200" s="7" t="n">
        <v>106776.24</v>
      </c>
      <c r="G200" s="8">
        <f>IF(AND(D200="",E200=""),F200,G199+IF(D200="",0,D200)-IF(E200="",0,E200))</f>
        <v/>
      </c>
    </row>
    <row r="201">
      <c r="A201" s="3" t="inlineStr">
        <is>
          <t>HSBC HKD Savings Account</t>
        </is>
      </c>
      <c r="B201" s="4" t="n">
        <v>45953</v>
      </c>
      <c r="C201" s="3" t="inlineStr">
        <is>
          <t>ATM BILPYT (22OCT25) TRAFFIC TICKETS</t>
        </is>
      </c>
      <c r="D201" s="5" t="n"/>
      <c r="E201" s="6" t="n">
        <v>320</v>
      </c>
      <c r="F201" s="7" t="n"/>
      <c r="G201" s="8">
        <f>IF(AND(D201="",E201=""),F201,G200+IF(D201="",0,D201)-IF(E201="",0,E201))</f>
        <v/>
      </c>
    </row>
    <row r="202">
      <c r="A202" s="3" t="inlineStr">
        <is>
          <t>HSBC HKD Savings Account</t>
        </is>
      </c>
      <c r="B202" s="4" t="n">
        <v>45953</v>
      </c>
      <c r="C202" s="3" t="inlineStr">
        <is>
          <t>ATM BILPYT (22OCT25) TRAFFIC TICKETS</t>
        </is>
      </c>
      <c r="D202" s="5" t="n"/>
      <c r="E202" s="6" t="n">
        <v>320</v>
      </c>
      <c r="F202" s="7" t="n"/>
      <c r="G202" s="8">
        <f>IF(AND(D202="",E202=""),F202,G201+IF(D202="",0,D202)-IF(E202="",0,E202))</f>
        <v/>
      </c>
    </row>
    <row r="203">
      <c r="A203" s="3" t="inlineStr">
        <is>
          <t>HSBC HKD Savings Account</t>
        </is>
      </c>
      <c r="B203" s="4" t="n">
        <v>45953</v>
      </c>
      <c r="C203" s="3" t="inlineStr">
        <is>
          <t>ATM (22OCT25) TRANSFER 178-329538-833</t>
        </is>
      </c>
      <c r="D203" s="5" t="n"/>
      <c r="E203" s="6" t="n">
        <v>19392</v>
      </c>
      <c r="F203" s="7" t="n"/>
      <c r="G203" s="8">
        <f>IF(AND(D203="",E203=""),F203,G202+IF(D203="",0,D203)-IF(E203="",0,E203))</f>
        <v/>
      </c>
    </row>
    <row r="204">
      <c r="A204" s="3" t="inlineStr">
        <is>
          <t>HSBC HKD Savings Account</t>
        </is>
      </c>
      <c r="B204" s="4" t="n">
        <v>45953</v>
      </c>
      <c r="C204" s="3" t="inlineStr">
        <is>
          <t>ATM WITHDRAWAL (22OCT25)</t>
        </is>
      </c>
      <c r="D204" s="5" t="n"/>
      <c r="E204" s="6" t="n">
        <v>20000</v>
      </c>
      <c r="F204" s="7" t="n"/>
      <c r="G204" s="8">
        <f>IF(AND(D204="",E204=""),F204,G203+IF(D204="",0,D204)-IF(E204="",0,E204))</f>
        <v/>
      </c>
    </row>
    <row r="205">
      <c r="A205" s="3" t="inlineStr">
        <is>
          <t>HSBC HKD Savings Account</t>
        </is>
      </c>
      <c r="B205" s="4" t="n">
        <v>45953</v>
      </c>
      <c r="C205" s="3" t="inlineStr">
        <is>
          <t>ATM WITHDRAWAL (22OCT25)</t>
        </is>
      </c>
      <c r="D205" s="5" t="n"/>
      <c r="E205" s="6" t="n">
        <v>20000</v>
      </c>
      <c r="F205" s="7" t="n"/>
      <c r="G205" s="8">
        <f>IF(AND(D205="",E205=""),F205,G204+IF(D205="",0,D205)-IF(E205="",0,E205))</f>
        <v/>
      </c>
    </row>
    <row r="206">
      <c r="A206" s="3" t="inlineStr">
        <is>
          <t>HSBC HKD Savings Account</t>
        </is>
      </c>
      <c r="B206" s="4" t="n">
        <v>45953</v>
      </c>
      <c r="C206" s="3" t="inlineStr">
        <is>
          <t>MR CHING YAT SING HC125A2278909169 22OCT</t>
        </is>
      </c>
      <c r="D206" s="5" t="n">
        <v>1000</v>
      </c>
      <c r="E206" s="6" t="n"/>
      <c r="F206" s="7" t="n">
        <v>47744.24</v>
      </c>
      <c r="G206" s="8">
        <f>IF(AND(D206="",E206=""),F206,G205+IF(D206="",0,D206)-IF(E206="",0,E206))</f>
        <v/>
      </c>
    </row>
    <row r="207">
      <c r="A207" s="3" t="inlineStr">
        <is>
          <t>HSBC HKD Savings Account</t>
        </is>
      </c>
      <c r="B207" s="4" t="n">
        <v>45958</v>
      </c>
      <c r="C207" s="3" t="inlineStr">
        <is>
          <t>CREDIT INTEREST</t>
        </is>
      </c>
      <c r="D207" s="5" t="n">
        <v>9.130000000000001</v>
      </c>
      <c r="E207" s="6" t="n"/>
      <c r="F207" s="7" t="n">
        <v>47753.37</v>
      </c>
      <c r="G207" s="8">
        <f>IF(AND(D207="",E207=""),F207,G206+IF(D207="",0,D207)-IF(E207="",0,E207))</f>
        <v/>
      </c>
    </row>
    <row r="208">
      <c r="A208" s="3" t="inlineStr">
        <is>
          <t>HSBC HKD Savings Account</t>
        </is>
      </c>
      <c r="B208" s="4" t="n">
        <v>45960</v>
      </c>
      <c r="C208" s="3" t="inlineStr">
        <is>
          <t>MR YEUNG LEONG SING HC125A2896147182 28OCT</t>
        </is>
      </c>
      <c r="D208" s="5" t="n">
        <v>6600</v>
      </c>
      <c r="E208" s="6" t="n"/>
      <c r="F208" s="7" t="n">
        <v>54353.37</v>
      </c>
      <c r="G208" s="8">
        <f>IF(AND(D208="",E208=""),F208,G207+IF(D208="",0,D208)-IF(E208="",0,E208))</f>
        <v/>
      </c>
    </row>
    <row r="209">
      <c r="A209" s="3" t="inlineStr">
        <is>
          <t>HSBC HKD Savings Account</t>
        </is>
      </c>
      <c r="B209" s="4" t="n">
        <v>45961</v>
      </c>
      <c r="C209" s="3" t="inlineStr">
        <is>
          <t>PRINCIPAL TR CO(ASIA SD259529 31OCT</t>
        </is>
      </c>
      <c r="D209" s="5" t="n"/>
      <c r="E209" s="6" t="n">
        <v>710</v>
      </c>
      <c r="F209" s="7" t="n">
        <v>53643.37</v>
      </c>
      <c r="G209" s="8">
        <f>IF(AND(D209="",E209=""),F209,G208+IF(D209="",0,D209)-IF(E209="",0,E209))</f>
        <v/>
      </c>
    </row>
    <row r="210">
      <c r="A210" s="3" t="inlineStr">
        <is>
          <t>HSBC HKD Savings Account</t>
        </is>
      </c>
      <c r="B210" s="4" t="n">
        <v>45966</v>
      </c>
      <c r="C210" s="3" t="inlineStr">
        <is>
          <t>CHARGES HC125B0522027289 05NOV</t>
        </is>
      </c>
      <c r="D210" s="5" t="n"/>
      <c r="E210" s="6" t="n">
        <v>5</v>
      </c>
      <c r="F210" s="7" t="n"/>
      <c r="G210" s="8">
        <f>IF(AND(D210="",E210=""),F210,G209+IF(D210="",0,D210)-IF(E210="",0,E210))</f>
        <v/>
      </c>
    </row>
    <row r="211">
      <c r="A211" s="3" t="inlineStr">
        <is>
          <t>HSBC HKD Savings Account</t>
        </is>
      </c>
      <c r="B211" s="4" t="n">
        <v>45966</v>
      </c>
      <c r="C211" s="3" t="inlineStr">
        <is>
          <t>CHAU K** Y** HC125B0522027289 05NOV</t>
        </is>
      </c>
      <c r="D211" s="5" t="n"/>
      <c r="E211" s="6" t="n">
        <v>8300</v>
      </c>
      <c r="F211" s="7" t="n">
        <v>45338.37</v>
      </c>
      <c r="G211" s="8">
        <f>IF(AND(D211="",E211=""),F211,G210+IF(D211="",0,D211)-IF(E211="",0,E211))</f>
        <v/>
      </c>
    </row>
    <row r="212">
      <c r="A212" s="3" t="inlineStr">
        <is>
          <t>HSBC HKD Savings Account</t>
        </is>
      </c>
      <c r="B212" s="4" t="n">
        <v>45969</v>
      </c>
      <c r="C212" s="3" t="inlineStr">
        <is>
          <t>ATM WITHDRAWAL (08NOV25)</t>
        </is>
      </c>
      <c r="D212" s="5" t="n"/>
      <c r="E212" s="6" t="n">
        <v>10000</v>
      </c>
      <c r="F212" s="7" t="n">
        <v>35338.37</v>
      </c>
      <c r="G212" s="8">
        <f>IF(AND(D212="",E212=""),F212,G211+IF(D212="",0,D212)-IF(E212="",0,E212))</f>
        <v/>
      </c>
    </row>
    <row r="213">
      <c r="A213" s="3" t="inlineStr">
        <is>
          <t>HSBC HKD Savings Account</t>
        </is>
      </c>
      <c r="B213" s="4" t="n">
        <v>45971</v>
      </c>
      <c r="C213" s="3" t="inlineStr">
        <is>
          <t>LING MAN YEE EDMUND HC125B0935606106 09NOV</t>
        </is>
      </c>
      <c r="D213" s="5" t="n">
        <v>2590</v>
      </c>
      <c r="E213" s="6" t="n"/>
      <c r="F213" s="7" t="n"/>
      <c r="G213" s="8">
        <f>IF(AND(D213="",E213=""),F213,G212+IF(D213="",0,D213)-IF(E213="",0,E213))</f>
        <v/>
      </c>
    </row>
    <row r="214">
      <c r="A214" s="3" t="inlineStr">
        <is>
          <t>HSBC HKD Savings Account</t>
        </is>
      </c>
      <c r="B214" s="4" t="n">
        <v>45971</v>
      </c>
      <c r="C214" s="3" t="inlineStr">
        <is>
          <t>YUSHENG ENGINEERING HC125B1039162117 10NOV</t>
        </is>
      </c>
      <c r="D214" s="5" t="n">
        <v>3000</v>
      </c>
      <c r="E214" s="6" t="n"/>
      <c r="F214" s="7" t="n">
        <v>40928.37</v>
      </c>
      <c r="G214" s="8">
        <f>IF(AND(D214="",E214=""),F214,G213+IF(D214="",0,D214)-IF(E214="",0,E214))</f>
        <v/>
      </c>
    </row>
    <row r="215">
      <c r="A215" s="3" t="inlineStr">
        <is>
          <t>HSBC HKD Savings Account</t>
        </is>
      </c>
      <c r="B215" s="4" t="n">
        <v>45972</v>
      </c>
      <c r="C215" s="3" t="inlineStr">
        <is>
          <t>DAIKIN AIRCONDITIONI HC125B1140484171 11NOV</t>
        </is>
      </c>
      <c r="D215" s="5" t="n">
        <v>1200</v>
      </c>
      <c r="E215" s="6" t="n"/>
      <c r="F215" s="7" t="n"/>
      <c r="G215" s="8">
        <f>IF(AND(D215="",E215=""),F215,G214+IF(D215="",0,D215)-IF(E215="",0,E215))</f>
        <v/>
      </c>
    </row>
    <row r="216">
      <c r="A216" s="3" t="inlineStr">
        <is>
          <t>HSBC HKD Savings Account</t>
        </is>
      </c>
      <c r="B216" s="4" t="n">
        <v>45972</v>
      </c>
      <c r="C216" s="3" t="inlineStr">
        <is>
          <t>CR TO 058-637554-833 NB1165464838(11NOV25)</t>
        </is>
      </c>
      <c r="D216" s="5" t="n"/>
      <c r="E216" s="6" t="n">
        <v>19300</v>
      </c>
      <c r="F216" s="7" t="n"/>
      <c r="G216" s="8">
        <f>IF(AND(D216="",E216=""),F216,G215+IF(D216="",0,D216)-IF(E216="",0,E216))</f>
        <v/>
      </c>
    </row>
    <row r="217">
      <c r="A217" s="3" t="inlineStr">
        <is>
          <t>HSBC HKD Savings Account</t>
        </is>
      </c>
      <c r="B217" s="4" t="n">
        <v>45972</v>
      </c>
      <c r="C217" s="3" t="inlineStr">
        <is>
          <t>MR WONG TSZ HO HC125B1141943668 11NOV</t>
        </is>
      </c>
      <c r="D217" s="5" t="n">
        <v>3680</v>
      </c>
      <c r="E217" s="6" t="n"/>
      <c r="F217" s="7" t="n">
        <v>26508.37</v>
      </c>
      <c r="G217" s="8">
        <f>IF(AND(D217="",E217=""),F217,G216+IF(D217="",0,D217)-IF(E217="",0,E217))</f>
        <v/>
      </c>
    </row>
    <row r="218">
      <c r="A218" s="3" t="inlineStr">
        <is>
          <t>HSBC HKD Savings Account</t>
        </is>
      </c>
      <c r="B218" s="4" t="n">
        <v>45975</v>
      </c>
      <c r="C218" s="3" t="inlineStr">
        <is>
          <t>ATM WITHDRAWAL (14NOV25)</t>
        </is>
      </c>
      <c r="D218" s="5" t="n"/>
      <c r="E218" s="6" t="n">
        <v>10000</v>
      </c>
      <c r="F218" s="7" t="n">
        <v>16508.37</v>
      </c>
      <c r="G218" s="8">
        <f>IF(AND(D218="",E218=""),F218,G217+IF(D218="",0,D218)-IF(E218="",0,E218))</f>
        <v/>
      </c>
    </row>
    <row r="219">
      <c r="A219" s="3" t="inlineStr">
        <is>
          <t>HSBC HKD Savings Account</t>
        </is>
      </c>
      <c r="B219" s="4" t="n">
        <v>45980</v>
      </c>
      <c r="C219" s="3" t="inlineStr">
        <is>
          <t>KWOK CHING LAP HC125B1964354478 19NOV</t>
        </is>
      </c>
      <c r="D219" s="5" t="n">
        <v>13000</v>
      </c>
      <c r="E219" s="6" t="n"/>
      <c r="F219" s="7" t="n">
        <v>29508.37</v>
      </c>
      <c r="G219" s="8">
        <f>IF(AND(D219="",E219=""),F219,G218+IF(D219="",0,D219)-IF(E219="",0,E219))</f>
        <v/>
      </c>
    </row>
    <row r="220">
      <c r="A220" s="3" t="inlineStr">
        <is>
          <t>HSBC HKD Savings Account</t>
        </is>
      </c>
      <c r="B220" s="4" t="n">
        <v>45982</v>
      </c>
      <c r="C220" s="3" t="inlineStr">
        <is>
          <t>EPS126693 (21NOV25) 7-ELEVEN HK (0742)</t>
        </is>
      </c>
      <c r="D220" s="5" t="n"/>
      <c r="E220" s="6" t="n">
        <v>512</v>
      </c>
      <c r="F220" s="7" t="n">
        <v>28996.37</v>
      </c>
      <c r="G220" s="8">
        <f>IF(AND(D220="",E220=""),F220,G219+IF(D220="",0,D220)-IF(E220="",0,E220))</f>
        <v/>
      </c>
    </row>
    <row r="221">
      <c r="A221" s="3" t="inlineStr">
        <is>
          <t>HSBC HKD Savings Account</t>
        </is>
      </c>
      <c r="B221" s="4" t="n">
        <v>45989</v>
      </c>
      <c r="C221" s="3" t="inlineStr">
        <is>
          <t>CREDIT INTEREST</t>
        </is>
      </c>
      <c r="D221" s="5" t="n">
        <v>0.58</v>
      </c>
      <c r="E221" s="6" t="n"/>
      <c r="F221" s="7" t="n"/>
      <c r="G221" s="8">
        <f>IF(AND(D221="",E221=""),F221,G220+IF(D221="",0,D221)-IF(E221="",0,E221))</f>
        <v/>
      </c>
    </row>
    <row r="222">
      <c r="A222" s="3" t="inlineStr">
        <is>
          <t>HSBC HKD Savings Account</t>
        </is>
      </c>
      <c r="B222" s="4" t="n">
        <v>45989</v>
      </c>
      <c r="C222" s="3" t="inlineStr">
        <is>
          <t>YEUNG LEONG SING HC125B2892040414 28NOV</t>
        </is>
      </c>
      <c r="D222" s="5" t="n">
        <v>1500</v>
      </c>
      <c r="E222" s="6" t="n"/>
      <c r="F222" s="7" t="n">
        <v>30496.95</v>
      </c>
      <c r="G222" s="8">
        <f>IF(AND(D222="",E222=""),F222,G221+IF(D222="",0,D222)-IF(E222="",0,E222))</f>
        <v/>
      </c>
    </row>
    <row r="223">
      <c r="A223" s="3" t="inlineStr">
        <is>
          <t>HSBC HKD Savings Account</t>
        </is>
      </c>
      <c r="B223" s="4" t="n">
        <v>45990</v>
      </c>
      <c r="C223" s="3" t="inlineStr">
        <is>
          <t>MR YEUNG CHUN TUNG HC125B2994404880 29NOV</t>
        </is>
      </c>
      <c r="D223" s="5" t="n">
        <v>7500</v>
      </c>
      <c r="E223" s="6" t="n"/>
      <c r="F223" s="7" t="n">
        <v>37996.95</v>
      </c>
      <c r="G223" s="8">
        <f>IF(AND(D223="",E223=""),F223,G222+IF(D223="",0,D223)-IF(E223="",0,E223))</f>
        <v/>
      </c>
    </row>
    <row r="224">
      <c r="A224" s="3" t="inlineStr">
        <is>
          <t>HSBC HKD Savings Account</t>
        </is>
      </c>
      <c r="B224" s="4" t="n">
        <v>45992</v>
      </c>
      <c r="C224" s="3" t="inlineStr">
        <is>
          <t>WONG TSZ HO NC0136564783(01DEC25)</t>
        </is>
      </c>
      <c r="D224" s="5" t="n">
        <v>2000</v>
      </c>
      <c r="E224" s="6" t="n"/>
      <c r="F224" s="7" t="n"/>
      <c r="G224" s="8">
        <f>IF(AND(D224="",E224=""),F224,G223+IF(D224="",0,D224)-IF(E224="",0,E224))</f>
        <v/>
      </c>
    </row>
    <row r="225">
      <c r="A225" s="3" t="inlineStr">
        <is>
          <t>HSBC HKD Savings Account</t>
        </is>
      </c>
      <c r="B225" s="4" t="n">
        <v>45992</v>
      </c>
      <c r="C225" s="3" t="inlineStr">
        <is>
          <t>LING MAN YEE EDMUND HC125C0100078492 01DEC</t>
        </is>
      </c>
      <c r="D225" s="5" t="n">
        <v>3300</v>
      </c>
      <c r="E225" s="6" t="n"/>
      <c r="F225" s="7" t="n"/>
      <c r="G225" s="8">
        <f>IF(AND(D225="",E225=""),F225,G224+IF(D225="",0,D225)-IF(E225="",0,E225))</f>
        <v/>
      </c>
    </row>
    <row r="226">
      <c r="A226" s="3" t="inlineStr">
        <is>
          <t>HSBC HKD Savings Account</t>
        </is>
      </c>
      <c r="B226" s="4" t="n">
        <v>45992</v>
      </c>
      <c r="C226" s="3" t="inlineStr">
        <is>
          <t>KWOK CHING LAP HC125B3098246953 30NOV</t>
        </is>
      </c>
      <c r="D226" s="5" t="n">
        <v>2000</v>
      </c>
      <c r="E226" s="6" t="n"/>
      <c r="F226" s="7" t="n">
        <v>45296.95</v>
      </c>
      <c r="G226" s="8">
        <f>IF(AND(D226="",E226=""),F226,G225+IF(D226="",0,D226)-IF(E226="",0,E226))</f>
        <v/>
      </c>
    </row>
    <row r="227">
      <c r="A227" s="3" t="inlineStr">
        <is>
          <t>HSBC HKD Savings Account</t>
        </is>
      </c>
      <c r="B227" s="4" t="n">
        <v>46000</v>
      </c>
      <c r="C227" s="3" t="inlineStr">
        <is>
          <t>YUSHENG ENGINEERING HC125C0926503713 09DEC</t>
        </is>
      </c>
      <c r="D227" s="5" t="n">
        <v>7000</v>
      </c>
      <c r="E227" s="6" t="n"/>
      <c r="F227" s="7" t="n">
        <v>52296.95</v>
      </c>
      <c r="G227" s="8">
        <f>IF(AND(D227="",E227=""),F227,G226+IF(D227="",0,D227)-IF(E227="",0,E227))</f>
        <v/>
      </c>
    </row>
    <row r="228">
      <c r="A228" s="3" t="inlineStr">
        <is>
          <t>HSBC HKD Savings Account</t>
        </is>
      </c>
      <c r="B228" s="4" t="n">
        <v>46001</v>
      </c>
      <c r="C228" s="3" t="inlineStr">
        <is>
          <t>DAIKIN AIRCONDITIONI HC125C1030078207 10DEC</t>
        </is>
      </c>
      <c r="D228" s="5" t="n">
        <v>334430</v>
      </c>
      <c r="E228" s="6" t="n"/>
      <c r="F228" s="7" t="n">
        <v>386726.95</v>
      </c>
      <c r="G228" s="8">
        <f>IF(AND(D228="",E228=""),F228,G227+IF(D228="",0,D228)-IF(E228="",0,E228))</f>
        <v/>
      </c>
    </row>
    <row r="229">
      <c r="A229" s="3" t="inlineStr">
        <is>
          <t>HSBC HKD Savings Account</t>
        </is>
      </c>
      <c r="B229" s="4" t="n">
        <v>46002</v>
      </c>
      <c r="C229" s="3" t="inlineStr">
        <is>
          <t>ATM WITHDRAWAL (11DEC25)</t>
        </is>
      </c>
      <c r="D229" s="5" t="n"/>
      <c r="E229" s="6" t="n">
        <v>20000</v>
      </c>
      <c r="F229" s="7" t="n"/>
      <c r="G229" s="8">
        <f>IF(AND(D229="",E229=""),F229,G228+IF(D229="",0,D229)-IF(E229="",0,E229))</f>
        <v/>
      </c>
    </row>
    <row r="230">
      <c r="A230" s="3" t="inlineStr">
        <is>
          <t>HSBC HKD Savings Account</t>
        </is>
      </c>
      <c r="B230" s="4" t="n">
        <v>46002</v>
      </c>
      <c r="C230" s="3" t="inlineStr">
        <is>
          <t>ATM WITHDRAWAL (11DEC25)</t>
        </is>
      </c>
      <c r="D230" s="5" t="n"/>
      <c r="E230" s="6" t="n">
        <v>20000</v>
      </c>
      <c r="F230" s="7" t="n"/>
      <c r="G230" s="8">
        <f>IF(AND(D230="",E230=""),F230,G229+IF(D230="",0,D230)-IF(E230="",0,E230))</f>
        <v/>
      </c>
    </row>
    <row r="231">
      <c r="A231" s="3" t="inlineStr">
        <is>
          <t>HSBC HKD Savings Account</t>
        </is>
      </c>
      <c r="B231" s="4" t="n">
        <v>46002</v>
      </c>
      <c r="C231" s="3" t="inlineStr">
        <is>
          <t>ATM WITHDRAWAL (11DEC25)</t>
        </is>
      </c>
      <c r="D231" s="5" t="n"/>
      <c r="E231" s="6" t="n">
        <v>10000</v>
      </c>
      <c r="F231" s="7" t="n"/>
      <c r="G231" s="8">
        <f>IF(AND(D231="",E231=""),F231,G230+IF(D231="",0,D231)-IF(E231="",0,E231))</f>
        <v/>
      </c>
    </row>
    <row r="232">
      <c r="A232" s="3" t="inlineStr">
        <is>
          <t>HSBC HKD Savings Account</t>
        </is>
      </c>
      <c r="B232" s="4" t="n">
        <v>46002</v>
      </c>
      <c r="C232" s="3" t="inlineStr">
        <is>
          <t>CHUNG PAK KIN HC125C1134718278 11DEC</t>
        </is>
      </c>
      <c r="D232" s="5" t="n">
        <v>1200</v>
      </c>
      <c r="E232" s="6" t="n"/>
      <c r="F232" s="7" t="n"/>
      <c r="G232" s="8">
        <f>IF(AND(D232="",E232=""),F232,G231+IF(D232="",0,D232)-IF(E232="",0,E232))</f>
        <v/>
      </c>
    </row>
    <row r="233">
      <c r="A233" s="3" t="inlineStr">
        <is>
          <t>HSBC HKD Savings Account</t>
        </is>
      </c>
      <c r="B233" s="4" t="n">
        <v>46002</v>
      </c>
      <c r="C233" s="3" t="inlineStr">
        <is>
          <t>CHARGES HC125C1134882626 11DEC</t>
        </is>
      </c>
      <c r="D233" s="5" t="n"/>
      <c r="E233" s="6" t="n">
        <v>5</v>
      </c>
      <c r="F233" s="7" t="n"/>
      <c r="G233" s="8">
        <f>IF(AND(D233="",E233=""),F233,G232+IF(D233="",0,D233)-IF(E233="",0,E233))</f>
        <v/>
      </c>
    </row>
    <row r="234">
      <c r="A234" s="3" t="inlineStr">
        <is>
          <t>HSBC HKD Savings Account</t>
        </is>
      </c>
      <c r="B234" s="4" t="n">
        <v>46002</v>
      </c>
      <c r="C234" s="3" t="inlineStr">
        <is>
          <t>KWOK C**** L** HC125C1134882626 11DEC</t>
        </is>
      </c>
      <c r="D234" s="5" t="n"/>
      <c r="E234" s="6" t="n">
        <v>100</v>
      </c>
      <c r="F234" s="7" t="n"/>
      <c r="G234" s="8">
        <f>IF(AND(D234="",E234=""),F234,G233+IF(D234="",0,D234)-IF(E234="",0,E234))</f>
        <v/>
      </c>
    </row>
    <row r="235">
      <c r="A235" s="3" t="inlineStr">
        <is>
          <t>HSBC HKD Savings Account</t>
        </is>
      </c>
      <c r="B235" s="4" t="n">
        <v>46002</v>
      </c>
      <c r="C235" s="3" t="inlineStr">
        <is>
          <t>ATM WITHDRAWAL (10DEC25)</t>
        </is>
      </c>
      <c r="D235" s="5" t="n"/>
      <c r="E235" s="6" t="n">
        <v>20000</v>
      </c>
      <c r="F235" s="7" t="n"/>
      <c r="G235" s="8">
        <f>IF(AND(D235="",E235=""),F235,G234+IF(D235="",0,D235)-IF(E235="",0,E235))</f>
        <v/>
      </c>
    </row>
    <row r="236">
      <c r="A236" s="3" t="inlineStr">
        <is>
          <t>HSBC HKD Savings Account</t>
        </is>
      </c>
      <c r="B236" s="4" t="n">
        <v>46002</v>
      </c>
      <c r="C236" s="3" t="inlineStr">
        <is>
          <t>ATM WITHDRAWAL (10DEC25)</t>
        </is>
      </c>
      <c r="D236" s="5" t="n"/>
      <c r="E236" s="6" t="n">
        <v>20000</v>
      </c>
      <c r="F236" s="7" t="n"/>
      <c r="G236" s="8">
        <f>IF(AND(D236="",E236=""),F236,G235+IF(D236="",0,D236)-IF(E236="",0,E236))</f>
        <v/>
      </c>
    </row>
    <row r="237">
      <c r="A237" s="3" t="inlineStr">
        <is>
          <t>HSBC HKD Savings Account</t>
        </is>
      </c>
      <c r="B237" s="4" t="n">
        <v>46002</v>
      </c>
      <c r="C237" s="3" t="inlineStr">
        <is>
          <t>ATM WITHDRAWAL (10DEC25)</t>
        </is>
      </c>
      <c r="D237" s="5" t="n"/>
      <c r="E237" s="6" t="n">
        <v>10000</v>
      </c>
      <c r="F237" s="7" t="n"/>
      <c r="G237" s="8">
        <f>IF(AND(D237="",E237=""),F237,G236+IF(D237="",0,D237)-IF(E237="",0,E237))</f>
        <v/>
      </c>
    </row>
    <row r="238">
      <c r="A238" s="3" t="inlineStr">
        <is>
          <t>HSBC HKD Savings Account</t>
        </is>
      </c>
      <c r="B238" s="4" t="n">
        <v>46002</v>
      </c>
      <c r="C238" s="3" t="inlineStr">
        <is>
          <t>CR TO 058-637554-833 NC1077049607(10DEC25)</t>
        </is>
      </c>
      <c r="D238" s="5" t="n"/>
      <c r="E238" s="6" t="n">
        <v>19300</v>
      </c>
      <c r="F238" s="7" t="n"/>
      <c r="G238" s="8">
        <f>IF(AND(D238="",E238=""),F238,G237+IF(D238="",0,D238)-IF(E238="",0,E238))</f>
        <v/>
      </c>
    </row>
    <row r="239">
      <c r="A239" s="3" t="inlineStr">
        <is>
          <t>HSBC HKD Savings Account</t>
        </is>
      </c>
      <c r="B239" s="4" t="n">
        <v>46002</v>
      </c>
      <c r="C239" s="3" t="inlineStr">
        <is>
          <t>CR TO 509-1-022722 NC1077071413(10DEC25)</t>
        </is>
      </c>
      <c r="D239" s="5" t="n"/>
      <c r="E239" s="6" t="n">
        <v>45493</v>
      </c>
      <c r="F239" s="7" t="n">
        <v>223028.95</v>
      </c>
      <c r="G239" s="8">
        <f>IF(AND(D239="",E239=""),F239,G238+IF(D239="",0,D239)-IF(E239="",0,E239))</f>
        <v/>
      </c>
    </row>
    <row r="240">
      <c r="A240" s="3" t="inlineStr">
        <is>
          <t>HSBC HKD Savings Account</t>
        </is>
      </c>
      <c r="B240" s="4" t="n">
        <v>46003</v>
      </c>
      <c r="C240" s="3" t="inlineStr">
        <is>
          <t>CHARGES HC125C1135231226 11DEC</t>
        </is>
      </c>
      <c r="D240" s="5" t="n"/>
      <c r="E240" s="6" t="n">
        <v>5</v>
      </c>
      <c r="F240" s="7" t="n"/>
      <c r="G240" s="8">
        <f>IF(AND(D240="",E240=""),F240,G239+IF(D240="",0,D240)-IF(E240="",0,E240))</f>
        <v/>
      </c>
    </row>
    <row r="241">
      <c r="A241" s="3" t="inlineStr">
        <is>
          <t>HSBC HKD Savings Account</t>
        </is>
      </c>
      <c r="B241" s="4" t="n">
        <v>46003</v>
      </c>
      <c r="C241" s="3" t="inlineStr">
        <is>
          <t>KWOK C**** L** HC125C1135231226 11DEC</t>
        </is>
      </c>
      <c r="D241" s="5" t="n"/>
      <c r="E241" s="6" t="n">
        <v>38186</v>
      </c>
      <c r="F241" s="7" t="n">
        <v>184837.95</v>
      </c>
      <c r="G241" s="8">
        <f>IF(AND(D241="",E241=""),F241,G240+IF(D241="",0,D241)-IF(E241="",0,E241))</f>
        <v/>
      </c>
    </row>
    <row r="242">
      <c r="A242" s="3" t="inlineStr">
        <is>
          <t>HSBC HKD Savings Account</t>
        </is>
      </c>
      <c r="B242" s="4" t="n">
        <v>46004</v>
      </c>
      <c r="C242" s="3" t="inlineStr">
        <is>
          <t>CHARGES HC125C1238252409 12DEC</t>
        </is>
      </c>
      <c r="D242" s="5" t="n"/>
      <c r="E242" s="6" t="n">
        <v>5</v>
      </c>
      <c r="F242" s="7" t="n"/>
      <c r="G242" s="8">
        <f>IF(AND(D242="",E242=""),F242,G241+IF(D242="",0,D242)-IF(E242="",0,E242))</f>
        <v/>
      </c>
    </row>
    <row r="243">
      <c r="A243" s="3" t="inlineStr">
        <is>
          <t>HSBC HKD Savings Account</t>
        </is>
      </c>
      <c r="B243" s="4" t="n">
        <v>46004</v>
      </c>
      <c r="C243" s="3" t="inlineStr">
        <is>
          <t>KWOK C**** L** HC125C1238252409 12DEC</t>
        </is>
      </c>
      <c r="D243" s="5" t="n"/>
      <c r="E243" s="6" t="n">
        <v>48042</v>
      </c>
      <c r="F243" s="7" t="n">
        <v>136790.95</v>
      </c>
      <c r="G243" s="8">
        <f>IF(AND(D243="",E243=""),F243,G242+IF(D243="",0,D243)-IF(E243="",0,E243))</f>
        <v/>
      </c>
    </row>
    <row r="244">
      <c r="A244" s="3" t="inlineStr">
        <is>
          <t>HSBC HKD Savings Account</t>
        </is>
      </c>
      <c r="B244" s="4" t="n">
        <v>46006</v>
      </c>
      <c r="C244" s="3" t="inlineStr">
        <is>
          <t>PRINCIPAL TR CO(ASIA SD259529 15DEC</t>
        </is>
      </c>
      <c r="D244" s="5" t="n"/>
      <c r="E244" s="6" t="n">
        <v>710</v>
      </c>
      <c r="F244" s="7" t="n"/>
      <c r="G244" s="8">
        <f>IF(AND(D244="",E244=""),F244,G243+IF(D244="",0,D244)-IF(E244="",0,E244))</f>
        <v/>
      </c>
    </row>
    <row r="245">
      <c r="A245" s="3" t="inlineStr">
        <is>
          <t>HSBC HKD Savings Account</t>
        </is>
      </c>
      <c r="B245" s="4" t="n">
        <v>46006</v>
      </c>
      <c r="C245" s="3" t="inlineStr">
        <is>
          <t>LING MAN YEE EDMUND HC125C1442677864 14DEC</t>
        </is>
      </c>
      <c r="D245" s="5" t="n">
        <v>900</v>
      </c>
      <c r="E245" s="6" t="n"/>
      <c r="F245" s="7" t="n"/>
      <c r="G245" s="8">
        <f>IF(AND(D245="",E245=""),F245,G244+IF(D245="",0,D245)-IF(E245="",0,E245))</f>
        <v/>
      </c>
    </row>
    <row r="246">
      <c r="A246" s="3" t="inlineStr">
        <is>
          <t>HSBC HKD Savings Account</t>
        </is>
      </c>
      <c r="B246" s="4" t="n">
        <v>46006</v>
      </c>
      <c r="C246" s="3" t="inlineStr">
        <is>
          <t>CR TO 015-495500-292 NC1490606972(14DEC25)</t>
        </is>
      </c>
      <c r="D246" s="5" t="n"/>
      <c r="E246" s="6" t="n">
        <v>42000</v>
      </c>
      <c r="F246" s="7" t="n">
        <v>94980.95</v>
      </c>
      <c r="G246" s="8">
        <f>IF(AND(D246="",E246=""),F246,G245+IF(D246="",0,D246)-IF(E246="",0,E246))</f>
        <v/>
      </c>
    </row>
    <row r="247">
      <c r="A247" s="3" t="inlineStr">
        <is>
          <t>HSBC HKD Savings Account</t>
        </is>
      </c>
      <c r="B247" s="4" t="n">
        <v>46007</v>
      </c>
      <c r="C247" s="3" t="inlineStr">
        <is>
          <t>29602928 CHEQUE DEPOSIT MACHINE (16DEC25)</t>
        </is>
      </c>
      <c r="D247" s="5" t="n">
        <v>4700</v>
      </c>
      <c r="E247" s="6" t="n"/>
      <c r="F247" s="7" t="n">
        <v>99680.95</v>
      </c>
      <c r="G247" s="8">
        <f>IF(AND(D247="",E247=""),F247,G246+IF(D247="",0,D247)-IF(E247="",0,E247))</f>
        <v/>
      </c>
    </row>
    <row r="248">
      <c r="A248" s="3" t="inlineStr">
        <is>
          <t>HSBC HKD Savings Account</t>
        </is>
      </c>
      <c r="B248" s="4" t="n">
        <v>46008</v>
      </c>
      <c r="C248" s="3" t="inlineStr">
        <is>
          <t>WONG CHUN YU HC125C1751948153 17DEC</t>
        </is>
      </c>
      <c r="D248" s="5" t="n">
        <v>3200</v>
      </c>
      <c r="E248" s="6" t="n"/>
      <c r="F248" s="7" t="n"/>
      <c r="G248" s="8">
        <f>IF(AND(D248="",E248=""),F248,G247+IF(D248="",0,D248)-IF(E248="",0,E248))</f>
        <v/>
      </c>
    </row>
    <row r="249">
      <c r="A249" s="3" t="inlineStr">
        <is>
          <t>HSBC HKD Savings Account</t>
        </is>
      </c>
      <c r="B249" s="4" t="n">
        <v>46008</v>
      </c>
      <c r="C249" s="3" t="inlineStr">
        <is>
          <t>CR TO 015-495500-292 NC1698478591(16DEC25)</t>
        </is>
      </c>
      <c r="D249" s="5" t="n"/>
      <c r="E249" s="6" t="n">
        <v>21925</v>
      </c>
      <c r="F249" s="7" t="n"/>
      <c r="G249" s="8">
        <f>IF(AND(D249="",E249=""),F249,G248+IF(D249="",0,D249)-IF(E249="",0,E249))</f>
        <v/>
      </c>
    </row>
    <row r="250">
      <c r="A250" s="3" t="inlineStr">
        <is>
          <t>HSBC HKD Savings Account</t>
        </is>
      </c>
      <c r="B250" s="4" t="n">
        <v>46008</v>
      </c>
      <c r="C250" s="3" t="inlineStr">
        <is>
          <t>CHARGES HC125C1649825428 16DEC</t>
        </is>
      </c>
      <c r="D250" s="5" t="n"/>
      <c r="E250" s="6" t="n">
        <v>5</v>
      </c>
      <c r="F250" s="7" t="n"/>
      <c r="G250" s="8">
        <f>IF(AND(D250="",E250=""),F250,G249+IF(D250="",0,D250)-IF(E250="",0,E250))</f>
        <v/>
      </c>
    </row>
    <row r="251">
      <c r="A251" s="3" t="inlineStr">
        <is>
          <t>HSBC HKD Savings Account</t>
        </is>
      </c>
      <c r="B251" s="4" t="n">
        <v>46008</v>
      </c>
      <c r="C251" s="3" t="inlineStr">
        <is>
          <t>DENNIS MAK CPA LIMIT HC125C1649825428 16DEC</t>
        </is>
      </c>
      <c r="D251" s="5" t="n"/>
      <c r="E251" s="6" t="n">
        <v>8700</v>
      </c>
      <c r="F251" s="7" t="n">
        <v>72250.95</v>
      </c>
      <c r="G251" s="8">
        <f>IF(AND(D251="",E251=""),F251,G250+IF(D251="",0,D251)-IF(E251="",0,E251))</f>
        <v/>
      </c>
    </row>
    <row r="252">
      <c r="A252" s="3" t="inlineStr">
        <is>
          <t>HSBC HKD Savings Account</t>
        </is>
      </c>
      <c r="B252" s="4" t="n">
        <v>46010</v>
      </c>
      <c r="C252" s="3" t="inlineStr">
        <is>
          <t>CHARGES HC125C1856001071 18DEC</t>
        </is>
      </c>
      <c r="D252" s="5" t="n"/>
      <c r="E252" s="6" t="n">
        <v>5</v>
      </c>
      <c r="F252" s="7" t="n"/>
      <c r="G252" s="8">
        <f>IF(AND(D252="",E252=""),F252,G251+IF(D252="",0,D252)-IF(E252="",0,E252))</f>
        <v/>
      </c>
    </row>
    <row r="253">
      <c r="A253" s="3" t="inlineStr">
        <is>
          <t>HSBC HKD Savings Account</t>
        </is>
      </c>
      <c r="B253" s="4" t="n">
        <v>46010</v>
      </c>
      <c r="C253" s="3" t="inlineStr">
        <is>
          <t>DM SECRETARY LIMITED HC125C1856001071 18DEC</t>
        </is>
      </c>
      <c r="D253" s="5" t="n"/>
      <c r="E253" s="6" t="n">
        <v>3805</v>
      </c>
      <c r="F253" s="7" t="n"/>
      <c r="G253" s="8">
        <f>IF(AND(D253="",E253=""),F253,G252+IF(D253="",0,D253)-IF(E253="",0,E253))</f>
        <v/>
      </c>
    </row>
    <row r="254">
      <c r="A254" s="3" t="inlineStr">
        <is>
          <t>HSBC HKD Savings Account</t>
        </is>
      </c>
      <c r="B254" s="4" t="n">
        <v>46010</v>
      </c>
      <c r="C254" s="3" t="inlineStr">
        <is>
          <t>CHARGES HC125C1856003225 18DEC</t>
        </is>
      </c>
      <c r="D254" s="5" t="n"/>
      <c r="E254" s="6" t="n">
        <v>5</v>
      </c>
      <c r="F254" s="7" t="n"/>
      <c r="G254" s="8">
        <f>IF(AND(D254="",E254=""),F254,G253+IF(D254="",0,D254)-IF(E254="",0,E254))</f>
        <v/>
      </c>
    </row>
    <row r="255">
      <c r="A255" s="3" t="inlineStr">
        <is>
          <t>HSBC HKD Savings Account</t>
        </is>
      </c>
      <c r="B255" s="4" t="n">
        <v>46010</v>
      </c>
      <c r="C255" s="3" t="inlineStr">
        <is>
          <t>CHAU K** Y** HC125C1856003225 18DEC</t>
        </is>
      </c>
      <c r="D255" s="5" t="n"/>
      <c r="E255" s="6" t="n">
        <v>8300</v>
      </c>
      <c r="F255" s="7" t="n">
        <v>60135.95</v>
      </c>
      <c r="G255" s="8">
        <f>IF(AND(D255="",E255=""),F255,G254+IF(D255="",0,D255)-IF(E255="",0,E255))</f>
        <v/>
      </c>
    </row>
    <row r="256">
      <c r="A256" s="3" t="inlineStr">
        <is>
          <t>HSBC HKD Savings Account</t>
        </is>
      </c>
      <c r="B256" s="4" t="n">
        <v>46018</v>
      </c>
      <c r="C256" s="3" t="inlineStr">
        <is>
          <t>CREDIT INTEREST</t>
        </is>
      </c>
      <c r="D256" s="5" t="n">
        <v>0.06</v>
      </c>
      <c r="E256" s="6" t="n"/>
      <c r="F256" s="7" t="n">
        <v>60136.01</v>
      </c>
      <c r="G256" s="8">
        <f>IF(AND(D256="",E256=""),F256,G255+IF(D256="",0,D256)-IF(E256="",0,E256))</f>
        <v/>
      </c>
    </row>
    <row r="257">
      <c r="A257" s="3" t="inlineStr">
        <is>
          <t>HSBC HKD Savings Account</t>
        </is>
      </c>
      <c r="B257" s="4" t="n">
        <v>46020</v>
      </c>
      <c r="C257" s="3" t="inlineStr">
        <is>
          <t>MR YU LING HC125C2986416849 29DEC</t>
        </is>
      </c>
      <c r="D257" s="5" t="n">
        <v>5900</v>
      </c>
      <c r="E257" s="6" t="n"/>
      <c r="F257" s="7" t="n"/>
      <c r="G257" s="8">
        <f>IF(AND(D257="",E257=""),F257,G256+IF(D257="",0,D257)-IF(E257="",0,E257))</f>
        <v/>
      </c>
    </row>
    <row r="258">
      <c r="A258" s="3" t="inlineStr">
        <is>
          <t>HSBC HKD Savings Account</t>
        </is>
      </c>
      <c r="B258" s="4" t="n">
        <v>46020</v>
      </c>
      <c r="C258" s="3" t="inlineStr">
        <is>
          <t>YEUNG HOI YIU NC2737372501(27DEC25)</t>
        </is>
      </c>
      <c r="D258" s="5" t="n">
        <v>1500</v>
      </c>
      <c r="E258" s="6" t="n"/>
      <c r="F258" s="7" t="n">
        <v>67536.00999999999</v>
      </c>
      <c r="G258" s="8">
        <f>IF(AND(D258="",E258=""),F258,G257+IF(D258="",0,D258)-IF(E258="",0,E258))</f>
        <v/>
      </c>
    </row>
    <row r="259">
      <c r="A259" s="3" t="inlineStr">
        <is>
          <t>HSBC HKD Savings Account</t>
        </is>
      </c>
      <c r="B259" s="4" t="n">
        <v>46021</v>
      </c>
      <c r="C259" s="3" t="inlineStr">
        <is>
          <t>CR TO 509-1-022722 NC3047434240(30DEC25)</t>
        </is>
      </c>
      <c r="D259" s="5" t="n"/>
      <c r="E259" s="6" t="n">
        <v>2500</v>
      </c>
      <c r="F259" s="7" t="n">
        <v>65036.01</v>
      </c>
      <c r="G259" s="8">
        <f>IF(AND(D259="",E259=""),F259,G258+IF(D259="",0,D259)-IF(E259="",0,E259))</f>
        <v/>
      </c>
    </row>
    <row r="260">
      <c r="A260" s="3" t="inlineStr">
        <is>
          <t>HSBC HKD Savings Account</t>
        </is>
      </c>
      <c r="B260" s="4" t="n">
        <v>46024</v>
      </c>
      <c r="C260" s="3" t="inlineStr">
        <is>
          <t>PRINCIPAL TR CO(ASIA SD259529 02JAN</t>
        </is>
      </c>
      <c r="D260" s="5" t="n"/>
      <c r="E260" s="6" t="n">
        <v>710</v>
      </c>
      <c r="F260" s="7" t="n"/>
      <c r="G260" s="8">
        <f>IF(AND(D260="",E260=""),F260,G259+IF(D260="",0,D260)-IF(E260="",0,E260))</f>
        <v/>
      </c>
    </row>
    <row r="261">
      <c r="A261" s="3" t="inlineStr">
        <is>
          <t>HSBC HKD Savings Account</t>
        </is>
      </c>
      <c r="B261" s="4" t="n">
        <v>46024</v>
      </c>
      <c r="C261" s="3" t="inlineStr">
        <is>
          <t>KWOK CHING LAP HC12610196927926 01JAN</t>
        </is>
      </c>
      <c r="D261" s="5" t="n">
        <v>2000</v>
      </c>
      <c r="E261" s="6" t="n"/>
      <c r="F261" s="7" t="n">
        <v>66326.00999999999</v>
      </c>
      <c r="G261" s="8">
        <f>IF(AND(D261="",E261=""),F261,G260+IF(D261="",0,D261)-IF(E261="",0,E261))</f>
        <v/>
      </c>
    </row>
    <row r="262">
      <c r="A262" s="3" t="inlineStr">
        <is>
          <t>HSBC HKD Savings Account</t>
        </is>
      </c>
      <c r="B262" s="4" t="n">
        <v>46027</v>
      </c>
      <c r="C262" s="3" t="inlineStr">
        <is>
          <t>CHARGES HC12610303968639 03JAN</t>
        </is>
      </c>
      <c r="D262" s="5" t="n"/>
      <c r="E262" s="6" t="n">
        <v>5</v>
      </c>
      <c r="F262" s="7" t="n"/>
      <c r="G262" s="8">
        <f>IF(AND(D262="",E262=""),F262,G261+IF(D262="",0,D262)-IF(E262="",0,E262))</f>
        <v/>
      </c>
    </row>
    <row r="263">
      <c r="A263" s="3" t="inlineStr">
        <is>
          <t>HSBC HKD Savings Account</t>
        </is>
      </c>
      <c r="B263" s="4" t="n">
        <v>46027</v>
      </c>
      <c r="C263" s="3" t="inlineStr">
        <is>
          <t>PANG T** C**** HC12610303968639 03JAN</t>
        </is>
      </c>
      <c r="D263" s="5" t="n"/>
      <c r="E263" s="6" t="n">
        <v>12000</v>
      </c>
      <c r="F263" s="7" t="n">
        <v>54321.01</v>
      </c>
      <c r="G263" s="8">
        <f>IF(AND(D263="",E263=""),F263,G262+IF(D263="",0,D263)-IF(E263="",0,E263))</f>
        <v/>
      </c>
    </row>
    <row r="264">
      <c r="A264" s="3" t="inlineStr">
        <is>
          <t>HSBC HKD Savings Account</t>
        </is>
      </c>
      <c r="B264" s="4" t="n">
        <v>46028</v>
      </c>
      <c r="C264" s="3" t="inlineStr">
        <is>
          <t>YUSHENG ENGINEERING HC12610612269444 06JAN</t>
        </is>
      </c>
      <c r="D264" s="5" t="n">
        <v>2000</v>
      </c>
      <c r="E264" s="6" t="n"/>
      <c r="F264" s="7" t="n">
        <v>56321.01</v>
      </c>
      <c r="G264" s="8">
        <f>IF(AND(D264="",E264=""),F264,G263+IF(D264="",0,D264)-IF(E264="",0,E264))</f>
        <v/>
      </c>
    </row>
    <row r="265">
      <c r="A265" s="3" t="inlineStr">
        <is>
          <t>HSBC HKD Savings Account</t>
        </is>
      </c>
      <c r="B265" s="4" t="n">
        <v>46031</v>
      </c>
      <c r="C265" s="3" t="inlineStr">
        <is>
          <t>DAIKIN AIRCONDITIONI HC12610923636123 09JAN</t>
        </is>
      </c>
      <c r="D265" s="5" t="n">
        <v>106880</v>
      </c>
      <c r="E265" s="6" t="n"/>
      <c r="F265" s="7" t="n">
        <v>163201.01</v>
      </c>
      <c r="G265" s="8">
        <f>IF(AND(D265="",E265=""),F265,G264+IF(D265="",0,D265)-IF(E265="",0,E265))</f>
        <v/>
      </c>
    </row>
    <row r="266">
      <c r="A266" s="3" t="inlineStr">
        <is>
          <t>HSBC HKD Savings Account</t>
        </is>
      </c>
      <c r="B266" s="4" t="n">
        <v>46032</v>
      </c>
      <c r="C266" s="3" t="inlineStr">
        <is>
          <t>CR TO 509-1-022722 N10991637504(09JAN26)</t>
        </is>
      </c>
      <c r="D266" s="5" t="n"/>
      <c r="E266" s="6" t="n">
        <v>21900</v>
      </c>
      <c r="F266" s="7" t="n"/>
      <c r="G266" s="8">
        <f>IF(AND(D266="",E266=""),F266,G265+IF(D266="",0,D266)-IF(E266="",0,E266))</f>
        <v/>
      </c>
    </row>
    <row r="267">
      <c r="A267" s="3" t="inlineStr">
        <is>
          <t>HSBC HKD Savings Account</t>
        </is>
      </c>
      <c r="B267" s="4" t="n">
        <v>46032</v>
      </c>
      <c r="C267" s="3" t="inlineStr">
        <is>
          <t>CR TO 015-495500-292 N10991639332(09JAN26)</t>
        </is>
      </c>
      <c r="D267" s="5" t="n"/>
      <c r="E267" s="6" t="n">
        <v>14120</v>
      </c>
      <c r="F267" s="7" t="n"/>
      <c r="G267" s="8">
        <f>IF(AND(D267="",E267=""),F267,G266+IF(D267="",0,D267)-IF(E267="",0,E267))</f>
        <v/>
      </c>
    </row>
    <row r="268">
      <c r="A268" s="3" t="inlineStr">
        <is>
          <t>HSBC HKD Savings Account</t>
        </is>
      </c>
      <c r="B268" s="4" t="n">
        <v>46032</v>
      </c>
      <c r="C268" s="3" t="inlineStr">
        <is>
          <t>CHARGES HC12610925736224 09JAN</t>
        </is>
      </c>
      <c r="D268" s="5" t="n"/>
      <c r="E268" s="6" t="n">
        <v>5</v>
      </c>
      <c r="F268" s="7" t="n"/>
      <c r="G268" s="8">
        <f>IF(AND(D268="",E268=""),F268,G267+IF(D268="",0,D268)-IF(E268="",0,E268))</f>
        <v/>
      </c>
    </row>
    <row r="269">
      <c r="A269" s="3" t="inlineStr">
        <is>
          <t>HSBC HKD Savings Account</t>
        </is>
      </c>
      <c r="B269" s="4" t="n">
        <v>46032</v>
      </c>
      <c r="C269" s="3" t="inlineStr">
        <is>
          <t>CHAU K** Y** HC12610925736224 09JAN</t>
        </is>
      </c>
      <c r="D269" s="5" t="n"/>
      <c r="E269" s="6" t="n">
        <v>8300</v>
      </c>
      <c r="F269" s="7" t="n"/>
      <c r="G269" s="8">
        <f>IF(AND(D269="",E269=""),F269,G268+IF(D269="",0,D269)-IF(E269="",0,E269))</f>
        <v/>
      </c>
    </row>
    <row r="270">
      <c r="A270" s="3" t="inlineStr">
        <is>
          <t>HSBC HKD Savings Account</t>
        </is>
      </c>
      <c r="B270" s="4" t="n">
        <v>46032</v>
      </c>
      <c r="C270" s="3" t="inlineStr">
        <is>
          <t>CHARGES HC12610925751525 09JAN</t>
        </is>
      </c>
      <c r="D270" s="5" t="n"/>
      <c r="E270" s="6" t="n">
        <v>5</v>
      </c>
      <c r="F270" s="7" t="n"/>
      <c r="G270" s="8">
        <f>IF(AND(D270="",E270=""),F270,G269+IF(D270="",0,D270)-IF(E270="",0,E270))</f>
        <v/>
      </c>
    </row>
    <row r="271">
      <c r="A271" s="3" t="inlineStr">
        <is>
          <t>HSBC HKD Savings Account</t>
        </is>
      </c>
      <c r="B271" s="4" t="n">
        <v>46032</v>
      </c>
      <c r="C271" s="3" t="inlineStr">
        <is>
          <t>PANG T** C**** HC12610925751525 09JAN</t>
        </is>
      </c>
      <c r="D271" s="5" t="n"/>
      <c r="E271" s="6" t="n">
        <v>8400</v>
      </c>
      <c r="F271" s="7" t="n"/>
      <c r="G271" s="8">
        <f>IF(AND(D271="",E271=""),F271,G270+IF(D271="",0,D271)-IF(E271="",0,E271))</f>
        <v/>
      </c>
    </row>
    <row r="272">
      <c r="A272" s="3" t="inlineStr">
        <is>
          <t>HSBC HKD Savings Account</t>
        </is>
      </c>
      <c r="B272" s="4" t="n">
        <v>46032</v>
      </c>
      <c r="C272" s="3" t="inlineStr">
        <is>
          <t>CR TO 058-637554-833 N10991662342(09JAN26)</t>
        </is>
      </c>
      <c r="D272" s="5" t="n"/>
      <c r="E272" s="6" t="n">
        <v>19300</v>
      </c>
      <c r="F272" s="7" t="n">
        <v>91171.00999999999</v>
      </c>
      <c r="G272" s="8">
        <f>IF(AND(D272="",E272=""),F272,G271+IF(D272="",0,D272)-IF(E272="",0,E272))</f>
        <v/>
      </c>
    </row>
    <row r="273">
      <c r="A273" s="3" t="inlineStr">
        <is>
          <t>HSBC HKD Savings Account</t>
        </is>
      </c>
      <c r="B273" s="4" t="n">
        <v>46035</v>
      </c>
      <c r="C273" s="3" t="inlineStr">
        <is>
          <t>ATM WITHDRAWAL (13JAN26)</t>
        </is>
      </c>
      <c r="D273" s="5" t="n"/>
      <c r="E273" s="6" t="n">
        <v>20000</v>
      </c>
      <c r="F273" s="7" t="n"/>
      <c r="G273" s="8">
        <f>IF(AND(D273="",E273=""),F273,G272+IF(D273="",0,D273)-IF(E273="",0,E273))</f>
        <v/>
      </c>
    </row>
    <row r="274">
      <c r="A274" s="3" t="inlineStr">
        <is>
          <t>HSBC HKD Savings Account</t>
        </is>
      </c>
      <c r="B274" s="4" t="n">
        <v>46035</v>
      </c>
      <c r="C274" s="3" t="inlineStr">
        <is>
          <t>ATM WITHDRAWAL (13JAN26)</t>
        </is>
      </c>
      <c r="D274" s="5" t="n"/>
      <c r="E274" s="6" t="n">
        <v>20000</v>
      </c>
      <c r="F274" s="7" t="n">
        <v>51171.01</v>
      </c>
      <c r="G274" s="8">
        <f>IF(AND(D274="",E274=""),F274,G273+IF(D274="",0,D274)-IF(E274="",0,E274))</f>
        <v/>
      </c>
    </row>
    <row r="275">
      <c r="A275" s="3" t="inlineStr">
        <is>
          <t>HSBC HKD Savings Account</t>
        </is>
      </c>
      <c r="B275" s="4" t="n">
        <v>46036</v>
      </c>
      <c r="C275" s="3" t="inlineStr">
        <is>
          <t>CHUNG PAK KIN HC12611438855268 14JAN</t>
        </is>
      </c>
      <c r="D275" s="5" t="n">
        <v>2800</v>
      </c>
      <c r="E275" s="6" t="n"/>
      <c r="F275" s="7" t="n">
        <v>53971.01</v>
      </c>
      <c r="G275" s="8">
        <f>IF(AND(D275="",E275=""),F275,G274+IF(D275="",0,D275)-IF(E275="",0,E275))</f>
        <v/>
      </c>
    </row>
    <row r="276">
      <c r="A276" s="3" t="inlineStr">
        <is>
          <t>HSBC HKD Savings Account</t>
        </is>
      </c>
      <c r="B276" s="4" t="n">
        <v>46041</v>
      </c>
      <c r="C276" s="3" t="inlineStr">
        <is>
          <t>LAI KWAI FONG HC12611850951434 18JAN</t>
        </is>
      </c>
      <c r="D276" s="5" t="n">
        <v>3600</v>
      </c>
      <c r="E276" s="6" t="n"/>
      <c r="F276" s="7" t="n"/>
      <c r="G276" s="8">
        <f>IF(AND(D276="",E276=""),F276,G275+IF(D276="",0,D276)-IF(E276="",0,E276))</f>
        <v/>
      </c>
    </row>
    <row r="277">
      <c r="A277" s="3" t="inlineStr">
        <is>
          <t>HSBC HKD Savings Account</t>
        </is>
      </c>
      <c r="B277" s="4" t="n">
        <v>46041</v>
      </c>
      <c r="C277" s="3" t="inlineStr">
        <is>
          <t>ADAMANT (HK) LTD N11824837738(18JAN26)</t>
        </is>
      </c>
      <c r="D277" s="5" t="n">
        <v>8160</v>
      </c>
      <c r="E277" s="6" t="n"/>
      <c r="F277" s="7" t="n">
        <v>65731.00999999999</v>
      </c>
      <c r="G277" s="8">
        <f>IF(AND(D277="",E277=""),F277,G276+IF(D277="",0,D277)-IF(E277="",0,E277))</f>
        <v/>
      </c>
    </row>
    <row r="278">
      <c r="A278" s="3" t="inlineStr">
        <is>
          <t>HSBC HKD Savings Account</t>
        </is>
      </c>
      <c r="B278" s="4" t="n">
        <v>46043</v>
      </c>
      <c r="C278" s="3" t="inlineStr">
        <is>
          <t>ATM WITHDRAWAL (21JAN26)</t>
        </is>
      </c>
      <c r="D278" s="5" t="n"/>
      <c r="E278" s="6" t="n">
        <v>8000</v>
      </c>
      <c r="F278" s="7" t="n">
        <v>57731.01</v>
      </c>
      <c r="G278" s="8">
        <f>IF(AND(D278="",E278=""),F278,G277+IF(D278="",0,D278)-IF(E278="",0,E278))</f>
        <v/>
      </c>
    </row>
    <row r="279">
      <c r="A279" s="3" t="inlineStr">
        <is>
          <t>HSBC HKD Savings Account</t>
        </is>
      </c>
      <c r="B279" s="4" t="n">
        <v>46044</v>
      </c>
      <c r="C279" s="3" t="inlineStr">
        <is>
          <t>CHARGES HC12612264295443 22JAN</t>
        </is>
      </c>
      <c r="D279" s="5" t="n"/>
      <c r="E279" s="6" t="n">
        <v>5</v>
      </c>
      <c r="F279" s="7" t="n"/>
      <c r="G279" s="8">
        <f>IF(AND(D279="",E279=""),F279,G278+IF(D279="",0,D279)-IF(E279="",0,E279))</f>
        <v/>
      </c>
    </row>
    <row r="280">
      <c r="A280" s="3" t="inlineStr">
        <is>
          <t>HSBC HKD Savings Account</t>
        </is>
      </c>
      <c r="B280" s="4" t="n">
        <v>46044</v>
      </c>
      <c r="C280" s="3" t="inlineStr">
        <is>
          <t>TANG S** K** HC12612264295443 22JAN</t>
        </is>
      </c>
      <c r="D280" s="5" t="n"/>
      <c r="E280" s="6" t="n">
        <v>10</v>
      </c>
      <c r="F280" s="7" t="n"/>
      <c r="G280" s="8">
        <f>IF(AND(D280="",E280=""),F280,G279+IF(D280="",0,D280)-IF(E280="",0,E280))</f>
        <v/>
      </c>
    </row>
    <row r="281">
      <c r="A281" s="3" t="inlineStr">
        <is>
          <t>HSBC HKD Savings Account</t>
        </is>
      </c>
      <c r="B281" s="4" t="n">
        <v>46044</v>
      </c>
      <c r="C281" s="3" t="inlineStr">
        <is>
          <t>CHARGES HC12612264300457 22JAN</t>
        </is>
      </c>
      <c r="D281" s="5" t="n"/>
      <c r="E281" s="6" t="n">
        <v>5</v>
      </c>
      <c r="F281" s="7" t="n"/>
      <c r="G281" s="8">
        <f>IF(AND(D281="",E281=""),F281,G280+IF(D281="",0,D281)-IF(E281="",0,E281))</f>
        <v/>
      </c>
    </row>
    <row r="282">
      <c r="A282" s="3" t="inlineStr">
        <is>
          <t>HSBC HKD Savings Account</t>
        </is>
      </c>
      <c r="B282" s="4" t="n">
        <v>46044</v>
      </c>
      <c r="C282" s="3" t="inlineStr">
        <is>
          <t>TANG SAI KIN HC12612264300457 22JAN</t>
        </is>
      </c>
      <c r="D282" s="5" t="n"/>
      <c r="E282" s="6" t="n">
        <v>5990</v>
      </c>
      <c r="F282" s="7" t="n">
        <v>51721.01</v>
      </c>
      <c r="G282" s="8">
        <f>IF(AND(D282="",E282=""),F282,G281+IF(D282="",0,D282)-IF(E282="",0,E282))</f>
        <v/>
      </c>
    </row>
    <row r="283">
      <c r="A283" s="3" t="inlineStr">
        <is>
          <t>HSBC HKD Savings Account</t>
        </is>
      </c>
      <c r="B283" s="4" t="n">
        <v>46048</v>
      </c>
      <c r="C283" s="3" t="inlineStr">
        <is>
          <t>ATM BILPYT (26JAN26) TRAFFIC TICKETS</t>
        </is>
      </c>
      <c r="D283" s="5" t="n"/>
      <c r="E283" s="6" t="n">
        <v>400</v>
      </c>
      <c r="F283" s="7" t="n"/>
      <c r="G283" s="8">
        <f>IF(AND(D283="",E283=""),F283,G282+IF(D283="",0,D283)-IF(E283="",0,E283))</f>
        <v/>
      </c>
    </row>
    <row r="284">
      <c r="A284" s="3" t="inlineStr">
        <is>
          <t>HSBC HKD Savings Account</t>
        </is>
      </c>
      <c r="B284" s="4" t="n">
        <v>46048</v>
      </c>
      <c r="C284" s="3" t="inlineStr">
        <is>
          <t>ATM WITHDRAWAL (26JAN26)</t>
        </is>
      </c>
      <c r="D284" s="5" t="n"/>
      <c r="E284" s="6" t="n">
        <v>4900</v>
      </c>
      <c r="F284" s="7" t="n"/>
      <c r="G284" s="8">
        <f>IF(AND(D284="",E284=""),F284,G283+IF(D284="",0,D284)-IF(E284="",0,E284))</f>
        <v/>
      </c>
    </row>
    <row r="285">
      <c r="A285" s="3" t="inlineStr">
        <is>
          <t>HSBC HKD Savings Account</t>
        </is>
      </c>
      <c r="B285" s="4" t="n">
        <v>46048</v>
      </c>
      <c r="C285" s="3" t="inlineStr">
        <is>
          <t>LING MAN YEE EDMUND HC12612469824615 24JAN</t>
        </is>
      </c>
      <c r="D285" s="5" t="n">
        <v>740</v>
      </c>
      <c r="E285" s="6" t="n"/>
      <c r="F285" s="7" t="n"/>
      <c r="G285" s="8">
        <f>IF(AND(D285="",E285=""),F285,G284+IF(D285="",0,D285)-IF(E285="",0,E285))</f>
        <v/>
      </c>
    </row>
    <row r="286">
      <c r="A286" s="3" t="inlineStr">
        <is>
          <t>HSBC HKD Savings Account</t>
        </is>
      </c>
      <c r="B286" s="4" t="n">
        <v>46048</v>
      </c>
      <c r="C286" s="3" t="inlineStr">
        <is>
          <t>POLE BEAT LIMITED ATM TRANSFER (24JAN26)</t>
        </is>
      </c>
      <c r="D286" s="5" t="n">
        <v>13440</v>
      </c>
      <c r="E286" s="6" t="n"/>
      <c r="F286" s="7" t="n">
        <v>60601.01</v>
      </c>
      <c r="G286" s="8">
        <f>IF(AND(D286="",E286=""),F286,G285+IF(D286="",0,D286)-IF(E286="",0,E286))</f>
        <v/>
      </c>
    </row>
    <row r="287">
      <c r="A287" s="3" t="inlineStr">
        <is>
          <t>HSBC HKD Savings Account</t>
        </is>
      </c>
      <c r="B287" s="4" t="n">
        <v>46050</v>
      </c>
      <c r="C287" s="3" t="inlineStr">
        <is>
          <t>CREDIT INTEREST</t>
        </is>
      </c>
      <c r="D287" s="5" t="n">
        <v>0.06</v>
      </c>
      <c r="E287" s="6" t="n"/>
      <c r="F287" s="7" t="n">
        <v>60601.07</v>
      </c>
      <c r="G287" s="8">
        <f>IF(AND(D287="",E287=""),F287,G286+IF(D287="",0,D287)-IF(E287="",0,E287))</f>
        <v/>
      </c>
    </row>
    <row r="288">
      <c r="A288" s="3" t="inlineStr">
        <is>
          <t>HSBC HKD Savings Account</t>
        </is>
      </c>
      <c r="B288" s="4" t="n">
        <v>46052</v>
      </c>
      <c r="C288" s="3" t="inlineStr">
        <is>
          <t>MR YEUNG LEONG SING HC12613088958708 30JAN</t>
        </is>
      </c>
      <c r="D288" s="5" t="n">
        <v>5450</v>
      </c>
      <c r="E288" s="6" t="n"/>
      <c r="F288" s="7" t="n">
        <v>66051.07000000001</v>
      </c>
      <c r="G288" s="8">
        <f>IF(AND(D288="",E288=""),F288,G287+IF(D288="",0,D288)-IF(E288="",0,E288))</f>
        <v/>
      </c>
    </row>
    <row r="289">
      <c r="A289" s="3" t="inlineStr">
        <is>
          <t>HSBC HKD Savings Account</t>
        </is>
      </c>
      <c r="B289" s="4" t="n">
        <v>46057</v>
      </c>
      <c r="C289" s="3" t="inlineStr">
        <is>
          <t>LING MAN YEE EDMUND HC12620409034349 04FEB</t>
        </is>
      </c>
      <c r="D289" s="5" t="n">
        <v>8632</v>
      </c>
      <c r="E289" s="6" t="n"/>
      <c r="F289" s="7" t="n">
        <v>74683.07000000001</v>
      </c>
      <c r="G289" s="8">
        <f>IF(AND(D289="",E289=""),F289,G288+IF(D289="",0,D289)-IF(E289="",0,E289))</f>
        <v/>
      </c>
    </row>
    <row r="290">
      <c r="A290" s="3" t="inlineStr">
        <is>
          <t>HSBC HKD Savings Account</t>
        </is>
      </c>
      <c r="B290" s="4" t="n">
        <v>46063</v>
      </c>
      <c r="C290" s="3" t="inlineStr">
        <is>
          <t>DAIKIN AIRCONDITIONI HC12621027890571 10FEB</t>
        </is>
      </c>
      <c r="D290" s="5" t="n">
        <v>55060</v>
      </c>
      <c r="E290" s="6" t="n"/>
      <c r="F290" s="7" t="n"/>
      <c r="G290" s="8">
        <f>IF(AND(D290="",E290=""),F290,G289+IF(D290="",0,D290)-IF(E290="",0,E290))</f>
        <v/>
      </c>
    </row>
    <row r="291">
      <c r="A291" s="3" t="inlineStr">
        <is>
          <t>HSBC HKD Savings Account</t>
        </is>
      </c>
      <c r="B291" s="4" t="n">
        <v>46063</v>
      </c>
      <c r="C291" s="3" t="inlineStr">
        <is>
          <t>CR TO 015-495500-292 N21019171855(10FEB26)</t>
        </is>
      </c>
      <c r="D291" s="5" t="n"/>
      <c r="E291" s="6" t="n">
        <v>10500</v>
      </c>
      <c r="F291" s="7" t="n"/>
      <c r="G291" s="8">
        <f>IF(AND(D291="",E291=""),F291,G290+IF(D291="",0,D291)-IF(E291="",0,E291))</f>
        <v/>
      </c>
    </row>
    <row r="292">
      <c r="A292" s="3" t="inlineStr">
        <is>
          <t>HSBC HKD Savings Account</t>
        </is>
      </c>
      <c r="B292" s="4" t="n">
        <v>46063</v>
      </c>
      <c r="C292" s="3" t="inlineStr">
        <is>
          <t>CHARGES HC12621029426958 10FEB</t>
        </is>
      </c>
      <c r="D292" s="5" t="n"/>
      <c r="E292" s="6" t="n">
        <v>5</v>
      </c>
      <c r="F292" s="7" t="n"/>
      <c r="G292" s="8">
        <f>IF(AND(D292="",E292=""),F292,G291+IF(D292="",0,D292)-IF(E292="",0,E292))</f>
        <v/>
      </c>
    </row>
    <row r="293">
      <c r="A293" s="3" t="inlineStr">
        <is>
          <t>HSBC HKD Savings Account</t>
        </is>
      </c>
      <c r="B293" s="4" t="n">
        <v>46063</v>
      </c>
      <c r="C293" s="3" t="inlineStr">
        <is>
          <t>PANG T** C**** HC12621029426958 10FEB</t>
        </is>
      </c>
      <c r="D293" s="5" t="n"/>
      <c r="E293" s="6" t="n">
        <v>4800</v>
      </c>
      <c r="F293" s="7" t="n"/>
      <c r="G293" s="8">
        <f>IF(AND(D293="",E293=""),F293,G292+IF(D293="",0,D293)-IF(E293="",0,E293))</f>
        <v/>
      </c>
    </row>
    <row r="294">
      <c r="A294" s="3" t="inlineStr">
        <is>
          <t>HSBC HKD Savings Account</t>
        </is>
      </c>
      <c r="B294" s="4" t="n">
        <v>46063</v>
      </c>
      <c r="C294" s="3" t="inlineStr">
        <is>
          <t>CR TO 509-1-022722 N21019176856(10FEB26)</t>
        </is>
      </c>
      <c r="D294" s="5" t="n"/>
      <c r="E294" s="6" t="n">
        <v>20000</v>
      </c>
      <c r="F294" s="7" t="n"/>
      <c r="G294" s="8">
        <f>IF(AND(D294="",E294=""),F294,G293+IF(D294="",0,D294)-IF(E294="",0,E294))</f>
        <v/>
      </c>
    </row>
    <row r="295">
      <c r="A295" s="3" t="inlineStr">
        <is>
          <t>HSBC HKD Savings Account</t>
        </is>
      </c>
      <c r="B295" s="4" t="n">
        <v>46063</v>
      </c>
      <c r="C295" s="3" t="inlineStr">
        <is>
          <t>CR TO 058-637554-833 N21019178957(10FEB26)</t>
        </is>
      </c>
      <c r="D295" s="5" t="n"/>
      <c r="E295" s="6" t="n">
        <v>19300</v>
      </c>
      <c r="F295" s="7" t="n">
        <v>75138.07000000001</v>
      </c>
      <c r="G295" s="8">
        <f>IF(AND(D295="",E295=""),F295,G294+IF(D295="",0,D295)-IF(E295="",0,E295))</f>
        <v/>
      </c>
    </row>
    <row r="296">
      <c r="A296" s="3" t="inlineStr">
        <is>
          <t>HSBC HKD Savings Account</t>
        </is>
      </c>
      <c r="B296" s="4" t="n">
        <v>46065</v>
      </c>
      <c r="C296" s="3" t="inlineStr">
        <is>
          <t>ATM WITHDRAWAL (12FEB26)</t>
        </is>
      </c>
      <c r="D296" s="5" t="n"/>
      <c r="E296" s="6" t="n">
        <v>20000</v>
      </c>
      <c r="F296" s="7" t="n"/>
      <c r="G296" s="8">
        <f>IF(AND(D296="",E296=""),F296,G295+IF(D296="",0,D296)-IF(E296="",0,E296))</f>
        <v/>
      </c>
    </row>
    <row r="297">
      <c r="A297" s="3" t="inlineStr">
        <is>
          <t>HSBC HKD Savings Account</t>
        </is>
      </c>
      <c r="B297" s="4" t="n">
        <v>46065</v>
      </c>
      <c r="C297" s="3" t="inlineStr">
        <is>
          <t>ATM WITHDRAWAL (12FEB26)</t>
        </is>
      </c>
      <c r="D297" s="5" t="n"/>
      <c r="E297" s="6" t="n">
        <v>20000</v>
      </c>
      <c r="F297" s="7" t="n">
        <v>35138.07</v>
      </c>
      <c r="G297" s="8">
        <f>IF(AND(D297="",E297=""),F297,G296+IF(D297="",0,D297)-IF(E297="",0,E297))</f>
        <v/>
      </c>
    </row>
    <row r="298">
      <c r="A298" s="3" t="inlineStr">
        <is>
          <t>HSBC HKD Savings Account</t>
        </is>
      </c>
      <c r="B298" s="4" t="n">
        <v>46066</v>
      </c>
      <c r="C298" s="3" t="inlineStr">
        <is>
          <t>PRINCIPAL TR CO(ASIA SD259529 13FEB</t>
        </is>
      </c>
      <c r="D298" s="5" t="n"/>
      <c r="E298" s="6" t="n">
        <v>710</v>
      </c>
      <c r="F298" s="7" t="n"/>
      <c r="G298" s="8">
        <f>IF(AND(D298="",E298=""),F298,G297+IF(D298="",0,D298)-IF(E298="",0,E298))</f>
        <v/>
      </c>
    </row>
    <row r="299">
      <c r="A299" s="3" t="inlineStr">
        <is>
          <t>HSBC HKD Savings Account</t>
        </is>
      </c>
      <c r="B299" s="4" t="n">
        <v>46066</v>
      </c>
      <c r="C299" s="3" t="inlineStr">
        <is>
          <t>HONG KONG P COUNCIL TVP GRANTP 6</t>
        </is>
      </c>
      <c r="D299" s="5" t="n">
        <v>212250</v>
      </c>
      <c r="E299" s="6" t="n"/>
      <c r="F299" s="7" t="n"/>
      <c r="G299" s="8">
        <f>IF(AND(D299="",E299=""),F299,G298+IF(D299="",0,D299)-IF(E299="",0,E299))</f>
        <v/>
      </c>
    </row>
    <row r="300">
      <c r="A300" s="3" t="inlineStr">
        <is>
          <t>HSBC HKD Savings Account</t>
        </is>
      </c>
      <c r="B300" s="4" t="n">
        <v>46066</v>
      </c>
      <c r="C300" s="3" t="inlineStr">
        <is>
          <t>CHARGES HC12621338089665 13FEB</t>
        </is>
      </c>
      <c r="D300" s="5" t="n"/>
      <c r="E300" s="6" t="n">
        <v>5</v>
      </c>
      <c r="F300" s="7" t="n"/>
      <c r="G300" s="8">
        <f>IF(AND(D300="",E300=""),F300,G299+IF(D300="",0,D300)-IF(E300="",0,E300))</f>
        <v/>
      </c>
    </row>
    <row r="301">
      <c r="A301" s="3" t="inlineStr">
        <is>
          <t>HSBC HKD Savings Account</t>
        </is>
      </c>
      <c r="B301" s="4" t="n">
        <v>46066</v>
      </c>
      <c r="C301" s="3" t="inlineStr">
        <is>
          <t>CHAU K** Y** HC12621338089665 13FEB</t>
        </is>
      </c>
      <c r="D301" s="5" t="n"/>
      <c r="E301" s="6" t="n">
        <v>8300</v>
      </c>
      <c r="F301" s="7" t="n">
        <v>238373.07</v>
      </c>
      <c r="G301" s="8">
        <f>IF(AND(D301="",E301=""),F301,G300+IF(D301="",0,D301)-IF(E301="",0,E301))</f>
        <v/>
      </c>
    </row>
    <row r="302">
      <c r="A302" s="3" t="inlineStr">
        <is>
          <t>HSBC HKD Savings Account</t>
        </is>
      </c>
      <c r="B302" s="4" t="n">
        <v>46067</v>
      </c>
      <c r="C302" s="3" t="inlineStr">
        <is>
          <t>CR TO 521-101550-001 N21434209823(14FEB26)</t>
        </is>
      </c>
      <c r="D302" s="5" t="n"/>
      <c r="E302" s="6" t="n">
        <v>100000</v>
      </c>
      <c r="F302" s="7" t="n"/>
      <c r="G302" s="8">
        <f>IF(AND(D302="",E302=""),F302,G301+IF(D302="",0,D302)-IF(E302="",0,E302))</f>
        <v/>
      </c>
    </row>
    <row r="303">
      <c r="A303" s="3" t="inlineStr">
        <is>
          <t>HSBC HKD Savings Account</t>
        </is>
      </c>
      <c r="B303" s="4" t="n">
        <v>46067</v>
      </c>
      <c r="C303" s="3" t="inlineStr">
        <is>
          <t>LET IT CONNECT INTER HC12621441977399 14FEB</t>
        </is>
      </c>
      <c r="D303" s="5" t="n"/>
      <c r="E303" s="6" t="n">
        <v>81625</v>
      </c>
      <c r="F303" s="7" t="n">
        <v>56748.07</v>
      </c>
      <c r="G303" s="8">
        <f>IF(AND(D303="",E303=""),F303,G302+IF(D303="",0,D303)-IF(E303="",0,E303))</f>
        <v/>
      </c>
    </row>
    <row r="304">
      <c r="A304" s="3" t="inlineStr">
        <is>
          <t>HSBC HKD Savings Account</t>
        </is>
      </c>
      <c r="B304" s="4" t="n">
        <v>46069</v>
      </c>
      <c r="C304" s="3" t="inlineStr">
        <is>
          <t>LING MAN YEE EDMUND HC12621647544457 16FEB</t>
        </is>
      </c>
      <c r="D304" s="5" t="n">
        <v>1865</v>
      </c>
      <c r="E304" s="6" t="n"/>
      <c r="F304" s="7" t="n"/>
      <c r="G304" s="8">
        <f>IF(AND(D304="",E304=""),F304,G303+IF(D304="",0,D304)-IF(E304="",0,E304))</f>
        <v/>
      </c>
    </row>
    <row r="305">
      <c r="A305" s="3" t="inlineStr">
        <is>
          <t>HSBC HKD Savings Account</t>
        </is>
      </c>
      <c r="B305" s="4" t="n">
        <v>46069</v>
      </c>
      <c r="C305" s="3" t="inlineStr">
        <is>
          <t>ATM WITHDRAWAL (15FEB26)</t>
        </is>
      </c>
      <c r="D305" s="5" t="n"/>
      <c r="E305" s="6" t="n">
        <v>10000</v>
      </c>
      <c r="F305" s="7" t="n"/>
      <c r="G305" s="8">
        <f>IF(AND(D305="",E305=""),F305,G304+IF(D305="",0,D305)-IF(E305="",0,E305))</f>
        <v/>
      </c>
    </row>
    <row r="306">
      <c r="A306" s="3" t="inlineStr">
        <is>
          <t>HSBC HKD Savings Account</t>
        </is>
      </c>
      <c r="B306" s="4" t="n">
        <v>46069</v>
      </c>
      <c r="C306" s="3" t="inlineStr">
        <is>
          <t>MR YEUNG CHUN TUNG HC12621442907665 14FEB</t>
        </is>
      </c>
      <c r="D306" s="5" t="n">
        <v>7500</v>
      </c>
      <c r="E306" s="6" t="n"/>
      <c r="F306" s="7" t="n">
        <v>56113.07</v>
      </c>
      <c r="G306" s="8">
        <f>IF(AND(D306="",E306=""),F306,G305+IF(D306="",0,D306)-IF(E306="",0,E306))</f>
        <v/>
      </c>
    </row>
    <row r="307">
      <c r="A307" s="3" t="inlineStr">
        <is>
          <t>HSBC HKD Savings Account</t>
        </is>
      </c>
      <c r="B307" s="4" t="n">
        <v>46081</v>
      </c>
      <c r="C307" s="3" t="inlineStr">
        <is>
          <t>CREDIT INTEREST</t>
        </is>
      </c>
      <c r="D307" s="5" t="n">
        <v>0.06</v>
      </c>
      <c r="E307" s="6" t="n"/>
      <c r="F307" s="7" t="n">
        <v>56113.13</v>
      </c>
      <c r="G307" s="8">
        <f>IF(AND(D307="",E307=""),F307,G306+IF(D307="",0,D307)-IF(E307="",0,E307))</f>
        <v/>
      </c>
    </row>
    <row r="308">
      <c r="A308" s="3" t="inlineStr">
        <is>
          <t>HSBC HKD Savings Account</t>
        </is>
      </c>
      <c r="B308" s="4" t="n">
        <v>46090</v>
      </c>
      <c r="C308" s="3" t="inlineStr">
        <is>
          <t>LING MAN YEE EDMUND HC12630914885269 09MAR</t>
        </is>
      </c>
      <c r="D308" s="5" t="n">
        <v>1450</v>
      </c>
      <c r="E308" s="6" t="n"/>
      <c r="F308" s="7" t="n">
        <v>57563.13</v>
      </c>
      <c r="G308" s="8">
        <f>IF(AND(D308="",E308=""),F308,G307+IF(D308="",0,D308)-IF(E308="",0,E308))</f>
        <v/>
      </c>
    </row>
    <row r="309">
      <c r="A309" s="3" t="inlineStr">
        <is>
          <t>HSBC HKD Savings Account</t>
        </is>
      </c>
      <c r="B309" s="4" t="n">
        <v>46091</v>
      </c>
      <c r="C309" s="3" t="inlineStr">
        <is>
          <t>DAIKIN AIRCONDITIONI HC12631016211570 10MAR</t>
        </is>
      </c>
      <c r="D309" s="5" t="n">
        <v>81740</v>
      </c>
      <c r="E309" s="6" t="n"/>
      <c r="F309" s="7" t="n"/>
      <c r="G309" s="8">
        <f>IF(AND(D309="",E309=""),F309,G308+IF(D309="",0,D309)-IF(E309="",0,E309))</f>
        <v/>
      </c>
    </row>
    <row r="310">
      <c r="A310" s="3" t="inlineStr">
        <is>
          <t>HSBC HKD Savings Account</t>
        </is>
      </c>
      <c r="B310" s="4" t="n">
        <v>46091</v>
      </c>
      <c r="C310" s="3" t="inlineStr">
        <is>
          <t>CR TO 058-637554-833 AXA (10MAR26)</t>
        </is>
      </c>
      <c r="D310" s="5" t="n"/>
      <c r="E310" s="6" t="n">
        <v>47205</v>
      </c>
      <c r="F310" s="7" t="n"/>
      <c r="G310" s="8">
        <f>IF(AND(D310="",E310=""),F310,G309+IF(D310="",0,D310)-IF(E310="",0,E310))</f>
        <v/>
      </c>
    </row>
    <row r="311">
      <c r="A311" s="3" t="inlineStr">
        <is>
          <t>HSBC HKD Savings Account</t>
        </is>
      </c>
      <c r="B311" s="4" t="n">
        <v>46091</v>
      </c>
      <c r="C311" s="3" t="inlineStr">
        <is>
          <t>CR TO 058-637554-833 N31027140322(10MAR26)</t>
        </is>
      </c>
      <c r="D311" s="5" t="n"/>
      <c r="E311" s="6" t="n">
        <v>19300</v>
      </c>
      <c r="F311" s="7" t="n"/>
      <c r="G311" s="8">
        <f>IF(AND(D311="",E311=""),F311,G310+IF(D311="",0,D311)-IF(E311="",0,E311))</f>
        <v/>
      </c>
    </row>
    <row r="312">
      <c r="A312" s="3" t="inlineStr">
        <is>
          <t>HSBC HKD Savings Account</t>
        </is>
      </c>
      <c r="B312" s="4" t="n">
        <v>46091</v>
      </c>
      <c r="C312" s="3" t="inlineStr">
        <is>
          <t>CR TO 058-637554-833 OCTOPUS (10MAR26)</t>
        </is>
      </c>
      <c r="D312" s="5" t="n"/>
      <c r="E312" s="6" t="n">
        <v>3600</v>
      </c>
      <c r="F312" s="7" t="n">
        <v>69198.13</v>
      </c>
      <c r="G312" s="8">
        <f>IF(AND(D312="",E312=""),F312,G311+IF(D312="",0,D312)-IF(E312="",0,E312))</f>
        <v/>
      </c>
    </row>
    <row r="313">
      <c r="A313" s="3" t="inlineStr">
        <is>
          <t>HSBC HKD Savings Account</t>
        </is>
      </c>
      <c r="B313" s="4" t="n">
        <v>46092</v>
      </c>
      <c r="C313" s="3" t="inlineStr">
        <is>
          <t>ATM WITHDRAWAL (11MAR26)</t>
        </is>
      </c>
      <c r="D313" s="5" t="n"/>
      <c r="E313" s="6" t="n">
        <v>20000</v>
      </c>
      <c r="F313" s="7" t="n"/>
      <c r="G313" s="8">
        <f>IF(AND(D313="",E313=""),F313,G312+IF(D313="",0,D313)-IF(E313="",0,E313))</f>
        <v/>
      </c>
    </row>
    <row r="314">
      <c r="A314" s="3" t="inlineStr">
        <is>
          <t>HSBC HKD Savings Account</t>
        </is>
      </c>
      <c r="B314" s="4" t="n">
        <v>46092</v>
      </c>
      <c r="C314" s="3" t="inlineStr">
        <is>
          <t>ATM WITHDRAWAL (11MAR26)</t>
        </is>
      </c>
      <c r="D314" s="5" t="n"/>
      <c r="E314" s="6" t="n">
        <v>20000</v>
      </c>
      <c r="F314" s="7" t="n">
        <v>29198.13</v>
      </c>
      <c r="G314" s="8">
        <f>IF(AND(D314="",E314=""),F314,G313+IF(D314="",0,D314)-IF(E314="",0,E314))</f>
        <v/>
      </c>
    </row>
    <row r="315">
      <c r="A315" s="3" t="inlineStr">
        <is>
          <t>HSBC HKD Savings Account</t>
        </is>
      </c>
      <c r="B315" s="4" t="n">
        <v>46093</v>
      </c>
      <c r="C315" s="3" t="inlineStr">
        <is>
          <t>CR TO 509-1-022722 N31132395652(11MAR26)</t>
        </is>
      </c>
      <c r="D315" s="5" t="n"/>
      <c r="E315" s="6" t="n">
        <v>20000</v>
      </c>
      <c r="F315" s="7" t="n"/>
      <c r="G315" s="8">
        <f>IF(AND(D315="",E315=""),F315,G314+IF(D315="",0,D315)-IF(E315="",0,E315))</f>
        <v/>
      </c>
    </row>
    <row r="316">
      <c r="A316" s="3" t="inlineStr">
        <is>
          <t>HSBC HKD Savings Account</t>
        </is>
      </c>
      <c r="B316" s="4" t="n">
        <v>46093</v>
      </c>
      <c r="C316" s="3" t="inlineStr">
        <is>
          <t>CR TO 015-495500-292 N31132400295(11MAR26)</t>
        </is>
      </c>
      <c r="D316" s="5" t="n"/>
      <c r="E316" s="6" t="n">
        <v>4200</v>
      </c>
      <c r="F316" s="7" t="n">
        <v>4998.13</v>
      </c>
      <c r="G316" s="8">
        <f>IF(AND(D316="",E316=""),F316,G315+IF(D316="",0,D316)-IF(E316="",0,E316))</f>
        <v/>
      </c>
    </row>
    <row r="317">
      <c r="A317" s="3" t="inlineStr">
        <is>
          <t>HSBC HKD Savings Account</t>
        </is>
      </c>
      <c r="B317" s="4" t="n">
        <v>46097</v>
      </c>
      <c r="C317" s="3" t="inlineStr">
        <is>
          <t>YUSHENG ENGINEERING HC12631530420588 15MAR</t>
        </is>
      </c>
      <c r="D317" s="5" t="n">
        <v>2000</v>
      </c>
      <c r="E317" s="6" t="n"/>
      <c r="F317" s="7" t="n">
        <v>6998.13</v>
      </c>
      <c r="G317" s="8">
        <f>IF(AND(D317="",E317=""),F317,G316+IF(D317="",0,D317)-IF(E317="",0,E317))</f>
        <v/>
      </c>
    </row>
    <row r="318">
      <c r="A318" s="3" t="inlineStr">
        <is>
          <t>HSBC HKD Savings Account</t>
        </is>
      </c>
      <c r="B318" s="4" t="n">
        <v>46101</v>
      </c>
      <c r="C318" s="3" t="inlineStr">
        <is>
          <t>KWOK CHING LAP HC12632046893486 20MAR</t>
        </is>
      </c>
      <c r="D318" s="5" t="n">
        <v>2000</v>
      </c>
      <c r="E318" s="6" t="n"/>
      <c r="F318" s="7" t="n">
        <v>8998.129999999999</v>
      </c>
      <c r="G318" s="8">
        <f>IF(AND(D318="",E318=""),F318,G317+IF(D318="",0,D318)-IF(E318="",0,E318))</f>
        <v/>
      </c>
    </row>
    <row r="319">
      <c r="A319" s="3" t="inlineStr">
        <is>
          <t>HSBC HKD Savings Account</t>
        </is>
      </c>
      <c r="B319" s="4" t="n">
        <v>46104</v>
      </c>
      <c r="C319" s="3" t="inlineStr">
        <is>
          <t>CHARGES HC12632254536732 22MAR</t>
        </is>
      </c>
      <c r="D319" s="5" t="n"/>
      <c r="E319" s="6" t="n">
        <v>5</v>
      </c>
      <c r="F319" s="7" t="n"/>
      <c r="G319" s="8">
        <f>IF(AND(D319="",E319=""),F319,G318+IF(D319="",0,D319)-IF(E319="",0,E319))</f>
        <v/>
      </c>
    </row>
    <row r="320">
      <c r="A320" s="3" t="inlineStr">
        <is>
          <t>HSBC HKD Savings Account</t>
        </is>
      </c>
      <c r="B320" s="4" t="n">
        <v>46104</v>
      </c>
      <c r="C320" s="3" t="inlineStr">
        <is>
          <t>CHAU K** Y** HC12632254536732 22MAR</t>
        </is>
      </c>
      <c r="D320" s="5" t="n"/>
      <c r="E320" s="6" t="n">
        <v>8300</v>
      </c>
      <c r="F320" s="7" t="n">
        <v>693.13</v>
      </c>
      <c r="G320" s="8">
        <f>IF(AND(D320="",E320=""),F320,G319+IF(D320="",0,D320)-IF(E320="",0,E320))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2026-06-23T05:59:45Z</dcterms:created>
  <dcterms:modified xsi:type="dcterms:W3CDTF">2026-06-23T05:59:46Z</dcterms:modified>
</cp:coreProperties>
</file>