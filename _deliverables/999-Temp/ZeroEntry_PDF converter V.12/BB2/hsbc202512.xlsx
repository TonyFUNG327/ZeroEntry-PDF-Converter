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BC HKD Current Account" sheetId="1" state="visible" r:id="rId1"/>
    <sheet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45985</v>
      </c>
      <c r="C2" s="3" t="inlineStr">
        <is>
          <t>B/F BALANCE</t>
        </is>
      </c>
      <c r="D2" s="5" t="n"/>
      <c r="E2" s="6" t="n"/>
      <c r="F2" s="7" t="n">
        <v>50001.19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45985</v>
      </c>
      <c r="C2" s="3" t="inlineStr">
        <is>
          <t>B/F BALANCE</t>
        </is>
      </c>
      <c r="D2" s="5" t="n"/>
      <c r="E2" s="6" t="n"/>
      <c r="F2" s="7" t="n">
        <v>28996.37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45989</v>
      </c>
      <c r="C3" s="3" t="inlineStr">
        <is>
          <t>CREDIT INTEREST</t>
        </is>
      </c>
      <c r="D3" s="5" t="n">
        <v>0.58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45989</v>
      </c>
      <c r="C4" s="3" t="inlineStr">
        <is>
          <t>YEUNG LEONG SING HC125B2892040414 28NOV</t>
        </is>
      </c>
      <c r="D4" s="5" t="n">
        <v>1500</v>
      </c>
      <c r="E4" s="6" t="n"/>
      <c r="F4" s="7" t="n">
        <v>30496.95</v>
      </c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45990</v>
      </c>
      <c r="C5" s="3" t="inlineStr">
        <is>
          <t>MR YEUNG CHUN TUNG HC125B2994404880 29NOV</t>
        </is>
      </c>
      <c r="D5" s="5" t="n">
        <v>7500</v>
      </c>
      <c r="E5" s="6" t="n"/>
      <c r="F5" s="7" t="n">
        <v>37996.95</v>
      </c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45992</v>
      </c>
      <c r="C6" s="3" t="inlineStr">
        <is>
          <t>WONG TSZ HO NC0136564783(01DEC25)</t>
        </is>
      </c>
      <c r="D6" s="5" t="n">
        <v>2000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45992</v>
      </c>
      <c r="C7" s="3" t="inlineStr">
        <is>
          <t>LING MAN YEE EDMUND HC125C0100078492 01DEC</t>
        </is>
      </c>
      <c r="D7" s="5" t="n">
        <v>3300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45992</v>
      </c>
      <c r="C8" s="3" t="inlineStr">
        <is>
          <t>KWOK CHING LAP HC125B3098246953 30NOV</t>
        </is>
      </c>
      <c r="D8" s="5" t="n">
        <v>2000</v>
      </c>
      <c r="E8" s="6" t="n"/>
      <c r="F8" s="7" t="n">
        <v>45296.95</v>
      </c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46000</v>
      </c>
      <c r="C9" s="3" t="inlineStr">
        <is>
          <t>YUSHENG ENGINEERING HC125C0926503713 09DEC</t>
        </is>
      </c>
      <c r="D9" s="5" t="n">
        <v>7000</v>
      </c>
      <c r="E9" s="6" t="n"/>
      <c r="F9" s="7" t="n">
        <v>52296.95</v>
      </c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46001</v>
      </c>
      <c r="C10" s="3" t="inlineStr">
        <is>
          <t>DAIKIN AIRCONDITIONI HC125C1030078207 10DEC</t>
        </is>
      </c>
      <c r="D10" s="5" t="n">
        <v>334430</v>
      </c>
      <c r="E10" s="6" t="n"/>
      <c r="F10" s="7" t="n">
        <v>386726.95</v>
      </c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46002</v>
      </c>
      <c r="C11" s="3" t="inlineStr">
        <is>
          <t>ATM WITHDRAWAL (11DEC25)</t>
        </is>
      </c>
      <c r="D11" s="5" t="n"/>
      <c r="E11" s="6" t="n">
        <v>20000</v>
      </c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46002</v>
      </c>
      <c r="C12" s="3" t="inlineStr">
        <is>
          <t>ATM WITHDRAWAL (11DEC25)</t>
        </is>
      </c>
      <c r="D12" s="5" t="n"/>
      <c r="E12" s="6" t="n">
        <v>20000</v>
      </c>
      <c r="F12" s="7" t="n"/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46002</v>
      </c>
      <c r="C13" s="3" t="inlineStr">
        <is>
          <t>ATM WITHDRAWAL (11DEC25)</t>
        </is>
      </c>
      <c r="D13" s="5" t="n"/>
      <c r="E13" s="6" t="n">
        <v>10000</v>
      </c>
      <c r="F13" s="7" t="n"/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46002</v>
      </c>
      <c r="C14" s="3" t="inlineStr">
        <is>
          <t>CHUNG PAK KIN HC125C1134718278 11DEC</t>
        </is>
      </c>
      <c r="D14" s="5" t="n">
        <v>1200</v>
      </c>
      <c r="E14" s="6" t="n"/>
      <c r="F14" s="7" t="n"/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46002</v>
      </c>
      <c r="C15" s="3" t="inlineStr">
        <is>
          <t>CHARGES HC125C1134882626 11DEC</t>
        </is>
      </c>
      <c r="D15" s="5" t="n"/>
      <c r="E15" s="6" t="n">
        <v>5</v>
      </c>
      <c r="F15" s="7" t="n"/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46002</v>
      </c>
      <c r="C16" s="3" t="inlineStr">
        <is>
          <t>KWOK C**** L** HC125C1134882626 11DEC</t>
        </is>
      </c>
      <c r="D16" s="5" t="n"/>
      <c r="E16" s="6" t="n">
        <v>100</v>
      </c>
      <c r="F16" s="7" t="n"/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46002</v>
      </c>
      <c r="C17" s="3" t="inlineStr">
        <is>
          <t>ATM WITHDRAWAL (10DEC25)</t>
        </is>
      </c>
      <c r="D17" s="5" t="n"/>
      <c r="E17" s="6" t="n">
        <v>20000</v>
      </c>
      <c r="F17" s="7" t="n"/>
      <c r="G17" s="8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46002</v>
      </c>
      <c r="C18" s="3" t="inlineStr">
        <is>
          <t>ATM WITHDRAWAL (10DEC25)</t>
        </is>
      </c>
      <c r="D18" s="5" t="n"/>
      <c r="E18" s="6" t="n">
        <v>20000</v>
      </c>
      <c r="F18" s="7" t="n"/>
      <c r="G18" s="8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46002</v>
      </c>
      <c r="C19" s="3" t="inlineStr">
        <is>
          <t>ATM WITHDRAWAL (10DEC25)</t>
        </is>
      </c>
      <c r="D19" s="5" t="n"/>
      <c r="E19" s="6" t="n">
        <v>10000</v>
      </c>
      <c r="F19" s="7" t="n"/>
      <c r="G19" s="8">
        <f>IF(AND(D19="",E19=""),F19,G18+IF(D19="",0,D19)-IF(E19="",0,E19))</f>
        <v/>
      </c>
    </row>
    <row r="20">
      <c r="A20" s="3" t="inlineStr">
        <is>
          <t>HSBC HKD Savings Account</t>
        </is>
      </c>
      <c r="B20" s="4" t="n">
        <v>46002</v>
      </c>
      <c r="C20" s="3" t="inlineStr">
        <is>
          <t>CR TO 058-637554-833 NC1077049607(10DEC25)</t>
        </is>
      </c>
      <c r="D20" s="5" t="n"/>
      <c r="E20" s="6" t="n">
        <v>19300</v>
      </c>
      <c r="F20" s="7" t="n"/>
      <c r="G20" s="8">
        <f>IF(AND(D20="",E20=""),F20,G19+IF(D20="",0,D20)-IF(E20="",0,E20))</f>
        <v/>
      </c>
    </row>
    <row r="21">
      <c r="A21" s="3" t="inlineStr">
        <is>
          <t>HSBC HKD Savings Account</t>
        </is>
      </c>
      <c r="B21" s="4" t="n">
        <v>46002</v>
      </c>
      <c r="C21" s="3" t="inlineStr">
        <is>
          <t>CR TO 509-1-022722 NC1077071413(10DEC25)</t>
        </is>
      </c>
      <c r="D21" s="5" t="n"/>
      <c r="E21" s="6" t="n">
        <v>45493</v>
      </c>
      <c r="F21" s="7" t="n">
        <v>223028.95</v>
      </c>
      <c r="G21" s="8">
        <f>IF(AND(D21="",E21=""),F21,G20+IF(D21="",0,D21)-IF(E21="",0,E21))</f>
        <v/>
      </c>
    </row>
    <row r="22">
      <c r="A22" s="3" t="inlineStr">
        <is>
          <t>HSBC HKD Savings Account</t>
        </is>
      </c>
      <c r="B22" s="4" t="n">
        <v>46003</v>
      </c>
      <c r="C22" s="3" t="inlineStr">
        <is>
          <t>CHARGES HC125C1135231226 11DEC</t>
        </is>
      </c>
      <c r="D22" s="5" t="n"/>
      <c r="E22" s="6" t="n">
        <v>5</v>
      </c>
      <c r="F22" s="7" t="n"/>
      <c r="G22" s="8">
        <f>IF(AND(D22="",E22=""),F22,G21+IF(D22="",0,D22)-IF(E22="",0,E22))</f>
        <v/>
      </c>
    </row>
    <row r="23">
      <c r="A23" s="3" t="inlineStr">
        <is>
          <t>HSBC HKD Savings Account</t>
        </is>
      </c>
      <c r="B23" s="4" t="n">
        <v>46003</v>
      </c>
      <c r="C23" s="3" t="inlineStr">
        <is>
          <t>KWOK C**** L** HC125C1135231226 11DEC</t>
        </is>
      </c>
      <c r="D23" s="5" t="n"/>
      <c r="E23" s="6" t="n">
        <v>38186</v>
      </c>
      <c r="F23" s="7" t="n">
        <v>184837.95</v>
      </c>
      <c r="G23" s="8">
        <f>IF(AND(D23="",E23=""),F23,G22+IF(D23="",0,D23)-IF(E23="",0,E23))</f>
        <v/>
      </c>
    </row>
    <row r="24">
      <c r="A24" s="3" t="inlineStr">
        <is>
          <t>HSBC HKD Savings Account</t>
        </is>
      </c>
      <c r="B24" s="4" t="n">
        <v>46004</v>
      </c>
      <c r="C24" s="3" t="inlineStr">
        <is>
          <t>CHARGES HC125C1238252409 12DEC</t>
        </is>
      </c>
      <c r="D24" s="5" t="n"/>
      <c r="E24" s="6" t="n">
        <v>5</v>
      </c>
      <c r="F24" s="7" t="n"/>
      <c r="G24" s="8">
        <f>IF(AND(D24="",E24=""),F24,G23+IF(D24="",0,D24)-IF(E24="",0,E24))</f>
        <v/>
      </c>
    </row>
    <row r="25">
      <c r="A25" s="3" t="inlineStr">
        <is>
          <t>HSBC HKD Savings Account</t>
        </is>
      </c>
      <c r="B25" s="4" t="n">
        <v>46004</v>
      </c>
      <c r="C25" s="3" t="inlineStr">
        <is>
          <t>KWOK C**** L** HC125C1238252409 12DEC</t>
        </is>
      </c>
      <c r="D25" s="5" t="n"/>
      <c r="E25" s="6" t="n">
        <v>48042</v>
      </c>
      <c r="F25" s="7" t="n">
        <v>136790.95</v>
      </c>
      <c r="G25" s="8">
        <f>IF(AND(D25="",E25=""),F25,G24+IF(D25="",0,D25)-IF(E25="",0,E25))</f>
        <v/>
      </c>
    </row>
    <row r="26">
      <c r="A26" s="3" t="inlineStr">
        <is>
          <t>HSBC HKD Savings Account</t>
        </is>
      </c>
      <c r="B26" s="4" t="n">
        <v>46006</v>
      </c>
      <c r="C26" s="3" t="inlineStr">
        <is>
          <t>PRINCIPAL TR CO(ASIA SD259529 15DEC</t>
        </is>
      </c>
      <c r="D26" s="5" t="n"/>
      <c r="E26" s="6" t="n">
        <v>710</v>
      </c>
      <c r="F26" s="7" t="n"/>
      <c r="G26" s="8">
        <f>IF(AND(D26="",E26=""),F26,G25+IF(D26="",0,D26)-IF(E26="",0,E26))</f>
        <v/>
      </c>
    </row>
    <row r="27">
      <c r="A27" s="3" t="inlineStr">
        <is>
          <t>HSBC HKD Savings Account</t>
        </is>
      </c>
      <c r="B27" s="4" t="n">
        <v>46006</v>
      </c>
      <c r="C27" s="3" t="inlineStr">
        <is>
          <t>LING MAN YEE EDMUND HC125C1442677864 14DEC</t>
        </is>
      </c>
      <c r="D27" s="5" t="n">
        <v>900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HSBC HKD Savings Account</t>
        </is>
      </c>
      <c r="B28" s="4" t="n">
        <v>46006</v>
      </c>
      <c r="C28" s="3" t="inlineStr">
        <is>
          <t>CR TO 015-495500-292 NC1490606972(14DEC25)</t>
        </is>
      </c>
      <c r="D28" s="5" t="n"/>
      <c r="E28" s="6" t="n">
        <v>42000</v>
      </c>
      <c r="F28" s="7" t="n">
        <v>94980.95</v>
      </c>
      <c r="G28" s="8">
        <f>IF(AND(D28="",E28=""),F28,G27+IF(D28="",0,D28)-IF(E28="",0,E28))</f>
        <v/>
      </c>
    </row>
    <row r="29">
      <c r="A29" s="3" t="inlineStr">
        <is>
          <t>HSBC HKD Savings Account</t>
        </is>
      </c>
      <c r="B29" s="4" t="n">
        <v>46007</v>
      </c>
      <c r="C29" s="3" t="inlineStr">
        <is>
          <t>29602928 CHEQUE DEPOSIT MACHINE (16DEC25)</t>
        </is>
      </c>
      <c r="D29" s="5" t="n">
        <v>4700</v>
      </c>
      <c r="E29" s="6" t="n"/>
      <c r="F29" s="7" t="n">
        <v>99680.95</v>
      </c>
      <c r="G29" s="8">
        <f>IF(AND(D29="",E29=""),F29,G28+IF(D29="",0,D29)-IF(E29="",0,E29))</f>
        <v/>
      </c>
    </row>
    <row r="30">
      <c r="A30" s="3" t="inlineStr">
        <is>
          <t>HSBC HKD Savings Account</t>
        </is>
      </c>
      <c r="B30" s="4" t="n">
        <v>46008</v>
      </c>
      <c r="C30" s="3" t="inlineStr">
        <is>
          <t>WONG CHUN YU HC125C1751948153 17DEC</t>
        </is>
      </c>
      <c r="D30" s="5" t="n">
        <v>3200</v>
      </c>
      <c r="E30" s="6" t="n"/>
      <c r="F30" s="7" t="n"/>
      <c r="G30" s="8">
        <f>IF(AND(D30="",E30=""),F30,G29+IF(D30="",0,D30)-IF(E30="",0,E30))</f>
        <v/>
      </c>
    </row>
    <row r="31">
      <c r="A31" s="3" t="inlineStr">
        <is>
          <t>HSBC HKD Savings Account</t>
        </is>
      </c>
      <c r="B31" s="4" t="n">
        <v>46008</v>
      </c>
      <c r="C31" s="3" t="inlineStr">
        <is>
          <t>CR TO 015-495500-292 NC1698478591(16DEC25)</t>
        </is>
      </c>
      <c r="D31" s="5" t="n"/>
      <c r="E31" s="6" t="n">
        <v>21925</v>
      </c>
      <c r="F31" s="7" t="n"/>
      <c r="G31" s="8">
        <f>IF(AND(D31="",E31=""),F31,G30+IF(D31="",0,D31)-IF(E31="",0,E31))</f>
        <v/>
      </c>
    </row>
    <row r="32">
      <c r="A32" s="3" t="inlineStr">
        <is>
          <t>HSBC HKD Savings Account</t>
        </is>
      </c>
      <c r="B32" s="4" t="n">
        <v>46008</v>
      </c>
      <c r="C32" s="3" t="inlineStr">
        <is>
          <t>CHARGES HC125C1649825428 16DEC</t>
        </is>
      </c>
      <c r="D32" s="5" t="n"/>
      <c r="E32" s="6" t="n">
        <v>5</v>
      </c>
      <c r="F32" s="7" t="n"/>
      <c r="G32" s="8">
        <f>IF(AND(D32="",E32=""),F32,G31+IF(D32="",0,D32)-IF(E32="",0,E32))</f>
        <v/>
      </c>
    </row>
    <row r="33">
      <c r="A33" s="3" t="inlineStr">
        <is>
          <t>HSBC HKD Savings Account</t>
        </is>
      </c>
      <c r="B33" s="4" t="n">
        <v>46008</v>
      </c>
      <c r="C33" s="3" t="inlineStr">
        <is>
          <t>DENNIS MAK CPA LIMIT HC125C1649825428 16DEC</t>
        </is>
      </c>
      <c r="D33" s="5" t="n"/>
      <c r="E33" s="6" t="n">
        <v>8700</v>
      </c>
      <c r="F33" s="7" t="n">
        <v>72250.95</v>
      </c>
      <c r="G33" s="8">
        <f>IF(AND(D33="",E33=""),F33,G32+IF(D33="",0,D33)-IF(E33="",0,E33))</f>
        <v/>
      </c>
    </row>
    <row r="34">
      <c r="A34" s="3" t="inlineStr">
        <is>
          <t>HSBC HKD Savings Account</t>
        </is>
      </c>
      <c r="B34" s="4" t="n">
        <v>46010</v>
      </c>
      <c r="C34" s="3" t="inlineStr">
        <is>
          <t>CHARGES HC125C1856001071 18DEC</t>
        </is>
      </c>
      <c r="D34" s="5" t="n"/>
      <c r="E34" s="6" t="n">
        <v>5</v>
      </c>
      <c r="F34" s="7" t="n"/>
      <c r="G34" s="8">
        <f>IF(AND(D34="",E34=""),F34,G33+IF(D34="",0,D34)-IF(E34="",0,E34))</f>
        <v/>
      </c>
    </row>
    <row r="35">
      <c r="A35" s="3" t="inlineStr">
        <is>
          <t>HSBC HKD Savings Account</t>
        </is>
      </c>
      <c r="B35" s="4" t="n">
        <v>46010</v>
      </c>
      <c r="C35" s="3" t="inlineStr">
        <is>
          <t>DM SECRETARY LIMITED HC125C1856001071 18DEC</t>
        </is>
      </c>
      <c r="D35" s="5" t="n"/>
      <c r="E35" s="6" t="n">
        <v>3805</v>
      </c>
      <c r="F35" s="7" t="n"/>
      <c r="G35" s="8">
        <f>IF(AND(D35="",E35=""),F35,G34+IF(D35="",0,D35)-IF(E35="",0,E35))</f>
        <v/>
      </c>
    </row>
    <row r="36">
      <c r="A36" s="3" t="inlineStr">
        <is>
          <t>HSBC HKD Savings Account</t>
        </is>
      </c>
      <c r="B36" s="4" t="n">
        <v>46010</v>
      </c>
      <c r="C36" s="3" t="inlineStr">
        <is>
          <t>CHARGES HC125C1856003225 18DEC</t>
        </is>
      </c>
      <c r="D36" s="5" t="n"/>
      <c r="E36" s="6" t="n">
        <v>5</v>
      </c>
      <c r="F36" s="7" t="n"/>
      <c r="G36" s="8">
        <f>IF(AND(D36="",E36=""),F36,G35+IF(D36="",0,D36)-IF(E36="",0,E36))</f>
        <v/>
      </c>
    </row>
    <row r="37">
      <c r="A37" s="3" t="inlineStr">
        <is>
          <t>HSBC HKD Savings Account</t>
        </is>
      </c>
      <c r="B37" s="4" t="n">
        <v>46010</v>
      </c>
      <c r="C37" s="3" t="inlineStr">
        <is>
          <t>CHAU K** Y** HC125C1856003225 18DEC</t>
        </is>
      </c>
      <c r="D37" s="5" t="n"/>
      <c r="E37" s="6" t="n">
        <v>8300</v>
      </c>
      <c r="F37" s="7" t="n">
        <v>60135.95</v>
      </c>
      <c r="G37" s="8">
        <f>IF(AND(D37="",E37=""),F37,G36+IF(D37="",0,D37)-IF(E37="",0,E37))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2026-06-23T05:59:30Z</dcterms:created>
  <dcterms:modified xsi:type="dcterms:W3CDTF">2026-06-23T05:59:30Z</dcterms:modified>
</cp:coreProperties>
</file>