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45892</v>
      </c>
      <c r="C2" s="3" t="inlineStr">
        <is>
          <t>B/F BALANCE</t>
        </is>
      </c>
      <c r="D2" s="5" t="n"/>
      <c r="E2" s="6" t="n"/>
      <c r="F2" s="7" t="n">
        <v>50081.19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45894</v>
      </c>
      <c r="C3" s="3" t="inlineStr">
        <is>
          <t>CHEQUE 121391</t>
        </is>
      </c>
      <c r="D3" s="5" t="n"/>
      <c r="E3" s="6" t="n">
        <v>110</v>
      </c>
      <c r="F3" s="7" t="n">
        <v>49971.19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45892</v>
      </c>
      <c r="C2" s="3" t="inlineStr">
        <is>
          <t>B/F BALANCE</t>
        </is>
      </c>
      <c r="D2" s="5" t="n"/>
      <c r="E2" s="6" t="n"/>
      <c r="F2" s="7" t="n">
        <v>62774.06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45894</v>
      </c>
      <c r="C3" s="3" t="inlineStr">
        <is>
          <t>ATM (25AUG25) TRANSFER 191-882901-001</t>
        </is>
      </c>
      <c r="D3" s="5" t="n"/>
      <c r="E3" s="6" t="n">
        <v>643.2</v>
      </c>
      <c r="F3" s="7" t="n"/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45894</v>
      </c>
      <c r="C4" s="3" t="inlineStr">
        <is>
          <t>CHARGES HC12582401973567 24AUG</t>
        </is>
      </c>
      <c r="D4" s="5" t="n"/>
      <c r="E4" s="6" t="n">
        <v>5</v>
      </c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45894</v>
      </c>
      <c r="C5" s="3" t="inlineStr">
        <is>
          <t>CHAU K** Y** HC12582401973567 24AUG</t>
        </is>
      </c>
      <c r="D5" s="5" t="n"/>
      <c r="E5" s="6" t="n">
        <v>8300</v>
      </c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45894</v>
      </c>
      <c r="C6" s="3" t="inlineStr">
        <is>
          <t>CHARGES HC12582401977875 24AUG</t>
        </is>
      </c>
      <c r="D6" s="5" t="n"/>
      <c r="E6" s="6" t="n">
        <v>5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45894</v>
      </c>
      <c r="C7" s="3" t="inlineStr">
        <is>
          <t>SINCERITY TRANSPORTA HC12582401977875 24AUG</t>
        </is>
      </c>
      <c r="D7" s="5" t="n"/>
      <c r="E7" s="6" t="n">
        <v>4500</v>
      </c>
      <c r="F7" s="7" t="n">
        <v>49320.86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45896</v>
      </c>
      <c r="C8" s="3" t="inlineStr">
        <is>
          <t>LING MAN YEE EDMUND HC12582608006685 26AUG</t>
        </is>
      </c>
      <c r="D8" s="5" t="n">
        <v>7700</v>
      </c>
      <c r="E8" s="6" t="n"/>
      <c r="F8" s="7" t="n">
        <v>57020.86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45897</v>
      </c>
      <c r="C9" s="3" t="inlineStr">
        <is>
          <t>CREDIT INTEREST</t>
        </is>
      </c>
      <c r="D9" s="5" t="n">
        <v>15.38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45897</v>
      </c>
      <c r="C10" s="3" t="inlineStr">
        <is>
          <t>WONG SIU WAI HC12582812763648 28AUG</t>
        </is>
      </c>
      <c r="D10" s="5" t="n">
        <v>1500</v>
      </c>
      <c r="E10" s="6" t="n"/>
      <c r="F10" s="7" t="n">
        <v>58536.24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45901</v>
      </c>
      <c r="C11" s="3" t="inlineStr">
        <is>
          <t>KWOK CHING LAP HC12583123137472 31AUG</t>
        </is>
      </c>
      <c r="D11" s="5" t="n">
        <v>2000</v>
      </c>
      <c r="E11" s="6" t="n"/>
      <c r="F11" s="7" t="n">
        <v>60536.24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45902</v>
      </c>
      <c r="C12" s="3" t="inlineStr">
        <is>
          <t>YEUNG LEONG SING HC12590127547542 01SEP</t>
        </is>
      </c>
      <c r="D12" s="5" t="n">
        <v>1200</v>
      </c>
      <c r="E12" s="6" t="n"/>
      <c r="F12" s="7" t="n">
        <v>61736.24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45903</v>
      </c>
      <c r="C13" s="3" t="inlineStr">
        <is>
          <t>MR CHAU CHUN KIN HC12590230988375 02SEP</t>
        </is>
      </c>
      <c r="D13" s="5" t="n">
        <v>4800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45903</v>
      </c>
      <c r="C14" s="3" t="inlineStr">
        <is>
          <t>CHARGES HC12590231049891 02SEP</t>
        </is>
      </c>
      <c r="D14" s="5" t="n"/>
      <c r="E14" s="6" t="n">
        <v>5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45903</v>
      </c>
      <c r="C15" s="3" t="inlineStr">
        <is>
          <t>WONG C**** M** HC12590231049891 02SEP</t>
        </is>
      </c>
      <c r="D15" s="5" t="n"/>
      <c r="E15" s="6" t="n">
        <v>5500</v>
      </c>
      <c r="F15" s="7" t="n">
        <v>61031.24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45904</v>
      </c>
      <c r="C16" s="3" t="inlineStr">
        <is>
          <t>MONTHLY SERVICE FEE</t>
        </is>
      </c>
      <c r="D16" s="5" t="n"/>
      <c r="E16" s="6" t="n">
        <v>200</v>
      </c>
      <c r="F16" s="7" t="n">
        <v>60831.24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45905</v>
      </c>
      <c r="C17" s="3" t="inlineStr">
        <is>
          <t>MING CHRISTOPHER Y H N90518282050(05SEP25)</t>
        </is>
      </c>
      <c r="D17" s="5" t="n">
        <v>6480</v>
      </c>
      <c r="E17" s="6" t="n"/>
      <c r="F17" s="7" t="n">
        <v>67311.24000000001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45906</v>
      </c>
      <c r="C18" s="3" t="inlineStr">
        <is>
          <t>LI MAN WA HC12590641524130 06SEP</t>
        </is>
      </c>
      <c r="D18" s="5" t="n">
        <v>500</v>
      </c>
      <c r="E18" s="6" t="n"/>
      <c r="F18" s="7" t="n">
        <v>67811.24000000001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45908</v>
      </c>
      <c r="C19" s="3" t="inlineStr">
        <is>
          <t>SIU KIN PONG HC12590745425126 07SEP</t>
        </is>
      </c>
      <c r="D19" s="5" t="n">
        <v>4000</v>
      </c>
      <c r="E19" s="6" t="n"/>
      <c r="F19" s="7" t="n">
        <v>71811.24000000001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45909</v>
      </c>
      <c r="C20" s="3" t="inlineStr">
        <is>
          <t>CR TO 178-329538-833 N90930652561(09SEP25)</t>
        </is>
      </c>
      <c r="D20" s="5" t="n"/>
      <c r="E20" s="6" t="n">
        <v>8924</v>
      </c>
      <c r="F20" s="7" t="n">
        <v>62887.24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45910</v>
      </c>
      <c r="C21" s="3" t="inlineStr">
        <is>
          <t>DAIKIN AIRCONDITIONI HC12591053004742 10SEP</t>
        </is>
      </c>
      <c r="D21" s="5" t="n">
        <v>124820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45910</v>
      </c>
      <c r="C22" s="3" t="inlineStr">
        <is>
          <t>MR LEE MING HO HC12591054547150 10SEP</t>
        </is>
      </c>
      <c r="D22" s="5" t="n">
        <v>700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45910</v>
      </c>
      <c r="C23" s="3" t="inlineStr">
        <is>
          <t>CR TO 509-1-022722 N91036814882(10SEP25)</t>
        </is>
      </c>
      <c r="D23" s="5" t="n"/>
      <c r="E23" s="6" t="n">
        <v>20000</v>
      </c>
      <c r="F23" s="7" t="n"/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45910</v>
      </c>
      <c r="C24" s="3" t="inlineStr">
        <is>
          <t>CR TO 058-637554-833 N91036817170(10SEP25)</t>
        </is>
      </c>
      <c r="D24" s="5" t="n"/>
      <c r="E24" s="6" t="n">
        <v>19300</v>
      </c>
      <c r="F24" s="7" t="n">
        <v>149107.24</v>
      </c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45911</v>
      </c>
      <c r="C25" s="3" t="inlineStr">
        <is>
          <t>REF:58B4 0098 CHEQUE DEPOSIT MACHINE (11SEP25)</t>
        </is>
      </c>
      <c r="D25" s="5" t="n">
        <v>21740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45911</v>
      </c>
      <c r="C26" s="3" t="inlineStr">
        <is>
          <t>CHARGES HC12591157809482 11SEP</t>
        </is>
      </c>
      <c r="D26" s="5" t="n"/>
      <c r="E26" s="6" t="n">
        <v>5</v>
      </c>
      <c r="F26" s="7" t="n"/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45911</v>
      </c>
      <c r="C27" s="3" t="inlineStr">
        <is>
          <t>PANG T** C**** HC12591157809482 11SEP</t>
        </is>
      </c>
      <c r="D27" s="5" t="n"/>
      <c r="E27" s="6" t="n">
        <v>20000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45911</v>
      </c>
      <c r="C28" s="3" t="inlineStr">
        <is>
          <t>CR TO 015-495500-292 N91037172939(10SEP25)</t>
        </is>
      </c>
      <c r="D28" s="5" t="n"/>
      <c r="E28" s="6" t="n">
        <v>20000</v>
      </c>
      <c r="F28" s="7" t="n">
        <v>130842.24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45912</v>
      </c>
      <c r="C29" s="3" t="inlineStr">
        <is>
          <t>ATM WITHDRAWAL (12SEP25)</t>
        </is>
      </c>
      <c r="D29" s="5" t="n"/>
      <c r="E29" s="6" t="n">
        <v>20000</v>
      </c>
      <c r="F29" s="7" t="n"/>
      <c r="G29" s="8">
        <f>IF(AND(D29="",E29=""),F29,G28+IF(D29="",0,D29)-IF(E29="",0,E29))</f>
        <v/>
      </c>
    </row>
    <row r="30">
      <c r="A30" s="3" t="inlineStr">
        <is>
          <t>HSBC HKD Savings Account</t>
        </is>
      </c>
      <c r="B30" s="4" t="n">
        <v>45912</v>
      </c>
      <c r="C30" s="3" t="inlineStr">
        <is>
          <t>ATM WITHDRAWAL (12SEP25)</t>
        </is>
      </c>
      <c r="D30" s="5" t="n"/>
      <c r="E30" s="6" t="n">
        <v>20000</v>
      </c>
      <c r="F30" s="7" t="n"/>
      <c r="G30" s="8">
        <f>IF(AND(D30="",E30=""),F30,G29+IF(D30="",0,D30)-IF(E30="",0,E30))</f>
        <v/>
      </c>
    </row>
    <row r="31">
      <c r="A31" s="3" t="inlineStr">
        <is>
          <t>HSBC HKD Savings Account</t>
        </is>
      </c>
      <c r="B31" s="4" t="n">
        <v>45912</v>
      </c>
      <c r="C31" s="3" t="inlineStr">
        <is>
          <t>ATM WITHDRAWAL (12SEP25)</t>
        </is>
      </c>
      <c r="D31" s="5" t="n"/>
      <c r="E31" s="6" t="n">
        <v>10000</v>
      </c>
      <c r="F31" s="7" t="n">
        <v>80842.24000000001</v>
      </c>
      <c r="G31" s="8">
        <f>IF(AND(D31="",E31=""),F31,G30+IF(D31="",0,D31)-IF(E31="",0,E31))</f>
        <v/>
      </c>
    </row>
    <row r="32">
      <c r="A32" s="3" t="inlineStr">
        <is>
          <t>HSBC HKD Savings Account</t>
        </is>
      </c>
      <c r="B32" s="4" t="n">
        <v>45915</v>
      </c>
      <c r="C32" s="3" t="inlineStr">
        <is>
          <t>PRINCIPAL TR CO(ASIA SD259529 15SEP</t>
        </is>
      </c>
      <c r="D32" s="5" t="n"/>
      <c r="E32" s="6" t="n">
        <v>710</v>
      </c>
      <c r="F32" s="7" t="n"/>
      <c r="G32" s="8">
        <f>IF(AND(D32="",E32=""),F32,G31+IF(D32="",0,D32)-IF(E32="",0,E32))</f>
        <v/>
      </c>
    </row>
    <row r="33">
      <c r="A33" s="3" t="inlineStr">
        <is>
          <t>HSBC HKD Savings Account</t>
        </is>
      </c>
      <c r="B33" s="4" t="n">
        <v>45915</v>
      </c>
      <c r="C33" s="3" t="inlineStr">
        <is>
          <t>IP SIN KAI SAMSON HC12591464324880 14SEP</t>
        </is>
      </c>
      <c r="D33" s="5" t="n">
        <v>1600</v>
      </c>
      <c r="E33" s="6" t="n"/>
      <c r="F33" s="7" t="n">
        <v>81732.24000000001</v>
      </c>
      <c r="G33" s="8">
        <f>IF(AND(D33="",E33=""),F33,G32+IF(D33="",0,D33)-IF(E33="",0,E33))</f>
        <v/>
      </c>
    </row>
    <row r="34">
      <c r="A34" s="3" t="inlineStr">
        <is>
          <t>HSBC HKD Savings Account</t>
        </is>
      </c>
      <c r="B34" s="4" t="n">
        <v>45916</v>
      </c>
      <c r="C34" s="3" t="inlineStr">
        <is>
          <t>CHARGES HC12591669420075 16SEP</t>
        </is>
      </c>
      <c r="D34" s="5" t="n"/>
      <c r="E34" s="6" t="n">
        <v>5</v>
      </c>
      <c r="F34" s="7" t="n"/>
      <c r="G34" s="8">
        <f>IF(AND(D34="",E34=""),F34,G33+IF(D34="",0,D34)-IF(E34="",0,E34))</f>
        <v/>
      </c>
    </row>
    <row r="35">
      <c r="A35" s="3" t="inlineStr">
        <is>
          <t>HSBC HKD Savings Account</t>
        </is>
      </c>
      <c r="B35" s="4" t="n">
        <v>45916</v>
      </c>
      <c r="C35" s="3" t="inlineStr">
        <is>
          <t>MIS INTERNATIONAL CO HC12591669420075 16SEP</t>
        </is>
      </c>
      <c r="D35" s="5" t="n"/>
      <c r="E35" s="6" t="n">
        <v>3000</v>
      </c>
      <c r="F35" s="7" t="n"/>
      <c r="G35" s="8">
        <f>IF(AND(D35="",E35=""),F35,G34+IF(D35="",0,D35)-IF(E35="",0,E35))</f>
        <v/>
      </c>
    </row>
    <row r="36">
      <c r="A36" s="3" t="inlineStr">
        <is>
          <t>HSBC HKD Savings Account</t>
        </is>
      </c>
      <c r="B36" s="4" t="n">
        <v>45916</v>
      </c>
      <c r="C36" s="3" t="inlineStr">
        <is>
          <t>PETINUM GROUP LIMITE HC12591670521162 16SEP</t>
        </is>
      </c>
      <c r="D36" s="5" t="n">
        <v>8600</v>
      </c>
      <c r="E36" s="6" t="n"/>
      <c r="F36" s="7" t="n">
        <v>87327.24000000001</v>
      </c>
      <c r="G36" s="8">
        <f>IF(AND(D36="",E36=""),F36,G35+IF(D36="",0,D36)-IF(E36="",0,E36))</f>
        <v/>
      </c>
    </row>
    <row r="37">
      <c r="A37" s="3" t="inlineStr">
        <is>
          <t>HSBC HKD Savings Account</t>
        </is>
      </c>
      <c r="B37" s="4" t="n">
        <v>45917</v>
      </c>
      <c r="C37" s="3" t="inlineStr">
        <is>
          <t>MR QIU YINGMING HC12591774517422 17SEP</t>
        </is>
      </c>
      <c r="D37" s="5" t="n">
        <v>2000</v>
      </c>
      <c r="E37" s="6" t="n"/>
      <c r="F37" s="7" t="n">
        <v>89327.24000000001</v>
      </c>
      <c r="G37" s="8">
        <f>IF(AND(D37="",E37=""),F37,G36+IF(D37="",0,D37)-IF(E37="",0,E37))</f>
        <v/>
      </c>
    </row>
    <row r="38">
      <c r="A38" s="3" t="inlineStr">
        <is>
          <t>HSBC HKD Savings Account</t>
        </is>
      </c>
      <c r="B38" s="4" t="n">
        <v>45922</v>
      </c>
      <c r="C38" s="3" t="inlineStr">
        <is>
          <t>MISS NG WAI KWAN CHA HC12592184844405 21SEP</t>
        </is>
      </c>
      <c r="D38" s="5" t="n">
        <v>2100</v>
      </c>
      <c r="E38" s="6" t="n"/>
      <c r="F38" s="7" t="n">
        <v>91427.24000000001</v>
      </c>
      <c r="G38" s="8">
        <f>IF(AND(D38="",E38=""),F38,G37+IF(D38="",0,D38)-IF(E38="",0,E38))</f>
        <v/>
      </c>
    </row>
    <row r="39">
      <c r="A39" s="3" t="inlineStr">
        <is>
          <t>HSBC HKD Savings Account</t>
        </is>
      </c>
      <c r="B39" s="4" t="n">
        <v>45923</v>
      </c>
      <c r="C39" s="3" t="inlineStr">
        <is>
          <t>MR YEUNG LEONG SING HC12592390207173 23SEP</t>
        </is>
      </c>
      <c r="D39" s="5" t="n">
        <v>6880</v>
      </c>
      <c r="E39" s="6" t="n"/>
      <c r="F39" s="7" t="n">
        <v>98307.24000000001</v>
      </c>
      <c r="G39" s="8">
        <f>IF(AND(D39="",E39=""),F39,G38+IF(D39="",0,D39)-IF(E39="",0,E39))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2026-06-23T05:59:28Z</dcterms:created>
  <dcterms:modified xsi:type="dcterms:W3CDTF">2026-06-23T05:59:28Z</dcterms:modified>
</cp:coreProperties>
</file>