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BC HKD Current Account" sheetId="1" state="visible" r:id="rId1"/>
    <sheet name="HSBC HKD Savings Accou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 mmm yyyy"/>
    <numFmt numFmtId="166" formatCode="#,##0.00;(#,##0.00);&quot;-&quot;"/>
    <numFmt numFmtId="167" formatCode="(#,##0.00);(#,##0.00);&quot;-&quot;"/>
    <numFmt numFmtId="168" formatCode="#,##0.00;(#,##0.00);0.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167" fontId="2" fillId="0" borderId="1" applyAlignment="1" pivotButton="0" quotePrefix="0" xfId="0">
      <alignment vertical="center"/>
    </xf>
    <xf numFmtId="168" fontId="2" fillId="0" borderId="1" applyAlignment="1" pivotButton="0" quotePrefix="0" xfId="0">
      <alignment vertical="center"/>
    </xf>
    <xf numFmtId="168" fontId="1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54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HSBC HKD Current Account</t>
        </is>
      </c>
      <c r="B2" s="4" t="n">
        <v>45862</v>
      </c>
      <c r="C2" s="3" t="inlineStr">
        <is>
          <t>B/F BALANCE</t>
        </is>
      </c>
      <c r="D2" s="5" t="n"/>
      <c r="E2" s="6" t="n"/>
      <c r="F2" s="7" t="n">
        <v>50081.19</v>
      </c>
      <c r="G2" s="8">
        <f>IF(AND(D2="",E2=""),F2,IF(D2="",0,D2)-IF(E2="",0,E2))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54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HSBC HKD Savings Account</t>
        </is>
      </c>
      <c r="B2" s="4" t="n">
        <v>45862</v>
      </c>
      <c r="C2" s="3" t="inlineStr">
        <is>
          <t>B/F BALANCE</t>
        </is>
      </c>
      <c r="D2" s="5" t="n"/>
      <c r="E2" s="6" t="n"/>
      <c r="F2" s="7" t="n">
        <v>46658.52</v>
      </c>
      <c r="G2" s="8">
        <f>IF(AND(D2="",E2=""),F2,IF(D2="",0,D2)-IF(E2="",0,E2))</f>
        <v/>
      </c>
    </row>
    <row r="3">
      <c r="A3" s="3" t="inlineStr">
        <is>
          <t>HSBC HKD Savings Account</t>
        </is>
      </c>
      <c r="B3" s="4" t="n">
        <v>45863</v>
      </c>
      <c r="C3" s="3" t="inlineStr">
        <is>
          <t>MR CHAN WAI KONG HC12572517219226 25JUL</t>
        </is>
      </c>
      <c r="D3" s="5" t="n">
        <v>100</v>
      </c>
      <c r="E3" s="6" t="n"/>
      <c r="F3" s="7" t="n">
        <v>46758.52</v>
      </c>
      <c r="G3" s="8">
        <f>IF(AND(D3="",E3=""),F3,G2+IF(D3="",0,D3)-IF(E3="",0,E3))</f>
        <v/>
      </c>
    </row>
    <row r="4">
      <c r="A4" s="3" t="inlineStr">
        <is>
          <t>HSBC HKD Savings Account</t>
        </is>
      </c>
      <c r="B4" s="4" t="n">
        <v>45866</v>
      </c>
      <c r="C4" s="3" t="inlineStr">
        <is>
          <t>CREDIT INTEREST</t>
        </is>
      </c>
      <c r="D4" s="5" t="n">
        <v>7.54</v>
      </c>
      <c r="E4" s="6" t="n"/>
      <c r="F4" s="7" t="n"/>
      <c r="G4" s="8">
        <f>IF(AND(D4="",E4=""),F4,G3+IF(D4="",0,D4)-IF(E4="",0,E4))</f>
        <v/>
      </c>
    </row>
    <row r="5">
      <c r="A5" s="3" t="inlineStr">
        <is>
          <t>HSBC HKD Savings Account</t>
        </is>
      </c>
      <c r="B5" s="4" t="n">
        <v>45866</v>
      </c>
      <c r="C5" s="3" t="inlineStr">
        <is>
          <t>REF:581B 0078 CHEQUE DEPOSIT MACHINE (28JUL25)</t>
        </is>
      </c>
      <c r="D5" s="5" t="n">
        <v>3700</v>
      </c>
      <c r="E5" s="6" t="n"/>
      <c r="F5" s="7" t="n"/>
      <c r="G5" s="8">
        <f>IF(AND(D5="",E5=""),F5,G4+IF(D5="",0,D5)-IF(E5="",0,E5))</f>
        <v/>
      </c>
    </row>
    <row r="6">
      <c r="A6" s="3" t="inlineStr">
        <is>
          <t>HSBC HKD Savings Account</t>
        </is>
      </c>
      <c r="B6" s="4" t="n">
        <v>45866</v>
      </c>
      <c r="C6" s="3" t="inlineStr">
        <is>
          <t>CHEQUE DEPOSIT</t>
        </is>
      </c>
      <c r="D6" s="5" t="n">
        <v>19560</v>
      </c>
      <c r="E6" s="6" t="n"/>
      <c r="F6" s="7" t="n"/>
      <c r="G6" s="8">
        <f>IF(AND(D6="",E6=""),F6,G5+IF(D6="",0,D6)-IF(E6="",0,E6))</f>
        <v/>
      </c>
    </row>
    <row r="7">
      <c r="A7" s="3" t="inlineStr">
        <is>
          <t>HSBC HKD Savings Account</t>
        </is>
      </c>
      <c r="B7" s="4" t="n">
        <v>45866</v>
      </c>
      <c r="C7" s="3" t="inlineStr">
        <is>
          <t>ATM BILPYT (27JUL25) TRAFFIC TICKETS</t>
        </is>
      </c>
      <c r="D7" s="5" t="n"/>
      <c r="E7" s="6" t="n">
        <v>320</v>
      </c>
      <c r="F7" s="7" t="n"/>
      <c r="G7" s="8">
        <f>IF(AND(D7="",E7=""),F7,G6+IF(D7="",0,D7)-IF(E7="",0,E7))</f>
        <v/>
      </c>
    </row>
    <row r="8">
      <c r="A8" s="3" t="inlineStr">
        <is>
          <t>HSBC HKD Savings Account</t>
        </is>
      </c>
      <c r="B8" s="4" t="n">
        <v>45866</v>
      </c>
      <c r="C8" s="3" t="inlineStr">
        <is>
          <t>ATM WITHDRAWAL (27JUL25)</t>
        </is>
      </c>
      <c r="D8" s="5" t="n"/>
      <c r="E8" s="6" t="n">
        <v>20000</v>
      </c>
      <c r="F8" s="7" t="n"/>
      <c r="G8" s="8">
        <f>IF(AND(D8="",E8=""),F8,G7+IF(D8="",0,D8)-IF(E8="",0,E8))</f>
        <v/>
      </c>
    </row>
    <row r="9">
      <c r="A9" s="3" t="inlineStr">
        <is>
          <t>HSBC HKD Savings Account</t>
        </is>
      </c>
      <c r="B9" s="4" t="n">
        <v>45866</v>
      </c>
      <c r="C9" s="3" t="inlineStr">
        <is>
          <t>ATM WITHDRAWAL (27JUL25)</t>
        </is>
      </c>
      <c r="D9" s="5" t="n"/>
      <c r="E9" s="6" t="n">
        <v>10000</v>
      </c>
      <c r="F9" s="7" t="n">
        <v>39706.06</v>
      </c>
      <c r="G9" s="8">
        <f>IF(AND(D9="",E9=""),F9,G8+IF(D9="",0,D9)-IF(E9="",0,E9))</f>
        <v/>
      </c>
    </row>
    <row r="10">
      <c r="A10" s="3" t="inlineStr">
        <is>
          <t>HSBC HKD Savings Account</t>
        </is>
      </c>
      <c r="B10" s="4" t="n">
        <v>45867</v>
      </c>
      <c r="C10" s="3" t="inlineStr">
        <is>
          <t>PETINUM GROUP LIMITE HC12572926607461 29JUL</t>
        </is>
      </c>
      <c r="D10" s="5" t="n">
        <v>5400</v>
      </c>
      <c r="E10" s="6" t="n"/>
      <c r="F10" s="7" t="n">
        <v>45106.06</v>
      </c>
      <c r="G10" s="8">
        <f>IF(AND(D10="",E10=""),F10,G9+IF(D10="",0,D10)-IF(E10="",0,E10))</f>
        <v/>
      </c>
    </row>
    <row r="11">
      <c r="A11" s="3" t="inlineStr">
        <is>
          <t>HSBC HKD Savings Account</t>
        </is>
      </c>
      <c r="B11" s="4" t="n">
        <v>45868</v>
      </c>
      <c r="C11" s="3" t="inlineStr">
        <is>
          <t>MR SHING WAI HO HC12573031402260 30JUL</t>
        </is>
      </c>
      <c r="D11" s="5" t="n">
        <v>500</v>
      </c>
      <c r="E11" s="6" t="n"/>
      <c r="F11" s="7" t="n"/>
      <c r="G11" s="8">
        <f>IF(AND(D11="",E11=""),F11,G10+IF(D11="",0,D11)-IF(E11="",0,E11))</f>
        <v/>
      </c>
    </row>
    <row r="12">
      <c r="A12" s="3" t="inlineStr">
        <is>
          <t>HSBC HKD Savings Account</t>
        </is>
      </c>
      <c r="B12" s="4" t="n">
        <v>45868</v>
      </c>
      <c r="C12" s="3" t="inlineStr">
        <is>
          <t>KWOK CHING LAP HC12573031635409 30JUL</t>
        </is>
      </c>
      <c r="D12" s="5" t="n">
        <v>2000</v>
      </c>
      <c r="E12" s="6" t="n"/>
      <c r="F12" s="7" t="n"/>
      <c r="G12" s="8">
        <f>IF(AND(D12="",E12=""),F12,G11+IF(D12="",0,D12)-IF(E12="",0,E12))</f>
        <v/>
      </c>
    </row>
    <row r="13">
      <c r="A13" s="3" t="inlineStr">
        <is>
          <t>HSBC HKD Savings Account</t>
        </is>
      </c>
      <c r="B13" s="4" t="n">
        <v>45868</v>
      </c>
      <c r="C13" s="3" t="inlineStr">
        <is>
          <t>CHARGES HC12572928551749 29JUL</t>
        </is>
      </c>
      <c r="D13" s="5" t="n"/>
      <c r="E13" s="6" t="n">
        <v>5</v>
      </c>
      <c r="F13" s="7" t="n"/>
      <c r="G13" s="8">
        <f>IF(AND(D13="",E13=""),F13,G12+IF(D13="",0,D13)-IF(E13="",0,E13))</f>
        <v/>
      </c>
    </row>
    <row r="14">
      <c r="A14" s="3" t="inlineStr">
        <is>
          <t>HSBC HKD Savings Account</t>
        </is>
      </c>
      <c r="B14" s="4" t="n">
        <v>45868</v>
      </c>
      <c r="C14" s="3" t="inlineStr">
        <is>
          <t>CHAU K** Y** HC12572928551749 29JUL</t>
        </is>
      </c>
      <c r="D14" s="5" t="n"/>
      <c r="E14" s="6" t="n">
        <v>8300</v>
      </c>
      <c r="F14" s="7" t="n">
        <v>39301.06</v>
      </c>
      <c r="G14" s="8">
        <f>IF(AND(D14="",E14=""),F14,G13+IF(D14="",0,D14)-IF(E14="",0,E14))</f>
        <v/>
      </c>
    </row>
    <row r="15">
      <c r="A15" s="3" t="inlineStr">
        <is>
          <t>HSBC HKD Savings Account</t>
        </is>
      </c>
      <c r="B15" s="4" t="n">
        <v>45870</v>
      </c>
      <c r="C15" s="3" t="inlineStr">
        <is>
          <t>REF:58D8 0038 CHEQUE DEPOSIT MACHINE (01AUG25)</t>
        </is>
      </c>
      <c r="D15" s="5" t="n">
        <v>2850</v>
      </c>
      <c r="E15" s="6" t="n"/>
      <c r="F15" s="7" t="n">
        <v>42151.06</v>
      </c>
      <c r="G15" s="8">
        <f>IF(AND(D15="",E15=""),F15,G14+IF(D15="",0,D15)-IF(E15="",0,E15))</f>
        <v/>
      </c>
    </row>
    <row r="16">
      <c r="A16" s="3" t="inlineStr">
        <is>
          <t>HSBC HKD Savings Account</t>
        </is>
      </c>
      <c r="B16" s="4" t="n">
        <v>45871</v>
      </c>
      <c r="C16" s="3" t="inlineStr">
        <is>
          <t>MR CHAU CHUN KIN HC12580240191595 02AUG</t>
        </is>
      </c>
      <c r="D16" s="5" t="n">
        <v>3000</v>
      </c>
      <c r="E16" s="6" t="n"/>
      <c r="F16" s="7" t="n"/>
      <c r="G16" s="8">
        <f>IF(AND(D16="",E16=""),F16,G15+IF(D16="",0,D16)-IF(E16="",0,E16))</f>
        <v/>
      </c>
    </row>
    <row r="17">
      <c r="A17" s="3" t="inlineStr">
        <is>
          <t>HSBC HKD Savings Account</t>
        </is>
      </c>
      <c r="B17" s="4" t="n">
        <v>45871</v>
      </c>
      <c r="C17" s="3" t="inlineStr">
        <is>
          <t>WONG KA HO HC12580241353372 02AUG</t>
        </is>
      </c>
      <c r="D17" s="5" t="n">
        <v>2000</v>
      </c>
      <c r="E17" s="6" t="n"/>
      <c r="F17" s="7" t="n">
        <v>47151.06</v>
      </c>
      <c r="G17" s="8">
        <f>IF(AND(D17="",E17=""),F17,G16+IF(D17="",0,D17)-IF(E17="",0,E17))</f>
        <v/>
      </c>
    </row>
    <row r="18">
      <c r="A18" s="3" t="inlineStr">
        <is>
          <t>HSBC HKD Savings Account</t>
        </is>
      </c>
      <c r="B18" s="4" t="n">
        <v>45874</v>
      </c>
      <c r="C18" s="3" t="inlineStr">
        <is>
          <t>BLG CHQ DEP</t>
        </is>
      </c>
      <c r="D18" s="5" t="n"/>
      <c r="E18" s="6" t="n">
        <v>5</v>
      </c>
      <c r="F18" s="7" t="n"/>
      <c r="G18" s="8">
        <f>IF(AND(D18="",E18=""),F18,G17+IF(D18="",0,D18)-IF(E18="",0,E18))</f>
        <v/>
      </c>
    </row>
    <row r="19">
      <c r="A19" s="3" t="inlineStr">
        <is>
          <t>HSBC HKD Savings Account</t>
        </is>
      </c>
      <c r="B19" s="4" t="n">
        <v>45874</v>
      </c>
      <c r="C19" s="3" t="inlineStr">
        <is>
          <t>MONTHLY SERVICE FEE</t>
        </is>
      </c>
      <c r="D19" s="5" t="n"/>
      <c r="E19" s="6" t="n">
        <v>200</v>
      </c>
      <c r="F19" s="7" t="n">
        <v>46946.06</v>
      </c>
      <c r="G19" s="8">
        <f>IF(AND(D19="",E19=""),F19,G18+IF(D19="",0,D19)-IF(E19="",0,E19))</f>
        <v/>
      </c>
    </row>
    <row r="20">
      <c r="A20" s="3" t="inlineStr">
        <is>
          <t>HSBC HKD Savings Account</t>
        </is>
      </c>
      <c r="B20" s="4" t="n">
        <v>45877</v>
      </c>
      <c r="C20" s="3" t="inlineStr">
        <is>
          <t>DAIKIN AIRCONDITIONI HC12580858248565 08AUG</t>
        </is>
      </c>
      <c r="D20" s="5" t="n">
        <v>142820</v>
      </c>
      <c r="E20" s="6" t="n"/>
      <c r="F20" s="7" t="n">
        <v>189766.06</v>
      </c>
      <c r="G20" s="8">
        <f>IF(AND(D20="",E20=""),F20,G19+IF(D20="",0,D20)-IF(E20="",0,E20))</f>
        <v/>
      </c>
    </row>
    <row r="21">
      <c r="A21" s="3" t="inlineStr">
        <is>
          <t>HSBC HKD Savings Account</t>
        </is>
      </c>
      <c r="B21" s="4" t="n">
        <v>45878</v>
      </c>
      <c r="C21" s="3" t="inlineStr">
        <is>
          <t>CHUNG PAK KIN HC12580961478501 09AUG</t>
        </is>
      </c>
      <c r="D21" s="5" t="n">
        <v>2000</v>
      </c>
      <c r="E21" s="6" t="n"/>
      <c r="F21" s="7" t="n">
        <v>191766.06</v>
      </c>
      <c r="G21" s="8">
        <f>IF(AND(D21="",E21=""),F21,G20+IF(D21="",0,D21)-IF(E21="",0,E21))</f>
        <v/>
      </c>
    </row>
    <row r="22">
      <c r="A22" s="3" t="inlineStr">
        <is>
          <t>HSBC HKD Savings Account</t>
        </is>
      </c>
      <c r="B22" s="4" t="n">
        <v>45880</v>
      </c>
      <c r="C22" s="3" t="inlineStr">
        <is>
          <t>CHARGES HC12581064933802 10AUG</t>
        </is>
      </c>
      <c r="D22" s="5" t="n"/>
      <c r="E22" s="6" t="n">
        <v>5</v>
      </c>
      <c r="F22" s="7" t="n"/>
      <c r="G22" s="8">
        <f>IF(AND(D22="",E22=""),F22,G21+IF(D22="",0,D22)-IF(E22="",0,E22))</f>
        <v/>
      </c>
    </row>
    <row r="23">
      <c r="A23" s="3" t="inlineStr">
        <is>
          <t>HSBC HKD Savings Account</t>
        </is>
      </c>
      <c r="B23" s="4" t="n">
        <v>45880</v>
      </c>
      <c r="C23" s="3" t="inlineStr">
        <is>
          <t>PANG T** C**** HC12581064933802 10AUG</t>
        </is>
      </c>
      <c r="D23" s="5" t="n"/>
      <c r="E23" s="6" t="n">
        <v>6000</v>
      </c>
      <c r="F23" s="7" t="n"/>
      <c r="G23" s="8">
        <f>IF(AND(D23="",E23=""),F23,G22+IF(D23="",0,D23)-IF(E23="",0,E23))</f>
        <v/>
      </c>
    </row>
    <row r="24">
      <c r="A24" s="3" t="inlineStr">
        <is>
          <t>HSBC HKD Savings Account</t>
        </is>
      </c>
      <c r="B24" s="4" t="n">
        <v>45880</v>
      </c>
      <c r="C24" s="3" t="inlineStr">
        <is>
          <t>CR TO 015-495500-292 N81027438794(10AUG25)</t>
        </is>
      </c>
      <c r="D24" s="5" t="n"/>
      <c r="E24" s="6" t="n">
        <v>20000</v>
      </c>
      <c r="F24" s="7" t="n"/>
      <c r="G24" s="8">
        <f>IF(AND(D24="",E24=""),F24,G23+IF(D24="",0,D24)-IF(E24="",0,E24))</f>
        <v/>
      </c>
    </row>
    <row r="25">
      <c r="A25" s="3" t="inlineStr">
        <is>
          <t>HSBC HKD Savings Account</t>
        </is>
      </c>
      <c r="B25" s="4" t="n">
        <v>45880</v>
      </c>
      <c r="C25" s="3" t="inlineStr">
        <is>
          <t>CR TO 509-1-022722 N81027440763(10AUG25)</t>
        </is>
      </c>
      <c r="D25" s="5" t="n"/>
      <c r="E25" s="6" t="n">
        <v>20000</v>
      </c>
      <c r="F25" s="7" t="n"/>
      <c r="G25" s="8">
        <f>IF(AND(D25="",E25=""),F25,G24+IF(D25="",0,D25)-IF(E25="",0,E25))</f>
        <v/>
      </c>
    </row>
    <row r="26">
      <c r="A26" s="3" t="inlineStr">
        <is>
          <t>HSBC HKD Savings Account</t>
        </is>
      </c>
      <c r="B26" s="4" t="n">
        <v>45880</v>
      </c>
      <c r="C26" s="3" t="inlineStr">
        <is>
          <t>CR TO 058-637554-833 N81027442912(10AUG25)</t>
        </is>
      </c>
      <c r="D26" s="5" t="n"/>
      <c r="E26" s="6" t="n">
        <v>19300</v>
      </c>
      <c r="F26" s="7" t="n"/>
      <c r="G26" s="8">
        <f>IF(AND(D26="",E26=""),F26,G25+IF(D26="",0,D26)-IF(E26="",0,E26))</f>
        <v/>
      </c>
    </row>
    <row r="27">
      <c r="A27" s="3" t="inlineStr">
        <is>
          <t>HSBC HKD Savings Account</t>
        </is>
      </c>
      <c r="B27" s="4" t="n">
        <v>45880</v>
      </c>
      <c r="C27" s="3" t="inlineStr">
        <is>
          <t>CHARGES HC12581064940883 10AUG</t>
        </is>
      </c>
      <c r="D27" s="5" t="n"/>
      <c r="E27" s="6" t="n">
        <v>5</v>
      </c>
      <c r="F27" s="7" t="n"/>
      <c r="G27" s="8">
        <f>IF(AND(D27="",E27=""),F27,G26+IF(D27="",0,D27)-IF(E27="",0,E27))</f>
        <v/>
      </c>
    </row>
    <row r="28">
      <c r="A28" s="3" t="inlineStr">
        <is>
          <t>HSBC HKD Savings Account</t>
        </is>
      </c>
      <c r="B28" s="4" t="n">
        <v>45880</v>
      </c>
      <c r="C28" s="3" t="inlineStr">
        <is>
          <t>YEUNG L**** S*** HC12581064940883 10AUG</t>
        </is>
      </c>
      <c r="D28" s="5" t="n"/>
      <c r="E28" s="6" t="n">
        <v>100</v>
      </c>
      <c r="F28" s="7" t="n">
        <v>126356.06</v>
      </c>
      <c r="G28" s="8">
        <f>IF(AND(D28="",E28=""),F28,G27+IF(D28="",0,D28)-IF(E28="",0,E28))</f>
        <v/>
      </c>
    </row>
    <row r="29">
      <c r="A29" s="3" t="inlineStr">
        <is>
          <t>HSBC HKD Savings Account</t>
        </is>
      </c>
      <c r="B29" s="4" t="n">
        <v>45881</v>
      </c>
      <c r="C29" s="3" t="inlineStr">
        <is>
          <t>PRINCIPAL TR CO(ASIA SD259529 12AUG</t>
        </is>
      </c>
      <c r="D29" s="5" t="n"/>
      <c r="E29" s="6" t="n">
        <v>710</v>
      </c>
      <c r="F29" s="7" t="n"/>
      <c r="G29" s="8">
        <f>IF(AND(D29="",E29=""),F29,G28+IF(D29="",0,D29)-IF(E29="",0,E29))</f>
        <v/>
      </c>
    </row>
    <row r="30">
      <c r="A30" s="3" t="inlineStr">
        <is>
          <t>HSBC HKD Savings Account</t>
        </is>
      </c>
      <c r="B30" s="4" t="n">
        <v>45881</v>
      </c>
      <c r="C30" s="3" t="inlineStr">
        <is>
          <t>MR YEUNG LEONG SING HC12581270345263 12AUG</t>
        </is>
      </c>
      <c r="D30" s="5" t="n">
        <v>4000</v>
      </c>
      <c r="E30" s="6" t="n"/>
      <c r="F30" s="7" t="n"/>
      <c r="G30" s="8">
        <f>IF(AND(D30="",E30=""),F30,G29+IF(D30="",0,D30)-IF(E30="",0,E30))</f>
        <v/>
      </c>
    </row>
    <row r="31">
      <c r="A31" s="3" t="inlineStr">
        <is>
          <t>HSBC HKD Savings Account</t>
        </is>
      </c>
      <c r="B31" s="4" t="n">
        <v>45881</v>
      </c>
      <c r="C31" s="3" t="inlineStr">
        <is>
          <t>CHARGES HC12581168028888 11AUG</t>
        </is>
      </c>
      <c r="D31" s="5" t="n"/>
      <c r="E31" s="6" t="n">
        <v>5</v>
      </c>
      <c r="F31" s="7" t="n"/>
      <c r="G31" s="8">
        <f>IF(AND(D31="",E31=""),F31,G30+IF(D31="",0,D31)-IF(E31="",0,E31))</f>
        <v/>
      </c>
    </row>
    <row r="32">
      <c r="A32" s="3" t="inlineStr">
        <is>
          <t>HSBC HKD Savings Account</t>
        </is>
      </c>
      <c r="B32" s="4" t="n">
        <v>45881</v>
      </c>
      <c r="C32" s="3" t="inlineStr">
        <is>
          <t>YEUNG L**** S*** HC12581168028888 11AUG</t>
        </is>
      </c>
      <c r="D32" s="5" t="n"/>
      <c r="E32" s="6" t="n">
        <v>15540</v>
      </c>
      <c r="F32" s="7" t="n"/>
      <c r="G32" s="8">
        <f>IF(AND(D32="",E32=""),F32,G31+IF(D32="",0,D32)-IF(E32="",0,E32))</f>
        <v/>
      </c>
    </row>
    <row r="33">
      <c r="A33" s="3" t="inlineStr">
        <is>
          <t>HSBC HKD Savings Account</t>
        </is>
      </c>
      <c r="B33" s="4" t="n">
        <v>45881</v>
      </c>
      <c r="C33" s="3" t="inlineStr">
        <is>
          <t>LING MAN YEE EDMUND HC12581168044215 11AUG</t>
        </is>
      </c>
      <c r="D33" s="5" t="n">
        <v>3763</v>
      </c>
      <c r="E33" s="6" t="n"/>
      <c r="F33" s="7" t="n">
        <v>117864.06</v>
      </c>
      <c r="G33" s="8">
        <f>IF(AND(D33="",E33=""),F33,G32+IF(D33="",0,D33)-IF(E33="",0,E33))</f>
        <v/>
      </c>
    </row>
    <row r="34">
      <c r="A34" s="3" t="inlineStr">
        <is>
          <t>HSBC HKD Savings Account</t>
        </is>
      </c>
      <c r="B34" s="4" t="n">
        <v>45882</v>
      </c>
      <c r="C34" s="3" t="inlineStr">
        <is>
          <t>MR CHUNG KA WAI HC12581371441757 13AUG</t>
        </is>
      </c>
      <c r="D34" s="5" t="n">
        <v>400</v>
      </c>
      <c r="E34" s="6" t="n"/>
      <c r="F34" s="7" t="n">
        <v>118264.06</v>
      </c>
      <c r="G34" s="8">
        <f>IF(AND(D34="",E34=""),F34,G33+IF(D34="",0,D34)-IF(E34="",0,E34))</f>
        <v/>
      </c>
    </row>
    <row r="35">
      <c r="A35" s="3" t="inlineStr">
        <is>
          <t>HSBC HKD Savings Account</t>
        </is>
      </c>
      <c r="B35" s="4" t="n">
        <v>45883</v>
      </c>
      <c r="C35" s="3" t="inlineStr">
        <is>
          <t>ATM WITHDRAWAL (14AUG25)</t>
        </is>
      </c>
      <c r="D35" s="5" t="n"/>
      <c r="E35" s="6" t="n">
        <v>20000</v>
      </c>
      <c r="F35" s="7" t="n"/>
      <c r="G35" s="8">
        <f>IF(AND(D35="",E35=""),F35,G34+IF(D35="",0,D35)-IF(E35="",0,E35))</f>
        <v/>
      </c>
    </row>
    <row r="36">
      <c r="A36" s="3" t="inlineStr">
        <is>
          <t>HSBC HKD Savings Account</t>
        </is>
      </c>
      <c r="B36" s="4" t="n">
        <v>45883</v>
      </c>
      <c r="C36" s="3" t="inlineStr">
        <is>
          <t>ATM WITHDRAWAL (14AUG25)</t>
        </is>
      </c>
      <c r="D36" s="5" t="n"/>
      <c r="E36" s="6" t="n">
        <v>20000</v>
      </c>
      <c r="F36" s="7" t="n"/>
      <c r="G36" s="8">
        <f>IF(AND(D36="",E36=""),F36,G35+IF(D36="",0,D36)-IF(E36="",0,E36))</f>
        <v/>
      </c>
    </row>
    <row r="37">
      <c r="A37" s="3" t="inlineStr">
        <is>
          <t>HSBC HKD Savings Account</t>
        </is>
      </c>
      <c r="B37" s="4" t="n">
        <v>45883</v>
      </c>
      <c r="C37" s="3" t="inlineStr">
        <is>
          <t>ATM WITHDRAWAL (14AUG25)</t>
        </is>
      </c>
      <c r="D37" s="5" t="n"/>
      <c r="E37" s="6" t="n">
        <v>10000</v>
      </c>
      <c r="F37" s="7" t="n"/>
      <c r="G37" s="8">
        <f>IF(AND(D37="",E37=""),F37,G36+IF(D37="",0,D37)-IF(E37="",0,E37))</f>
        <v/>
      </c>
    </row>
    <row r="38">
      <c r="A38" s="3" t="inlineStr">
        <is>
          <t>HSBC HKD Savings Account</t>
        </is>
      </c>
      <c r="B38" s="4" t="n">
        <v>45883</v>
      </c>
      <c r="C38" s="3" t="inlineStr">
        <is>
          <t>TSENG Y* C**** HC12581474929534 14AUG</t>
        </is>
      </c>
      <c r="D38" s="5" t="n"/>
      <c r="E38" s="6" t="n">
        <v>6900</v>
      </c>
      <c r="F38" s="7" t="n"/>
      <c r="G38" s="8">
        <f>IF(AND(D38="",E38=""),F38,G37+IF(D38="",0,D38)-IF(E38="",0,E38))</f>
        <v/>
      </c>
    </row>
    <row r="39">
      <c r="A39" s="3" t="inlineStr">
        <is>
          <t>HSBC HKD Savings Account</t>
        </is>
      </c>
      <c r="B39" s="4" t="n">
        <v>45883</v>
      </c>
      <c r="C39" s="3" t="inlineStr">
        <is>
          <t>YEUNG SHU KAN HC12581373560842 13AUG</t>
        </is>
      </c>
      <c r="D39" s="5" t="n">
        <v>7300</v>
      </c>
      <c r="E39" s="6" t="n"/>
      <c r="F39" s="7" t="n">
        <v>68664.06</v>
      </c>
      <c r="G39" s="8">
        <f>IF(AND(D39="",E39=""),F39,G38+IF(D39="",0,D39)-IF(E39="",0,E39))</f>
        <v/>
      </c>
    </row>
    <row r="40">
      <c r="A40" s="3" t="inlineStr">
        <is>
          <t>HSBC HKD Savings Account</t>
        </is>
      </c>
      <c r="B40" s="4" t="n">
        <v>45890</v>
      </c>
      <c r="C40" s="3" t="inlineStr">
        <is>
          <t>CHG FOR AUDIT CONF O N 31032025 (21AUG25)</t>
        </is>
      </c>
      <c r="D40" s="5" t="n"/>
      <c r="E40" s="6" t="n">
        <v>760</v>
      </c>
      <c r="F40" s="7" t="n"/>
      <c r="G40" s="8">
        <f>IF(AND(D40="",E40=""),F40,G39+IF(D40="",0,D40)-IF(E40="",0,E40))</f>
        <v/>
      </c>
    </row>
    <row r="41">
      <c r="A41" s="3" t="inlineStr">
        <is>
          <t>HSBC HKD Savings Account</t>
        </is>
      </c>
      <c r="B41" s="4" t="n">
        <v>45890</v>
      </c>
      <c r="C41" s="3" t="inlineStr">
        <is>
          <t>MR YEUNG LEONG SING HC12582194440041 21AUG</t>
        </is>
      </c>
      <c r="D41" s="5" t="n">
        <v>3870</v>
      </c>
      <c r="E41" s="6" t="n"/>
      <c r="F41" s="7" t="n">
        <v>71774.06</v>
      </c>
      <c r="G41" s="8">
        <f>IF(AND(D41="",E41=""),F41,G40+IF(D41="",0,D41)-IF(E41="",0,E41))</f>
        <v/>
      </c>
    </row>
    <row r="42">
      <c r="A42" s="3" t="inlineStr">
        <is>
          <t>HSBC HKD Savings Account</t>
        </is>
      </c>
      <c r="B42" s="4" t="n">
        <v>45892</v>
      </c>
      <c r="C42" s="3" t="inlineStr">
        <is>
          <t>ATM WITHDRAWAL (23AUG25)</t>
        </is>
      </c>
      <c r="D42" s="5" t="n"/>
      <c r="E42" s="6" t="n">
        <v>12000</v>
      </c>
      <c r="F42" s="7" t="n"/>
      <c r="G42" s="8">
        <f>IF(AND(D42="",E42=""),F42,G41+IF(D42="",0,D42)-IF(E42="",0,E42))</f>
        <v/>
      </c>
    </row>
    <row r="43">
      <c r="A43" s="3" t="inlineStr">
        <is>
          <t>HSBC HKD Savings Account</t>
        </is>
      </c>
      <c r="B43" s="4" t="n">
        <v>45892</v>
      </c>
      <c r="C43" s="3" t="inlineStr">
        <is>
          <t>R &amp; E FACTORY LIMITE HC12582398611907 23AUG</t>
        </is>
      </c>
      <c r="D43" s="5" t="n">
        <v>3000</v>
      </c>
      <c r="E43" s="6" t="n"/>
      <c r="F43" s="7" t="n">
        <v>62774.06</v>
      </c>
      <c r="G43" s="8">
        <f>IF(AND(D43="",E43=""),F43,G42+IF(D43="",0,D43)-IF(E43="",0,E43))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2026-06-23T05:59:27Z</dcterms:created>
  <dcterms:modified xsi:type="dcterms:W3CDTF">2026-06-23T05:59:27Z</dcterms:modified>
</cp:coreProperties>
</file>