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32894.04</v>
      </c>
      <c r="G2" s="7">
        <f>IF(AND(D2="",E2=""),F2,IF(D2="",0,D2)-IF(E2="",0,E2))</f>
        <v/>
      </c>
    </row>
    <row r="3">
      <c r="A3" s="3" t="inlineStr">
        <is>
          <t>DBS HKD Current Account</t>
        </is>
      </c>
      <c r="B3" s="4" t="n">
        <v>44929</v>
      </c>
      <c r="C3" s="3" t="inlineStr">
        <is>
          <t>CR 1513RF5918485 EBICT30103211322 EBICT30103211322 VIEWIDER LIMI VIEWIDER LIMITED HKD 156980</t>
        </is>
      </c>
      <c r="D3" s="5" t="n">
        <v>156980</v>
      </c>
      <c r="E3" s="5" t="n"/>
      <c r="F3" s="6" t="n">
        <v>189874.04</v>
      </c>
      <c r="G3" s="7">
        <f>IF(AND(D3="",E3=""),F3,G2+IF(D3="",0,D3)-IF(E3="",0,E3))</f>
        <v/>
      </c>
    </row>
    <row r="4">
      <c r="A4" s="3" t="inlineStr">
        <is>
          <t>DBS HKD Current Account</t>
        </is>
      </c>
      <c r="B4" s="4" t="n">
        <v>44930</v>
      </c>
      <c r="C4" s="3" t="inlineStr">
        <is>
          <t>工資 PAYROLL 90000 B/O 90000</t>
        </is>
      </c>
      <c r="D4" s="5" t="n"/>
      <c r="E4" s="5" t="n">
        <v>156980</v>
      </c>
      <c r="F4" s="6" t="n">
        <v>32894.04</v>
      </c>
      <c r="G4" s="7">
        <f>IF(AND(D4="",E4=""),F4,G3+IF(D4="",0,D4)-IF(E4="",0,E4))</f>
        <v/>
      </c>
    </row>
    <row r="5">
      <c r="A5" s="3" t="inlineStr">
        <is>
          <t>DBS HKD Current Account</t>
        </is>
      </c>
      <c r="B5" s="4" t="n">
        <v>44930</v>
      </c>
      <c r="C5" s="3" t="inlineStr">
        <is>
          <t>CR 1513RF5924466 EBICT30104213765 EBICT30104213765 VIEWIDER LIMI VIEWIDER LIMITED HKD 15500</t>
        </is>
      </c>
      <c r="D5" s="5" t="n">
        <v>15500</v>
      </c>
      <c r="E5" s="5" t="n"/>
      <c r="F5" s="6" t="n">
        <v>48394.04</v>
      </c>
      <c r="G5" s="7">
        <f>IF(AND(D5="",E5=""),F5,G4+IF(D5="",0,D5)-IF(E5="",0,E5))</f>
        <v/>
      </c>
    </row>
    <row r="6">
      <c r="A6" s="3" t="inlineStr">
        <is>
          <t>DBS HKD Current Account</t>
        </is>
      </c>
      <c r="B6" s="4" t="n">
        <v>44930</v>
      </c>
      <c r="C6" s="3" t="inlineStr">
        <is>
          <t>FPS EBGPP30104008941 ECLOUDVALLEY TECHNOLOGY (HK) LIMITE 2301041555518RKCO063 CXBSNS</t>
        </is>
      </c>
      <c r="D6" s="5" t="n"/>
      <c r="E6" s="5" t="n">
        <v>32889.84</v>
      </c>
      <c r="F6" s="6" t="n">
        <v>15504.2</v>
      </c>
      <c r="G6" s="7">
        <f>IF(AND(D6="",E6=""),F6,G5+IF(D6="",0,D6)-IF(E6="",0,E6))</f>
        <v/>
      </c>
    </row>
    <row r="7">
      <c r="A7" s="3" t="inlineStr">
        <is>
          <t>DBS HKD Current Account</t>
        </is>
      </c>
      <c r="B7" s="4" t="n">
        <v>44930</v>
      </c>
      <c r="C7" s="3" t="inlineStr">
        <is>
          <t>FPS FEE for EBGPP30104008941 2301041555518RKCO063</t>
        </is>
      </c>
      <c r="D7" s="5" t="n"/>
      <c r="E7" s="5" t="n">
        <v>5</v>
      </c>
      <c r="F7" s="6" t="n">
        <v>15499.2</v>
      </c>
      <c r="G7" s="7">
        <f>IF(AND(D7="",E7=""),F7,G6+IF(D7="",0,D7)-IF(E7="",0,E7))</f>
        <v/>
      </c>
    </row>
    <row r="8">
      <c r="A8" s="3" t="inlineStr">
        <is>
          <t>DBS HKD Current Account</t>
        </is>
      </c>
      <c r="B8" s="4" t="n">
        <v>44930</v>
      </c>
      <c r="C8" s="3" t="inlineStr">
        <is>
          <t>INWARD CLEARING 000927 支票提取 CHEQUE WITHDRAWAL 000927 2023010400410920090430</t>
        </is>
      </c>
      <c r="D8" s="5" t="n"/>
      <c r="E8" s="5" t="n">
        <v>15420</v>
      </c>
      <c r="F8" s="6" t="n">
        <v>79.2</v>
      </c>
      <c r="G8" s="7">
        <f>IF(AND(D8="",E8=""),F8,G7+IF(D8="",0,D8)-IF(E8="",0,E8))</f>
        <v/>
      </c>
    </row>
    <row r="9">
      <c r="A9" s="3" t="inlineStr">
        <is>
          <t>DBS HKD Current Account</t>
        </is>
      </c>
      <c r="B9" s="4" t="n">
        <v>44931</v>
      </c>
      <c r="C9" s="3" t="inlineStr">
        <is>
          <t>退票 RETURN CHEQUE 000927 交易詳情 Transaction Details</t>
        </is>
      </c>
      <c r="D9" s="5" t="n">
        <v>15420</v>
      </c>
      <c r="E9" s="5" t="n"/>
      <c r="F9" s="6" t="n">
        <v>15499.2</v>
      </c>
      <c r="G9" s="7">
        <f>IF(AND(D9="",E9=""),F9,G8+IF(D9="",0,D9)-IF(E9="",0,E9))</f>
        <v/>
      </c>
    </row>
    <row r="10">
      <c r="A10" s="3" t="inlineStr">
        <is>
          <t>DBS HKD Current Account</t>
        </is>
      </c>
      <c r="B10" s="4" t="n">
        <v>44932</v>
      </c>
      <c r="C10" s="3" t="inlineStr">
        <is>
          <t>CR 1513RF5940434 EBICT30106217567 EBICT30106217567 VIEWIDER LIMI VIEWIDER LIMITED HKD 49461.01</t>
        </is>
      </c>
      <c r="D10" s="5" t="n">
        <v>49461.01</v>
      </c>
      <c r="E10" s="5" t="n"/>
      <c r="F10" s="6" t="n">
        <v>64960.21</v>
      </c>
      <c r="G10" s="7">
        <f>IF(AND(D10="",E10=""),F10,G9+IF(D10="",0,D10)-IF(E10="",0,E10))</f>
        <v/>
      </c>
    </row>
    <row r="11">
      <c r="A11" s="3" t="inlineStr">
        <is>
          <t>DBS HKD Current Account</t>
        </is>
      </c>
      <c r="B11" s="4" t="n">
        <v>44932</v>
      </c>
      <c r="C11" s="3" t="inlineStr">
        <is>
          <t>INWARD CLEARING 000928 支票提取 CHEQUE WITHDRAWAL 000928 2023010604318804488400</t>
        </is>
      </c>
      <c r="D11" s="5" t="n"/>
      <c r="E11" s="5" t="n">
        <v>26331.01</v>
      </c>
      <c r="F11" s="6" t="n">
        <v>38629.2</v>
      </c>
      <c r="G11" s="7">
        <f>IF(AND(D11="",E11=""),F11,G10+IF(D11="",0,D11)-IF(E11="",0,E11))</f>
        <v/>
      </c>
    </row>
    <row r="12">
      <c r="A12" s="3" t="inlineStr">
        <is>
          <t>DBS HKD Current Account</t>
        </is>
      </c>
      <c r="B12" s="4" t="n">
        <v>44933</v>
      </c>
      <c r="C12" s="3" t="inlineStr">
        <is>
          <t>CR 1513RF5941163 EBICT30107218968 EBICT30107218968 VIEWIDER LIMI VIEWIDER LIMITED HKD 200</t>
        </is>
      </c>
      <c r="D12" s="5" t="n">
        <v>200</v>
      </c>
      <c r="E12" s="5" t="n"/>
      <c r="F12" s="6" t="n">
        <v>38829.2</v>
      </c>
      <c r="G12" s="7">
        <f>IF(AND(D12="",E12=""),F12,G11+IF(D12="",0,D12)-IF(E12="",0,E12))</f>
        <v/>
      </c>
    </row>
    <row r="13">
      <c r="A13" s="3" t="inlineStr">
        <is>
          <t>DBS HKD Current Account</t>
        </is>
      </c>
      <c r="B13" s="4" t="n">
        <v>44935</v>
      </c>
      <c r="C13" s="3" t="inlineStr">
        <is>
          <t>INWARD CLEARING 000930 支票提取 CHEQUE WITHDRAWAL 000930 2023010900410219388520</t>
        </is>
      </c>
      <c r="D13" s="5" t="n"/>
      <c r="E13" s="5" t="n">
        <v>15420</v>
      </c>
      <c r="F13" s="6" t="n">
        <v>23409.2</v>
      </c>
      <c r="G13" s="7">
        <f>IF(AND(D13="",E13=""),F13,G12+IF(D13="",0,D13)-IF(E13="",0,E13))</f>
        <v/>
      </c>
    </row>
    <row r="14">
      <c r="A14" s="3" t="inlineStr">
        <is>
          <t>DBS HKD Current Account</t>
        </is>
      </c>
      <c r="B14" s="4" t="n">
        <v>44936</v>
      </c>
      <c r="C14" s="3" t="inlineStr">
        <is>
          <t>CR 1513RF5948935 EBICT30110222160 EBICT30110222160 VIEWIDER LIMI VIEWIDER LIMITED HKD 2821</t>
        </is>
      </c>
      <c r="D14" s="5" t="n">
        <v>2821</v>
      </c>
      <c r="E14" s="5" t="n"/>
      <c r="F14" s="6" t="n">
        <v>26230.2</v>
      </c>
      <c r="G14" s="7">
        <f>IF(AND(D14="",E14=""),F14,G13+IF(D14="",0,D14)-IF(E14="",0,E14))</f>
        <v/>
      </c>
    </row>
    <row r="15">
      <c r="A15" s="3" t="inlineStr">
        <is>
          <t>DBS HKD Current Account</t>
        </is>
      </c>
      <c r="B15" s="4" t="n">
        <v>44937</v>
      </c>
      <c r="C15" s="3" t="inlineStr">
        <is>
          <t>INWARD CLEARING 000931 支票提取 CHEQUE WITHDRAWAL 000931 2023011100410050044170</t>
        </is>
      </c>
      <c r="D15" s="5" t="n"/>
      <c r="E15" s="5" t="n">
        <v>2821</v>
      </c>
      <c r="F15" s="6" t="n">
        <v>23409.2</v>
      </c>
      <c r="G15" s="7">
        <f>IF(AND(D15="",E15=""),F15,G14+IF(D15="",0,D15)-IF(E15="",0,E15))</f>
        <v/>
      </c>
    </row>
    <row r="16">
      <c r="A16" s="3" t="inlineStr">
        <is>
          <t>DBS HKD Current Account</t>
        </is>
      </c>
      <c r="B16" s="4" t="n">
        <v>44938</v>
      </c>
      <c r="C16" s="3" t="inlineStr">
        <is>
          <t>INWARD CLEARING 000929 支票提取 CHEQUE WITHDRAWAL 000929 2023011200410030004090</t>
        </is>
      </c>
      <c r="D16" s="5" t="n"/>
      <c r="E16" s="5" t="n">
        <v>23130</v>
      </c>
      <c r="F16" s="6" t="n">
        <v>279.2</v>
      </c>
      <c r="G16" s="7">
        <f>IF(AND(D16="",E16=""),F16,G15+IF(D16="",0,D16)-IF(E16="",0,E16))</f>
        <v/>
      </c>
    </row>
    <row r="17">
      <c r="A17" s="3" t="inlineStr">
        <is>
          <t>DBS HKD Current Account</t>
        </is>
      </c>
      <c r="B17" s="4" t="n">
        <v>44942</v>
      </c>
      <c r="C17" s="3" t="inlineStr">
        <is>
          <t>INWARD CLEARING 000934 支票提取 CHEQUE WITHDRAWAL 000934 2023011600410920137260</t>
        </is>
      </c>
      <c r="D17" s="5" t="n"/>
      <c r="E17" s="5" t="n">
        <v>23130</v>
      </c>
      <c r="F17" s="6" t="n">
        <v>-22850.8</v>
      </c>
      <c r="G17" s="7">
        <f>IF(AND(D17="",E17=""),F17,G16+IF(D17="",0,D17)-IF(E17="",0,E17))</f>
        <v/>
      </c>
    </row>
    <row r="18">
      <c r="A18" s="3" t="inlineStr">
        <is>
          <t>DBS HKD Current Account</t>
        </is>
      </c>
      <c r="B18" s="4" t="n">
        <v>44943</v>
      </c>
      <c r="C18" s="3" t="inlineStr">
        <is>
          <t>CR 1513RF5977122 EBICT30117232616 EBICT30117232616 VIEWIDER LIMI VIEWIDER LIMITED HKD 23130</t>
        </is>
      </c>
      <c r="D18" s="5" t="n">
        <v>23130</v>
      </c>
      <c r="E18" s="5" t="n"/>
      <c r="F18" s="6" t="n">
        <v>279.2</v>
      </c>
      <c r="G18" s="7">
        <f>IF(AND(D18="",E18=""),F18,G17+IF(D18="",0,D18)-IF(E18="",0,E18))</f>
        <v/>
      </c>
    </row>
    <row r="19">
      <c r="A19" s="3" t="inlineStr">
        <is>
          <t>DBS HKD Current Account</t>
        </is>
      </c>
      <c r="B19" s="4" t="n">
        <v>44945</v>
      </c>
      <c r="C19" s="3" t="inlineStr">
        <is>
          <t>CR 1513RF5993231 EBICT30119238134 EBICT30119238134 VIEWIDER LIMI VIEWIDER LIMITED HKD 215.88</t>
        </is>
      </c>
      <c r="D19" s="5" t="n">
        <v>215.88</v>
      </c>
      <c r="E19" s="5" t="n"/>
      <c r="F19" s="6" t="n">
        <v>495.08</v>
      </c>
      <c r="G19" s="7">
        <f>IF(AND(D19="",E19=""),F19,G18+IF(D19="",0,D19)-IF(E19="",0,E19))</f>
        <v/>
      </c>
    </row>
    <row r="20">
      <c r="A20" s="3" t="inlineStr">
        <is>
          <t>DBS HKD Current Account</t>
        </is>
      </c>
      <c r="B20" s="4" t="n">
        <v>44945</v>
      </c>
      <c r="C20" s="3" t="inlineStr">
        <is>
          <t>CR 1513RF5994231 EBICT30119238625 EBICT30119238625 VIEWIDER LIMI VIEWIDER LIMITED HKD 29578.8</t>
        </is>
      </c>
      <c r="D20" s="5" t="n">
        <v>29578.8</v>
      </c>
      <c r="E20" s="5" t="n"/>
      <c r="F20" s="6" t="n">
        <v>30073.88</v>
      </c>
      <c r="G20" s="7">
        <f>IF(AND(D20="",E20=""),F20,G19+IF(D20="",0,D20)-IF(E20="",0,E20))</f>
        <v/>
      </c>
    </row>
    <row r="21">
      <c r="A21" s="3" t="inlineStr">
        <is>
          <t>DBS HKD Current Account</t>
        </is>
      </c>
      <c r="B21" s="4" t="n">
        <v>44945</v>
      </c>
      <c r="C21" s="3" t="inlineStr">
        <is>
          <t>INWARD CLEARING 000935 支票提取 CHEQUE WITHDRAWAL 000935 2023011900410236267980</t>
        </is>
      </c>
      <c r="D21" s="5" t="n"/>
      <c r="E21" s="5" t="n">
        <v>29578.8</v>
      </c>
      <c r="F21" s="6" t="n">
        <v>495.08</v>
      </c>
      <c r="G21" s="7">
        <f>IF(AND(D21="",E21=""),F21,G20+IF(D21="",0,D21)-IF(E21="",0,E21))</f>
        <v/>
      </c>
    </row>
    <row r="22">
      <c r="A22" s="3" t="inlineStr">
        <is>
          <t>DBS HKD Current Account</t>
        </is>
      </c>
      <c r="B22" s="4" t="n">
        <v>44945</v>
      </c>
      <c r="C22" s="3" t="inlineStr">
        <is>
          <t>INWARD CLEARING 000936 支票提取 CHEQUE WITHDRAWAL 000936 2023011900410236267990</t>
        </is>
      </c>
      <c r="D22" s="5" t="n"/>
      <c r="E22" s="5" t="n">
        <v>215.88</v>
      </c>
      <c r="F22" s="6" t="n">
        <v>279.2</v>
      </c>
      <c r="G22" s="7">
        <f>IF(AND(D22="",E22=""),F22,G21+IF(D22="",0,D22)-IF(E22="",0,E22))</f>
        <v/>
      </c>
    </row>
    <row r="23">
      <c r="A23" s="3" t="inlineStr">
        <is>
          <t>DBS HKD Current Account</t>
        </is>
      </c>
      <c r="B23" s="4" t="n">
        <v>44946</v>
      </c>
      <c r="C23" s="3" t="inlineStr">
        <is>
          <t>CR 1513RF5998712 EBICT30120240143 EBICT30120240143 VIEWIDER LIMI VIEWIDER LIMITED HKD 0.01</t>
        </is>
      </c>
      <c r="D23" s="5" t="n">
        <v>0.01</v>
      </c>
      <c r="E23" s="5" t="n"/>
      <c r="F23" s="6" t="n">
        <v>279.21</v>
      </c>
      <c r="G23" s="7">
        <f>IF(AND(D23="",E23=""),F23,G22+IF(D23="",0,D23)-IF(E23="",0,E23))</f>
        <v/>
      </c>
    </row>
    <row r="24">
      <c r="A24" s="3" t="inlineStr">
        <is>
          <t>DBS HKD Current Account</t>
        </is>
      </c>
      <c r="B24" s="4" t="n">
        <v>44946</v>
      </c>
      <c r="C24" s="3" t="inlineStr">
        <is>
          <t>CR 1513RF6000311 EBICT30120240943 EBICT30120240943 VIEWIDER LIMI VIEWIDER LIMITED HKD 15420</t>
        </is>
      </c>
      <c r="D24" s="5" t="n">
        <v>15420</v>
      </c>
      <c r="E24" s="5" t="n"/>
      <c r="F24" s="6" t="n">
        <v>15699.21</v>
      </c>
      <c r="G24" s="7">
        <f>IF(AND(D24="",E24=""),F24,G23+IF(D24="",0,D24)-IF(E24="",0,E24))</f>
        <v/>
      </c>
    </row>
    <row r="25">
      <c r="A25" s="3" t="inlineStr">
        <is>
          <t>DBS HKD Current Account</t>
        </is>
      </c>
      <c r="B25" s="4" t="n">
        <v>44946</v>
      </c>
      <c r="C25" s="3" t="inlineStr">
        <is>
          <t>INWARD CLEARING 000937 支票提取 CHEQUE WITHDRAWAL 000937 2023012000410238474270</t>
        </is>
      </c>
      <c r="D25" s="5" t="n"/>
      <c r="E25" s="5" t="n">
        <v>15420</v>
      </c>
      <c r="F25" s="6" t="n">
        <v>279.21</v>
      </c>
      <c r="G25" s="7">
        <f>IF(AND(D25="",E25=""),F25,G24+IF(D25="",0,D25)-IF(E25="",0,E25))</f>
        <v/>
      </c>
    </row>
    <row r="26">
      <c r="A26" s="3" t="inlineStr">
        <is>
          <t>DBS HKD Current Account</t>
        </is>
      </c>
      <c r="B26" s="4" t="n">
        <v>44952</v>
      </c>
      <c r="C26" s="3" t="inlineStr">
        <is>
          <t>IDEAL 網上銀行服務月費 IDEAL MONTHLY SERVICE FEE JAN</t>
        </is>
      </c>
      <c r="D26" s="5" t="n"/>
      <c r="E26" s="5" t="n">
        <v>150</v>
      </c>
      <c r="F26" s="6" t="n">
        <v>129.21</v>
      </c>
      <c r="G26" s="7">
        <f>IF(AND(D26="",E26=""),F26,G25+IF(D26="",0,D26)-IF(E26="",0,E26))</f>
        <v/>
      </c>
    </row>
    <row r="27">
      <c r="A27" s="3" t="inlineStr">
        <is>
          <t>DBS HKD Current Account</t>
        </is>
      </c>
      <c r="B27" s="4" t="n">
        <v>44952</v>
      </c>
      <c r="C27" s="3" t="inlineStr">
        <is>
          <t>轉數快收費回贈 FPS COMMISSION REBATE FOR DEC22 HK$5</t>
        </is>
      </c>
      <c r="D27" s="5" t="n">
        <v>5</v>
      </c>
      <c r="E27" s="5" t="n"/>
      <c r="F27" s="6" t="n">
        <v>134.21</v>
      </c>
      <c r="G27" s="7">
        <f>IF(AND(D27="",E27=""),F27,G26+IF(D27="",0,D27)-IF(E27="",0,E27))</f>
        <v/>
      </c>
    </row>
    <row r="28">
      <c r="A28" s="3" t="inlineStr">
        <is>
          <t>DBS HKD Current Account</t>
        </is>
      </c>
      <c r="B28" s="4" t="n">
        <v>44953</v>
      </c>
      <c r="C28" s="3" t="inlineStr">
        <is>
          <t>CR 1513RF6008527 EBICT30127246468 EBICT30127246468 VIEWIDER LIMI VIEWIDER LIMITED 交易詳情 Transaction Details</t>
        </is>
      </c>
      <c r="D28" s="5" t="n">
        <v>30840</v>
      </c>
      <c r="E28" s="5" t="n"/>
      <c r="F28" s="6" t="n">
        <v>30974.21</v>
      </c>
      <c r="G28" s="7">
        <f>IF(AND(D28="",E28=""),F28,G27+IF(D28="",0,D28)-IF(E28="",0,E28))</f>
        <v/>
      </c>
    </row>
    <row r="29">
      <c r="A29" s="3" t="inlineStr">
        <is>
          <t>DBS HKD Current Account</t>
        </is>
      </c>
      <c r="B29" s="4" t="n">
        <v>44957</v>
      </c>
      <c r="C29" s="3" t="inlineStr">
        <is>
          <t>INWARD CLEARING 000938 支票提取 CHEQUE WITHDRAWAL 000938 2023013100410226182400</t>
        </is>
      </c>
      <c r="D29" s="5" t="n"/>
      <c r="E29" s="5" t="n">
        <v>30840</v>
      </c>
      <c r="F29" s="6" t="n">
        <v>134.21</v>
      </c>
      <c r="G29" s="7">
        <f>IF(AND(D29="",E29=""),F29,G28+IF(D29="",0,D29)-IF(E29="",0,E29))</f>
        <v/>
      </c>
    </row>
    <row r="30">
      <c r="A30" s="3" t="inlineStr">
        <is>
          <t>DBS HKD Current Account</t>
        </is>
      </c>
      <c r="B30" s="4" t="n">
        <v>44957</v>
      </c>
      <c r="C30" s="3" t="inlineStr">
        <is>
          <t>利息 INTEREST INTEREST POSTING</t>
        </is>
      </c>
      <c r="D30" s="5" t="n"/>
      <c r="E30" s="5" t="n">
        <v>9.31</v>
      </c>
      <c r="F30" s="6" t="n">
        <v>124.9</v>
      </c>
      <c r="G30" s="7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2026-06-22T09:07:13Z</dcterms:created>
  <dcterms:modified xmlns:dcterms="http://purl.org/dc/terms/" xmlns:xsi="http://www.w3.org/2001/XMLSchema-instance" xsi:type="dcterms:W3CDTF">2026-06-22T09:07:13Z</dcterms:modified>
</cp:coreProperties>
</file>