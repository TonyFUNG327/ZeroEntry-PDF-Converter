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Current Account" sheetId="1" state="visible" r:id="rId1"/>
    <sheet xmlns:r="http://schemas.openxmlformats.org/officeDocument/2006/relationships" name="HSBC HKD Savings Account" sheetId="2" state="visible" r:id="rId2"/>
    <sheet xmlns:r="http://schemas.openxmlformats.org/officeDocument/2006/relationships" name="HSBC JPY FCY Savings" sheetId="3" state="visible" r:id="rId3"/>
    <sheet xmlns:r="http://schemas.openxmlformats.org/officeDocument/2006/relationships" name="HSBC EUR FCY Sav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Current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706012.41</v>
      </c>
      <c r="G2" s="8">
        <f>IF(AND(D2="",E2=""),F2,IF(D2="",0,D2)-IF(E2="",0,E2))</f>
        <v/>
      </c>
    </row>
    <row r="3">
      <c r="A3" s="3" t="inlineStr">
        <is>
          <t>HSBC HKD Current Account</t>
        </is>
      </c>
      <c r="B3" s="4" t="n">
        <v>45735</v>
      </c>
      <c r="C3" s="3" t="inlineStr">
        <is>
          <t>CHEQUE 599948</t>
        </is>
      </c>
      <c r="D3" s="5" t="n"/>
      <c r="E3" s="6" t="n">
        <v>88000</v>
      </c>
      <c r="F3" s="7" t="n">
        <v>618012.41</v>
      </c>
      <c r="G3" s="8">
        <f>IF(AND(D3="",E3=""),F3,G2+IF(D3="",0,D3)-IF(E3="",0,E3))</f>
        <v/>
      </c>
    </row>
    <row r="4">
      <c r="A4" s="3" t="inlineStr">
        <is>
          <t>HSBC HKD Current Account</t>
        </is>
      </c>
      <c r="B4" s="4" t="n">
        <v>45737</v>
      </c>
      <c r="C4" s="3" t="inlineStr">
        <is>
          <t>CHEQUE 599950</t>
        </is>
      </c>
      <c r="D4" s="5" t="n"/>
      <c r="E4" s="6" t="n">
        <v>14900</v>
      </c>
      <c r="F4" s="7" t="n"/>
      <c r="G4" s="8">
        <f>IF(AND(D4="",E4=""),F4,G3+IF(D4="",0,D4)-IF(E4="",0,E4))</f>
        <v/>
      </c>
    </row>
    <row r="5">
      <c r="A5" s="3" t="inlineStr">
        <is>
          <t>HSBC HKD Current Account</t>
        </is>
      </c>
      <c r="B5" s="4" t="n">
        <v>45737</v>
      </c>
      <c r="C5" s="3" t="inlineStr">
        <is>
          <t>CHEQUE 774852</t>
        </is>
      </c>
      <c r="D5" s="5" t="n"/>
      <c r="E5" s="6" t="n">
        <v>50403</v>
      </c>
      <c r="F5" s="7" t="n">
        <v>552709.41</v>
      </c>
      <c r="G5" s="8">
        <f>IF(AND(D5="",E5=""),F5,G4+IF(D5="",0,D5)-IF(E5="",0,E5))</f>
        <v/>
      </c>
    </row>
    <row r="6">
      <c r="A6" s="3" t="inlineStr">
        <is>
          <t>HSBC HKD Current Account</t>
        </is>
      </c>
      <c r="B6" s="4" t="n">
        <v>45743</v>
      </c>
      <c r="C6" s="3" t="inlineStr">
        <is>
          <t>DLF PRODUCTION LTD N32752162774(27MAR25)</t>
        </is>
      </c>
      <c r="D6" s="5" t="n">
        <v>100000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HSBC HKD Current Account</t>
        </is>
      </c>
      <c r="B7" s="4" t="n">
        <v>45743</v>
      </c>
      <c r="C7" s="3" t="inlineStr">
        <is>
          <t>DLF PRODUCTION LTD N32752164184(27MAR25)</t>
        </is>
      </c>
      <c r="D7" s="5" t="n">
        <v>900000</v>
      </c>
      <c r="E7" s="6" t="n"/>
      <c r="F7" s="7" t="n">
        <v>1552709.41</v>
      </c>
      <c r="G7" s="8">
        <f>IF(AND(D7="",E7=""),F7,G6+IF(D7="",0,D7)-IF(E7="",0,E7))</f>
        <v/>
      </c>
    </row>
    <row r="8">
      <c r="A8" s="3" t="inlineStr">
        <is>
          <t>HSBC HKD Current Account</t>
        </is>
      </c>
      <c r="B8" s="4" t="n">
        <v>45744</v>
      </c>
      <c r="C8" s="3" t="inlineStr">
        <is>
          <t>CHEQUE 774861</t>
        </is>
      </c>
      <c r="D8" s="5" t="n"/>
      <c r="E8" s="6" t="n">
        <v>300</v>
      </c>
      <c r="F8" s="7" t="n"/>
      <c r="G8" s="8">
        <f>IF(AND(D8="",E8=""),F8,G7+IF(D8="",0,D8)-IF(E8="",0,E8))</f>
        <v/>
      </c>
    </row>
    <row r="9">
      <c r="A9" s="3" t="inlineStr">
        <is>
          <t>HSBC HKD Current Account</t>
        </is>
      </c>
      <c r="B9" s="4" t="n">
        <v>45744</v>
      </c>
      <c r="C9" s="3" t="inlineStr">
        <is>
          <t>CHEQUE 774857</t>
        </is>
      </c>
      <c r="D9" s="5" t="n"/>
      <c r="E9" s="6" t="n">
        <v>6000</v>
      </c>
      <c r="F9" s="7" t="n"/>
      <c r="G9" s="8">
        <f>IF(AND(D9="",E9=""),F9,G8+IF(D9="",0,D9)-IF(E9="",0,E9))</f>
        <v/>
      </c>
    </row>
    <row r="10">
      <c r="A10" s="3" t="inlineStr">
        <is>
          <t>HSBC HKD Current Account</t>
        </is>
      </c>
      <c r="B10" s="4" t="n">
        <v>45744</v>
      </c>
      <c r="C10" s="3" t="inlineStr">
        <is>
          <t>CHEQUE 774856</t>
        </is>
      </c>
      <c r="D10" s="5" t="n"/>
      <c r="E10" s="6" t="n">
        <v>9000</v>
      </c>
      <c r="F10" s="7" t="n"/>
      <c r="G10" s="8">
        <f>IF(AND(D10="",E10=""),F10,G9+IF(D10="",0,D10)-IF(E10="",0,E10))</f>
        <v/>
      </c>
    </row>
    <row r="11">
      <c r="A11" s="3" t="inlineStr">
        <is>
          <t>HSBC HKD Current Account</t>
        </is>
      </c>
      <c r="B11" s="4" t="n">
        <v>45744</v>
      </c>
      <c r="C11" s="3" t="inlineStr">
        <is>
          <t>CHEQUE 774855</t>
        </is>
      </c>
      <c r="D11" s="5" t="n"/>
      <c r="E11" s="6" t="n">
        <v>15000</v>
      </c>
      <c r="F11" s="7" t="n"/>
      <c r="G11" s="8">
        <f>IF(AND(D11="",E11=""),F11,G10+IF(D11="",0,D11)-IF(E11="",0,E11))</f>
        <v/>
      </c>
    </row>
    <row r="12">
      <c r="A12" s="3" t="inlineStr">
        <is>
          <t>HSBC HKD Current Account</t>
        </is>
      </c>
      <c r="B12" s="4" t="n">
        <v>45744</v>
      </c>
      <c r="C12" s="3" t="inlineStr">
        <is>
          <t>CHEQUE 774858</t>
        </is>
      </c>
      <c r="D12" s="5" t="n"/>
      <c r="E12" s="6" t="n">
        <v>18000</v>
      </c>
      <c r="F12" s="7" t="n"/>
      <c r="G12" s="8">
        <f>IF(AND(D12="",E12=""),F12,G11+IF(D12="",0,D12)-IF(E12="",0,E12))</f>
        <v/>
      </c>
    </row>
    <row r="13">
      <c r="A13" s="3" t="inlineStr">
        <is>
          <t>HSBC HKD Current Account</t>
        </is>
      </c>
      <c r="B13" s="4" t="n">
        <v>45744</v>
      </c>
      <c r="C13" s="3" t="inlineStr">
        <is>
          <t>MCD 774875</t>
        </is>
      </c>
      <c r="D13" s="5" t="n"/>
      <c r="E13" s="6" t="n">
        <v>21462.23</v>
      </c>
      <c r="F13" s="7" t="n"/>
      <c r="G13" s="8">
        <f>IF(AND(D13="",E13=""),F13,G12+IF(D13="",0,D13)-IF(E13="",0,E13))</f>
        <v/>
      </c>
    </row>
    <row r="14">
      <c r="A14" s="3" t="inlineStr">
        <is>
          <t>HSBC HKD Current Account</t>
        </is>
      </c>
      <c r="B14" s="4" t="n">
        <v>45744</v>
      </c>
      <c r="C14" s="3" t="inlineStr">
        <is>
          <t>CHEQUE 774862</t>
        </is>
      </c>
      <c r="D14" s="5" t="n"/>
      <c r="E14" s="6" t="n">
        <v>24800</v>
      </c>
      <c r="F14" s="7" t="n"/>
      <c r="G14" s="8">
        <f>IF(AND(D14="",E14=""),F14,G13+IF(D14="",0,D14)-IF(E14="",0,E14))</f>
        <v/>
      </c>
    </row>
    <row r="15">
      <c r="A15" s="3" t="inlineStr">
        <is>
          <t>HSBC HKD Current Account</t>
        </is>
      </c>
      <c r="B15" s="4" t="n">
        <v>45744</v>
      </c>
      <c r="C15" s="3" t="inlineStr">
        <is>
          <t>CHEQUE 774860</t>
        </is>
      </c>
      <c r="D15" s="5" t="n"/>
      <c r="E15" s="6" t="n">
        <v>625360</v>
      </c>
      <c r="F15" s="7" t="n">
        <v>832787.1800000001</v>
      </c>
      <c r="G15" s="8">
        <f>IF(AND(D15="",E15=""),F15,G14+IF(D15="",0,D15)-IF(E15="",0,E15))</f>
        <v/>
      </c>
    </row>
    <row r="16">
      <c r="A16" s="3" t="inlineStr">
        <is>
          <t>HSBC HKD Current Account</t>
        </is>
      </c>
      <c r="B16" s="4" t="n">
        <v>45747</v>
      </c>
      <c r="C16" s="3" t="inlineStr">
        <is>
          <t>CHEQUE 774853</t>
        </is>
      </c>
      <c r="D16" s="5" t="n"/>
      <c r="E16" s="6" t="n">
        <v>10000</v>
      </c>
      <c r="F16" s="7" t="n"/>
      <c r="G16" s="8">
        <f>IF(AND(D16="",E16=""),F16,G15+IF(D16="",0,D16)-IF(E16="",0,E16))</f>
        <v/>
      </c>
    </row>
    <row r="17">
      <c r="A17" s="3" t="inlineStr">
        <is>
          <t>HSBC HKD Current Account</t>
        </is>
      </c>
      <c r="B17" s="4" t="n">
        <v>45747</v>
      </c>
      <c r="C17" s="3" t="inlineStr">
        <is>
          <t>CHEQUE 774878</t>
        </is>
      </c>
      <c r="D17" s="5" t="n"/>
      <c r="E17" s="6" t="n">
        <v>25000</v>
      </c>
      <c r="F17" s="7" t="n"/>
      <c r="G17" s="8">
        <f>IF(AND(D17="",E17=""),F17,G16+IF(D17="",0,D17)-IF(E17="",0,E17))</f>
        <v/>
      </c>
    </row>
    <row r="18">
      <c r="A18" s="3" t="inlineStr">
        <is>
          <t>HSBC HKD Current Account</t>
        </is>
      </c>
      <c r="B18" s="4" t="n">
        <v>45747</v>
      </c>
      <c r="C18" s="3" t="inlineStr">
        <is>
          <t>CHEQUE 774866</t>
        </is>
      </c>
      <c r="D18" s="5" t="n"/>
      <c r="E18" s="6" t="n">
        <v>54800</v>
      </c>
      <c r="F18" s="7" t="n"/>
      <c r="G18" s="8">
        <f>IF(AND(D18="",E18=""),F18,G17+IF(D18="",0,D18)-IF(E18="",0,E18))</f>
        <v/>
      </c>
    </row>
    <row r="19">
      <c r="A19" s="3" t="inlineStr">
        <is>
          <t>HSBC HKD Current Account</t>
        </is>
      </c>
      <c r="B19" s="4" t="n">
        <v>45747</v>
      </c>
      <c r="C19" s="3" t="inlineStr">
        <is>
          <t>CHEQUE 774868</t>
        </is>
      </c>
      <c r="D19" s="5" t="n"/>
      <c r="E19" s="6" t="n">
        <v>419800</v>
      </c>
      <c r="F19" s="7" t="n"/>
      <c r="G19" s="8">
        <f>IF(AND(D19="",E19=""),F19,G18+IF(D19="",0,D19)-IF(E19="",0,E19))</f>
        <v/>
      </c>
    </row>
    <row r="20">
      <c r="A20" s="3" t="inlineStr">
        <is>
          <t>HSBC HKD Current Account</t>
        </is>
      </c>
      <c r="B20" s="4" t="n">
        <v>45747</v>
      </c>
      <c r="C20" s="3" t="inlineStr">
        <is>
          <t>CHEQUE 774870</t>
        </is>
      </c>
      <c r="D20" s="5" t="n"/>
      <c r="E20" s="6" t="n">
        <v>573000</v>
      </c>
      <c r="F20" s="7" t="n"/>
      <c r="G20" s="8">
        <f>IF(AND(D20="",E20=""),F20,G19+IF(D20="",0,D20)-IF(E20="",0,E20))</f>
        <v/>
      </c>
    </row>
    <row r="21">
      <c r="A21" s="3" t="inlineStr">
        <is>
          <t>HSBC HKD Current Account</t>
        </is>
      </c>
      <c r="B21" s="4" t="n">
        <v>45747</v>
      </c>
      <c r="C21" s="3" t="inlineStr">
        <is>
          <t>DLF PRODUCTION LTD N33164964939(31MAR25)</t>
        </is>
      </c>
      <c r="D21" s="5" t="n">
        <v>2000000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HSBC HKD Current Account</t>
        </is>
      </c>
      <c r="B22" s="4" t="n">
        <v>45747</v>
      </c>
      <c r="C22" s="3" t="inlineStr">
        <is>
          <t>DLF PRODUCTION LTD N33165257323(31MAR25)</t>
        </is>
      </c>
      <c r="D22" s="5" t="n">
        <v>79000</v>
      </c>
      <c r="E22" s="6" t="n"/>
      <c r="F22" s="7" t="n">
        <v>1829187.18</v>
      </c>
      <c r="G22" s="8">
        <f>IF(AND(D22="",E22=""),F22,G21+IF(D22="",0,D22)-IF(E22="",0,E22))</f>
        <v/>
      </c>
    </row>
    <row r="23">
      <c r="A23" s="3" t="inlineStr">
        <is>
          <t>HSBC HKD Current Account</t>
        </is>
      </c>
      <c r="B23" s="4" t="n">
        <v>45748</v>
      </c>
      <c r="C23" s="3" t="inlineStr">
        <is>
          <t>CHEQUE 774867</t>
        </is>
      </c>
      <c r="D23" s="5" t="n"/>
      <c r="E23" s="6" t="n">
        <v>6000</v>
      </c>
      <c r="F23" s="7" t="n"/>
      <c r="G23" s="8">
        <f>IF(AND(D23="",E23=""),F23,G22+IF(D23="",0,D23)-IF(E23="",0,E23))</f>
        <v/>
      </c>
    </row>
    <row r="24">
      <c r="A24" s="3" t="inlineStr">
        <is>
          <t>HSBC HKD Current Account</t>
        </is>
      </c>
      <c r="B24" s="4" t="n">
        <v>45748</v>
      </c>
      <c r="C24" s="3" t="inlineStr">
        <is>
          <t>CHEQUE 774865</t>
        </is>
      </c>
      <c r="D24" s="5" t="n"/>
      <c r="E24" s="6" t="n">
        <v>7000</v>
      </c>
      <c r="F24" s="7" t="n"/>
      <c r="G24" s="8">
        <f>IF(AND(D24="",E24=""),F24,G23+IF(D24="",0,D24)-IF(E24="",0,E24))</f>
        <v/>
      </c>
    </row>
    <row r="25">
      <c r="A25" s="3" t="inlineStr">
        <is>
          <t>HSBC HKD Current Account</t>
        </is>
      </c>
      <c r="B25" s="4" t="n">
        <v>45748</v>
      </c>
      <c r="C25" s="3" t="inlineStr">
        <is>
          <t>CHEQUE 774864</t>
        </is>
      </c>
      <c r="D25" s="5" t="n"/>
      <c r="E25" s="6" t="n">
        <v>25000</v>
      </c>
      <c r="F25" s="7" t="n"/>
      <c r="G25" s="8">
        <f>IF(AND(D25="",E25=""),F25,G24+IF(D25="",0,D25)-IF(E25="",0,E25))</f>
        <v/>
      </c>
    </row>
    <row r="26">
      <c r="A26" s="3" t="inlineStr">
        <is>
          <t>HSBC HKD Current Account</t>
        </is>
      </c>
      <c r="B26" s="4" t="n">
        <v>45748</v>
      </c>
      <c r="C26" s="3" t="inlineStr">
        <is>
          <t>CHEQUE 774876</t>
        </is>
      </c>
      <c r="D26" s="5" t="n"/>
      <c r="E26" s="6" t="n">
        <v>43205</v>
      </c>
      <c r="F26" s="7" t="n"/>
      <c r="G26" s="8">
        <f>IF(AND(D26="",E26=""),F26,G25+IF(D26="",0,D26)-IF(E26="",0,E26))</f>
        <v/>
      </c>
    </row>
    <row r="27">
      <c r="A27" s="3" t="inlineStr">
        <is>
          <t>HSBC HKD Current Account</t>
        </is>
      </c>
      <c r="B27" s="4" t="n">
        <v>45748</v>
      </c>
      <c r="C27" s="3" t="inlineStr">
        <is>
          <t>CHEQUE 774874</t>
        </is>
      </c>
      <c r="D27" s="5" t="n"/>
      <c r="E27" s="6" t="n">
        <v>71302.34</v>
      </c>
      <c r="F27" s="7" t="n"/>
      <c r="G27" s="8">
        <f>IF(AND(D27="",E27=""),F27,G26+IF(D27="",0,D27)-IF(E27="",0,E27))</f>
        <v/>
      </c>
    </row>
    <row r="28">
      <c r="A28" s="3" t="inlineStr">
        <is>
          <t>HSBC HKD Current Account</t>
        </is>
      </c>
      <c r="B28" s="4" t="n">
        <v>45748</v>
      </c>
      <c r="C28" s="3" t="inlineStr">
        <is>
          <t>CHEQUE 774877</t>
        </is>
      </c>
      <c r="D28" s="5" t="n"/>
      <c r="E28" s="6" t="n">
        <v>253000</v>
      </c>
      <c r="F28" s="7" t="n">
        <v>1423679.84</v>
      </c>
      <c r="G28" s="8">
        <f>IF(AND(D28="",E28=""),F28,G27+IF(D28="",0,D28)-IF(E28="",0,E28))</f>
        <v/>
      </c>
    </row>
    <row r="29">
      <c r="A29" s="3" t="inlineStr">
        <is>
          <t>HSBC HKD Current Account</t>
        </is>
      </c>
      <c r="B29" s="4" t="n">
        <v>45749</v>
      </c>
      <c r="C29" s="3" t="inlineStr">
        <is>
          <t>CHEQUE 774890</t>
        </is>
      </c>
      <c r="D29" s="5" t="n"/>
      <c r="E29" s="6" t="n">
        <v>95445</v>
      </c>
      <c r="F29" s="7" t="n">
        <v>1328234.84</v>
      </c>
      <c r="G29" s="8">
        <f>IF(AND(D29="",E29=""),F29,G28+IF(D29="",0,D29)-IF(E29="",0,E29))</f>
        <v/>
      </c>
    </row>
    <row r="30">
      <c r="A30" s="3" t="inlineStr">
        <is>
          <t>HSBC HKD Current Account</t>
        </is>
      </c>
      <c r="B30" s="4" t="n">
        <v>45750</v>
      </c>
      <c r="C30" s="3" t="inlineStr">
        <is>
          <t>CHEQUE 774887</t>
        </is>
      </c>
      <c r="D30" s="5" t="n"/>
      <c r="E30" s="6" t="n">
        <v>700</v>
      </c>
      <c r="F30" s="7" t="n"/>
      <c r="G30" s="8">
        <f>IF(AND(D30="",E30=""),F30,G29+IF(D30="",0,D30)-IF(E30="",0,E30))</f>
        <v/>
      </c>
    </row>
    <row r="31">
      <c r="A31" s="3" t="inlineStr">
        <is>
          <t>HSBC HKD Current Account</t>
        </is>
      </c>
      <c r="B31" s="4" t="n">
        <v>45750</v>
      </c>
      <c r="C31" s="3" t="inlineStr">
        <is>
          <t>CHEQUE 774872</t>
        </is>
      </c>
      <c r="D31" s="5" t="n"/>
      <c r="E31" s="6" t="n">
        <v>1503.92</v>
      </c>
      <c r="F31" s="7" t="n"/>
      <c r="G31" s="8">
        <f>IF(AND(D31="",E31=""),F31,G30+IF(D31="",0,D31)-IF(E31="",0,E31))</f>
        <v/>
      </c>
    </row>
    <row r="32">
      <c r="A32" s="3" t="inlineStr">
        <is>
          <t>HSBC HKD Current Account</t>
        </is>
      </c>
      <c r="B32" s="4" t="n">
        <v>45750</v>
      </c>
      <c r="C32" s="3" t="inlineStr">
        <is>
          <t>CHEQUE 774885</t>
        </is>
      </c>
      <c r="D32" s="5" t="n"/>
      <c r="E32" s="6" t="n">
        <v>2400</v>
      </c>
      <c r="F32" s="7" t="n"/>
      <c r="G32" s="8">
        <f>IF(AND(D32="",E32=""),F32,G31+IF(D32="",0,D32)-IF(E32="",0,E32))</f>
        <v/>
      </c>
    </row>
    <row r="33">
      <c r="A33" s="3" t="inlineStr">
        <is>
          <t>HSBC HKD Current Account</t>
        </is>
      </c>
      <c r="B33" s="4" t="n">
        <v>45750</v>
      </c>
      <c r="C33" s="3" t="inlineStr">
        <is>
          <t>CHEQUE 774879</t>
        </is>
      </c>
      <c r="D33" s="5" t="n"/>
      <c r="E33" s="6" t="n">
        <v>5000</v>
      </c>
      <c r="F33" s="7" t="n"/>
      <c r="G33" s="8">
        <f>IF(AND(D33="",E33=""),F33,G32+IF(D33="",0,D33)-IF(E33="",0,E33))</f>
        <v/>
      </c>
    </row>
    <row r="34">
      <c r="A34" s="3" t="inlineStr">
        <is>
          <t>HSBC HKD Current Account</t>
        </is>
      </c>
      <c r="B34" s="4" t="n">
        <v>45750</v>
      </c>
      <c r="C34" s="3" t="inlineStr">
        <is>
          <t>CHEQUE 774873</t>
        </is>
      </c>
      <c r="D34" s="5" t="n"/>
      <c r="E34" s="6" t="n">
        <v>6000</v>
      </c>
      <c r="F34" s="7" t="n"/>
      <c r="G34" s="8">
        <f>IF(AND(D34="",E34=""),F34,G33+IF(D34="",0,D34)-IF(E34="",0,E34))</f>
        <v/>
      </c>
    </row>
    <row r="35">
      <c r="A35" s="3" t="inlineStr">
        <is>
          <t>HSBC HKD Current Account</t>
        </is>
      </c>
      <c r="B35" s="4" t="n">
        <v>45750</v>
      </c>
      <c r="C35" s="3" t="inlineStr">
        <is>
          <t>CHEQUE 774886</t>
        </is>
      </c>
      <c r="D35" s="5" t="n"/>
      <c r="E35" s="6" t="n">
        <v>9500</v>
      </c>
      <c r="F35" s="7" t="n"/>
      <c r="G35" s="8">
        <f>IF(AND(D35="",E35=""),F35,G34+IF(D35="",0,D35)-IF(E35="",0,E35))</f>
        <v/>
      </c>
    </row>
    <row r="36">
      <c r="A36" s="3" t="inlineStr">
        <is>
          <t>HSBC HKD Current Account</t>
        </is>
      </c>
      <c r="B36" s="4" t="n">
        <v>45750</v>
      </c>
      <c r="C36" s="3" t="inlineStr">
        <is>
          <t>CHEQUE 774880</t>
        </is>
      </c>
      <c r="D36" s="5" t="n"/>
      <c r="E36" s="6" t="n">
        <v>13000</v>
      </c>
      <c r="F36" s="7" t="n"/>
      <c r="G36" s="8">
        <f>IF(AND(D36="",E36=""),F36,G35+IF(D36="",0,D36)-IF(E36="",0,E36))</f>
        <v/>
      </c>
    </row>
    <row r="37">
      <c r="A37" s="3" t="inlineStr">
        <is>
          <t>HSBC HKD Current Account</t>
        </is>
      </c>
      <c r="B37" s="4" t="n">
        <v>45750</v>
      </c>
      <c r="C37" s="3" t="inlineStr">
        <is>
          <t>CHEQUE 774884</t>
        </is>
      </c>
      <c r="D37" s="5" t="n"/>
      <c r="E37" s="6" t="n">
        <v>204648</v>
      </c>
      <c r="F37" s="7" t="n"/>
      <c r="G37" s="8">
        <f>IF(AND(D37="",E37=""),F37,G36+IF(D37="",0,D37)-IF(E37="",0,E37))</f>
        <v/>
      </c>
    </row>
    <row r="38">
      <c r="A38" s="3" t="inlineStr">
        <is>
          <t>HSBC HKD Current Account</t>
        </is>
      </c>
      <c r="B38" s="4" t="n">
        <v>45750</v>
      </c>
      <c r="C38" s="3" t="inlineStr">
        <is>
          <t>CHEQUE 774883</t>
        </is>
      </c>
      <c r="D38" s="5" t="n"/>
      <c r="E38" s="6" t="n">
        <v>272000</v>
      </c>
      <c r="F38" s="7" t="n">
        <v>813482.92</v>
      </c>
      <c r="G38" s="8">
        <f>IF(AND(D38="",E38=""),F38,G37+IF(D38="",0,D38)-IF(E38="",0,E38))</f>
        <v/>
      </c>
    </row>
    <row r="39">
      <c r="A39" s="3" t="inlineStr">
        <is>
          <t>HSBC HKD Current Account</t>
        </is>
      </c>
      <c r="B39" s="4" t="n">
        <v>45755</v>
      </c>
      <c r="C39" s="3" t="inlineStr">
        <is>
          <t>CHEQUE 774888</t>
        </is>
      </c>
      <c r="D39" s="5" t="n"/>
      <c r="E39" s="6" t="n">
        <v>1500</v>
      </c>
      <c r="F39" s="7" t="n"/>
      <c r="G39" s="8">
        <f>IF(AND(D39="",E39=""),F39,G38+IF(D39="",0,D39)-IF(E39="",0,E39))</f>
        <v/>
      </c>
    </row>
    <row r="40">
      <c r="A40" s="3" t="inlineStr">
        <is>
          <t>HSBC HKD Current Account</t>
        </is>
      </c>
      <c r="B40" s="4" t="n">
        <v>45755</v>
      </c>
      <c r="C40" s="3" t="inlineStr">
        <is>
          <t>CHEQUE 774893</t>
        </is>
      </c>
      <c r="D40" s="5" t="n"/>
      <c r="E40" s="6" t="n">
        <v>30000</v>
      </c>
      <c r="F40" s="7" t="n"/>
      <c r="G40" s="8">
        <f>IF(AND(D40="",E40=""),F40,G39+IF(D40="",0,D40)-IF(E40="",0,E40))</f>
        <v/>
      </c>
    </row>
    <row r="41">
      <c r="A41" s="3" t="inlineStr">
        <is>
          <t>HSBC HKD Current Account</t>
        </is>
      </c>
      <c r="B41" s="4" t="n">
        <v>45755</v>
      </c>
      <c r="C41" s="3" t="inlineStr">
        <is>
          <t>CHEQUE 774889</t>
        </is>
      </c>
      <c r="D41" s="5" t="n"/>
      <c r="E41" s="6" t="n">
        <v>40500</v>
      </c>
      <c r="F41" s="7" t="n"/>
      <c r="G41" s="8">
        <f>IF(AND(D41="",E41=""),F41,G40+IF(D41="",0,D41)-IF(E41="",0,E41))</f>
        <v/>
      </c>
    </row>
    <row r="42">
      <c r="A42" s="3" t="inlineStr">
        <is>
          <t>HSBC HKD Current Account</t>
        </is>
      </c>
      <c r="B42" s="4" t="n">
        <v>45755</v>
      </c>
      <c r="C42" s="3" t="inlineStr">
        <is>
          <t>CHEQUE 774882</t>
        </is>
      </c>
      <c r="D42" s="5" t="n"/>
      <c r="E42" s="6" t="n">
        <v>175000</v>
      </c>
      <c r="F42" s="7" t="n">
        <v>566482.92</v>
      </c>
      <c r="G42" s="8">
        <f>IF(AND(D42="",E42=""),F42,G41+IF(D42="",0,D42)-IF(E42="",0,E42))</f>
        <v/>
      </c>
    </row>
    <row r="43">
      <c r="A43" s="3" t="inlineStr">
        <is>
          <t>HSBC HKD Current Account</t>
        </is>
      </c>
      <c r="B43" s="4" t="n">
        <v>45756</v>
      </c>
      <c r="C43" s="3" t="inlineStr">
        <is>
          <t>DLF PRODUCTION LTD N40999791680(09APR25)</t>
        </is>
      </c>
      <c r="D43" s="5" t="n">
        <v>143009.58</v>
      </c>
      <c r="E43" s="6" t="n"/>
      <c r="F43" s="7" t="n">
        <v>709492.5</v>
      </c>
      <c r="G43" s="8">
        <f>IF(AND(D43="",E43=""),F43,G42+IF(D43="",0,D43)-IF(E43="",0,E43))</f>
        <v/>
      </c>
    </row>
    <row r="44">
      <c r="A44" s="3" t="inlineStr">
        <is>
          <t>HSBC HKD Current Account</t>
        </is>
      </c>
      <c r="B44" s="4" t="n">
        <v>45757</v>
      </c>
      <c r="C44" s="3" t="inlineStr">
        <is>
          <t>CHEQUE 774897</t>
        </is>
      </c>
      <c r="D44" s="5" t="n"/>
      <c r="E44" s="6" t="n">
        <v>800</v>
      </c>
      <c r="F44" s="7" t="n"/>
      <c r="G44" s="8">
        <f>IF(AND(D44="",E44=""),F44,G43+IF(D44="",0,D44)-IF(E44="",0,E44))</f>
        <v/>
      </c>
    </row>
    <row r="45">
      <c r="A45" s="3" t="inlineStr">
        <is>
          <t>HSBC HKD Current Account</t>
        </is>
      </c>
      <c r="B45" s="4" t="n">
        <v>45757</v>
      </c>
      <c r="C45" s="3" t="inlineStr">
        <is>
          <t>CHEQUE 774892</t>
        </is>
      </c>
      <c r="D45" s="5" t="n"/>
      <c r="E45" s="6" t="n">
        <v>1551</v>
      </c>
      <c r="F45" s="7" t="n"/>
      <c r="G45" s="8">
        <f>IF(AND(D45="",E45=""),F45,G44+IF(D45="",0,D45)-IF(E45="",0,E45))</f>
        <v/>
      </c>
    </row>
    <row r="46">
      <c r="A46" s="3" t="inlineStr">
        <is>
          <t>HSBC HKD Current Account</t>
        </is>
      </c>
      <c r="B46" s="4" t="n">
        <v>45757</v>
      </c>
      <c r="C46" s="3" t="inlineStr">
        <is>
          <t>CHEQUE 774895</t>
        </is>
      </c>
      <c r="D46" s="5" t="n"/>
      <c r="E46" s="6" t="n">
        <v>2000</v>
      </c>
      <c r="F46" s="7" t="n"/>
      <c r="G46" s="8">
        <f>IF(AND(D46="",E46=""),F46,G45+IF(D46="",0,D46)-IF(E46="",0,E46))</f>
        <v/>
      </c>
    </row>
    <row r="47">
      <c r="A47" s="3" t="inlineStr">
        <is>
          <t>HSBC HKD Current Account</t>
        </is>
      </c>
      <c r="B47" s="4" t="n">
        <v>45757</v>
      </c>
      <c r="C47" s="3" t="inlineStr">
        <is>
          <t>CHEQUE 599935</t>
        </is>
      </c>
      <c r="D47" s="5" t="n"/>
      <c r="E47" s="6" t="n">
        <v>3003</v>
      </c>
      <c r="F47" s="7" t="n"/>
      <c r="G47" s="8">
        <f>IF(AND(D47="",E47=""),F47,G46+IF(D47="",0,D47)-IF(E47="",0,E47))</f>
        <v/>
      </c>
    </row>
    <row r="48">
      <c r="A48" s="3" t="inlineStr">
        <is>
          <t>HSBC HKD Current Account</t>
        </is>
      </c>
      <c r="B48" s="4" t="n">
        <v>45757</v>
      </c>
      <c r="C48" s="3" t="inlineStr">
        <is>
          <t>CHEQUE 774881</t>
        </is>
      </c>
      <c r="D48" s="5" t="n"/>
      <c r="E48" s="6" t="n">
        <v>175000</v>
      </c>
      <c r="F48" s="7" t="n"/>
      <c r="G48" s="8">
        <f>IF(AND(D48="",E48=""),F48,G47+IF(D48="",0,D48)-IF(E48="",0,E48))</f>
        <v/>
      </c>
    </row>
    <row r="49">
      <c r="A49" s="3" t="inlineStr">
        <is>
          <t>HSBC HKD Current Account</t>
        </is>
      </c>
      <c r="B49" s="4" t="n">
        <v>45757</v>
      </c>
      <c r="C49" s="3" t="inlineStr">
        <is>
          <t>CHEQUE 774896</t>
        </is>
      </c>
      <c r="D49" s="5" t="n"/>
      <c r="E49" s="6" t="n">
        <v>336000</v>
      </c>
      <c r="F49" s="7" t="n">
        <v>191138.5</v>
      </c>
      <c r="G49" s="8">
        <f>IF(AND(D49="",E49=""),F49,G48+IF(D49="",0,D49)-IF(E49="",0,E49))</f>
        <v/>
      </c>
    </row>
    <row r="50">
      <c r="A50" s="3" t="inlineStr">
        <is>
          <t>HSBC HKD Current Account</t>
        </is>
      </c>
      <c r="B50" s="4" t="n">
        <v>45761</v>
      </c>
      <c r="C50" s="3" t="inlineStr">
        <is>
          <t>CHEQUE 774898</t>
        </is>
      </c>
      <c r="D50" s="5" t="n"/>
      <c r="E50" s="6" t="n">
        <v>16160</v>
      </c>
      <c r="F50" s="7" t="n"/>
      <c r="G50" s="8">
        <f>IF(AND(D50="",E50=""),F50,G49+IF(D50="",0,D50)-IF(E50="",0,E50))</f>
        <v/>
      </c>
    </row>
    <row r="51">
      <c r="A51" s="3" t="inlineStr">
        <is>
          <t>HSBC HKD Current Account</t>
        </is>
      </c>
      <c r="B51" s="4" t="n">
        <v>45761</v>
      </c>
      <c r="C51" s="3" t="inlineStr">
        <is>
          <t>DLF PRODUCTION LTD N41416808751(14APR25)</t>
        </is>
      </c>
      <c r="D51" s="5" t="n">
        <v>944050</v>
      </c>
      <c r="E51" s="6" t="n"/>
      <c r="F51" s="7" t="n">
        <v>1119028.5</v>
      </c>
      <c r="G51" s="8">
        <f>IF(AND(D51="",E51=""),F51,G50+IF(D51="",0,D51)-IF(E51="",0,E51))</f>
        <v/>
      </c>
    </row>
    <row r="52">
      <c r="A52" s="3" t="inlineStr">
        <is>
          <t>HSBC HKD Current Account</t>
        </is>
      </c>
      <c r="B52" s="4" t="n">
        <v>45763</v>
      </c>
      <c r="C52" s="3" t="inlineStr">
        <is>
          <t>DLF PRODUCTION LTD N41622755920(16APR25)</t>
        </is>
      </c>
      <c r="D52" s="5" t="n">
        <v>84519</v>
      </c>
      <c r="E52" s="6" t="n"/>
      <c r="F52" s="7" t="n">
        <v>1203547.5</v>
      </c>
      <c r="G52" s="8">
        <f>IF(AND(D52="",E52=""),F52,G51+IF(D52="",0,D52)-IF(E52="",0,E52))</f>
        <v/>
      </c>
    </row>
    <row r="53">
      <c r="A53" s="3" t="inlineStr">
        <is>
          <t>HSBC HKD Current Account</t>
        </is>
      </c>
      <c r="B53" s="4" t="n">
        <v>45764</v>
      </c>
      <c r="C53" s="3" t="inlineStr">
        <is>
          <t>CHEQUE 774900</t>
        </is>
      </c>
      <c r="D53" s="5" t="n"/>
      <c r="E53" s="6" t="n">
        <v>2850</v>
      </c>
      <c r="F53" s="7" t="n"/>
      <c r="G53" s="8">
        <f>IF(AND(D53="",E53=""),F53,G52+IF(D53="",0,D53)-IF(E53="",0,E53))</f>
        <v/>
      </c>
    </row>
    <row r="54">
      <c r="A54" s="3" t="inlineStr">
        <is>
          <t>HSBC HKD Current Account</t>
        </is>
      </c>
      <c r="B54" s="4" t="n">
        <v>45764</v>
      </c>
      <c r="C54" s="3" t="inlineStr">
        <is>
          <t>CHEQUE 774804</t>
        </is>
      </c>
      <c r="D54" s="5" t="n"/>
      <c r="E54" s="6" t="n">
        <v>4800</v>
      </c>
      <c r="F54" s="7" t="n"/>
      <c r="G54" s="8">
        <f>IF(AND(D54="",E54=""),F54,G53+IF(D54="",0,D54)-IF(E54="",0,E54))</f>
        <v/>
      </c>
    </row>
    <row r="55">
      <c r="A55" s="3" t="inlineStr">
        <is>
          <t>HSBC HKD Current Account</t>
        </is>
      </c>
      <c r="B55" s="4" t="n">
        <v>45764</v>
      </c>
      <c r="C55" s="3" t="inlineStr">
        <is>
          <t>CHEQUE 774802</t>
        </is>
      </c>
      <c r="D55" s="5" t="n"/>
      <c r="E55" s="6" t="n">
        <v>7600</v>
      </c>
      <c r="F55" s="7" t="n"/>
      <c r="G55" s="8">
        <f>IF(AND(D55="",E55=""),F55,G54+IF(D55="",0,D55)-IF(E55="",0,E55))</f>
        <v/>
      </c>
    </row>
    <row r="56">
      <c r="A56" s="3" t="inlineStr">
        <is>
          <t>HSBC HKD Current Account</t>
        </is>
      </c>
      <c r="B56" s="4" t="n">
        <v>45764</v>
      </c>
      <c r="C56" s="3" t="inlineStr">
        <is>
          <t>CHEQUE 774803</t>
        </is>
      </c>
      <c r="D56" s="5" t="n"/>
      <c r="E56" s="6" t="n">
        <v>13500</v>
      </c>
      <c r="F56" s="7" t="n"/>
      <c r="G56" s="8">
        <f>IF(AND(D56="",E56=""),F56,G55+IF(D56="",0,D56)-IF(E56="",0,E56))</f>
        <v/>
      </c>
    </row>
    <row r="57">
      <c r="A57" s="3" t="inlineStr">
        <is>
          <t>HSBC HKD Current Account</t>
        </is>
      </c>
      <c r="B57" s="4" t="n">
        <v>45764</v>
      </c>
      <c r="C57" s="3" t="inlineStr">
        <is>
          <t>CHEQUE 774806</t>
        </is>
      </c>
      <c r="D57" s="5" t="n"/>
      <c r="E57" s="6" t="n">
        <v>35000</v>
      </c>
      <c r="F57" s="7" t="n"/>
      <c r="G57" s="8">
        <f>IF(AND(D57="",E57=""),F57,G56+IF(D57="",0,D57)-IF(E57="",0,E57))</f>
        <v/>
      </c>
    </row>
    <row r="58">
      <c r="A58" s="3" t="inlineStr">
        <is>
          <t>HSBC HKD Current Account</t>
        </is>
      </c>
      <c r="B58" s="4" t="n">
        <v>45764</v>
      </c>
      <c r="C58" s="3" t="inlineStr">
        <is>
          <t>CHEQUE 774863</t>
        </is>
      </c>
      <c r="D58" s="5" t="n"/>
      <c r="E58" s="6" t="n">
        <v>156000</v>
      </c>
      <c r="F58" s="7" t="n"/>
      <c r="G58" s="8">
        <f>IF(AND(D58="",E58=""),F58,G57+IF(D58="",0,D58)-IF(E58="",0,E58))</f>
        <v/>
      </c>
    </row>
    <row r="59">
      <c r="A59" s="3" t="inlineStr">
        <is>
          <t>HSBC HKD Current Account</t>
        </is>
      </c>
      <c r="B59" s="4" t="n">
        <v>45764</v>
      </c>
      <c r="C59" s="3" t="inlineStr">
        <is>
          <t>CHEQUE 774899</t>
        </is>
      </c>
      <c r="D59" s="5" t="n"/>
      <c r="E59" s="6" t="n">
        <v>400000</v>
      </c>
      <c r="F59" s="7" t="n"/>
      <c r="G59" s="8">
        <f>IF(AND(D59="",E59=""),F59,G58+IF(D59="",0,D59)-IF(E59="",0,E59))</f>
        <v/>
      </c>
    </row>
    <row r="60">
      <c r="A60" s="3" t="inlineStr">
        <is>
          <t>HSBC HKD Current Account</t>
        </is>
      </c>
      <c r="B60" s="4" t="n">
        <v>45764</v>
      </c>
      <c r="C60" s="3" t="inlineStr">
        <is>
          <t>CHEQUE 774869</t>
        </is>
      </c>
      <c r="D60" s="5" t="n"/>
      <c r="E60" s="6" t="n">
        <v>430529.5</v>
      </c>
      <c r="F60" s="7" t="n"/>
      <c r="G60" s="8">
        <f>IF(AND(D60="",E60=""),F60,G59+IF(D60="",0,D60)-IF(E60="",0,E60))</f>
        <v/>
      </c>
    </row>
    <row r="61">
      <c r="A61" s="3" t="inlineStr">
        <is>
          <t>HSBC HKD Current Account</t>
        </is>
      </c>
      <c r="B61" s="4" t="n">
        <v>45764</v>
      </c>
      <c r="C61" s="3" t="inlineStr">
        <is>
          <t>DLF PRODUCTION LTD N41727124317(17APR25)</t>
        </is>
      </c>
      <c r="D61" s="5" t="n">
        <v>225800</v>
      </c>
      <c r="E61" s="6" t="n"/>
      <c r="F61" s="7" t="n">
        <v>379068</v>
      </c>
      <c r="G61" s="8">
        <f>IF(AND(D61="",E61=""),F61,G60+IF(D61="",0,D61)-IF(E61="",0,E61))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2215346.07</v>
      </c>
      <c r="G2" s="8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45735</v>
      </c>
      <c r="C3" s="3" t="inlineStr">
        <is>
          <t>AS W R HK L ACH O01</t>
        </is>
      </c>
      <c r="D3" s="5" t="n">
        <v>6000</v>
      </c>
      <c r="E3" s="6" t="n"/>
      <c r="F3" s="7" t="n">
        <v>2221346.07</v>
      </c>
      <c r="G3" s="8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45740</v>
      </c>
      <c r="C4" s="3" t="inlineStr">
        <is>
          <t>AIA INTL LTD HC12532466316039 24MAR</t>
        </is>
      </c>
      <c r="D4" s="5" t="n">
        <v>500000</v>
      </c>
      <c r="E4" s="6" t="n"/>
      <c r="F4" s="7" t="n">
        <v>2721346.07</v>
      </c>
      <c r="G4" s="8">
        <f>IF(AND(D4="",E4=""),F4,G3+IF(D4="",0,D4)-IF(E4="",0,E4))</f>
        <v/>
      </c>
    </row>
    <row r="5">
      <c r="A5" s="3" t="inlineStr">
        <is>
          <t>HSBC HKD Savings Account</t>
        </is>
      </c>
      <c r="B5" s="4" t="n">
        <v>45742</v>
      </c>
      <c r="C5" s="3" t="inlineStr">
        <is>
          <t>HONG KONG METROPOLIT HC12532670458342 26MAR</t>
        </is>
      </c>
      <c r="D5" s="5" t="n">
        <v>196200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HSBC HKD Savings Account</t>
        </is>
      </c>
      <c r="B6" s="4" t="n">
        <v>45742</v>
      </c>
      <c r="C6" s="3" t="inlineStr">
        <is>
          <t>HK EX &amp; CLR LTD VENDOR 5</t>
        </is>
      </c>
      <c r="D6" s="5" t="n">
        <v>436936</v>
      </c>
      <c r="E6" s="6" t="n"/>
      <c r="F6" s="7" t="n">
        <v>3354482.07</v>
      </c>
      <c r="G6" s="8">
        <f>IF(AND(D6="",E6=""),F6,G5+IF(D6="",0,D6)-IF(E6="",0,E6))</f>
        <v/>
      </c>
    </row>
    <row r="7">
      <c r="A7" s="3" t="inlineStr">
        <is>
          <t>HSBC HKD Savings Account</t>
        </is>
      </c>
      <c r="B7" s="4" t="n">
        <v>45743</v>
      </c>
      <c r="C7" s="3" t="inlineStr">
        <is>
          <t>HK105035BI845026 - REMITTANCES</t>
        </is>
      </c>
      <c r="D7" s="5" t="n"/>
      <c r="E7" s="6" t="n">
        <v>234.23</v>
      </c>
      <c r="F7" s="7" t="n"/>
      <c r="G7" s="8">
        <f>IF(AND(D7="",E7=""),F7,G6+IF(D7="",0,D7)-IF(E7="",0,E7))</f>
        <v/>
      </c>
    </row>
    <row r="8">
      <c r="A8" s="3" t="inlineStr">
        <is>
          <t>HSBC HKD Savings Account</t>
        </is>
      </c>
      <c r="B8" s="4" t="n">
        <v>45743</v>
      </c>
      <c r="C8" s="3" t="inlineStr">
        <is>
          <t>CR TO 634-434773-001 N32752162774(27MAR25)</t>
        </is>
      </c>
      <c r="D8" s="5" t="n"/>
      <c r="E8" s="6" t="n">
        <v>100000</v>
      </c>
      <c r="F8" s="7" t="n"/>
      <c r="G8" s="8">
        <f>IF(AND(D8="",E8=""),F8,G7+IF(D8="",0,D8)-IF(E8="",0,E8))</f>
        <v/>
      </c>
    </row>
    <row r="9">
      <c r="A9" s="3" t="inlineStr">
        <is>
          <t>HSBC HKD Savings Account</t>
        </is>
      </c>
      <c r="B9" s="4" t="n">
        <v>45743</v>
      </c>
      <c r="C9" s="3" t="inlineStr">
        <is>
          <t>CR TO 634-434773-001 N32752164184(27MAR25)</t>
        </is>
      </c>
      <c r="D9" s="5" t="n"/>
      <c r="E9" s="6" t="n">
        <v>900000</v>
      </c>
      <c r="F9" s="7" t="n">
        <v>2354247.84</v>
      </c>
      <c r="G9" s="8">
        <f>IF(AND(D9="",E9=""),F9,G8+IF(D9="",0,D9)-IF(E9="",0,E9))</f>
        <v/>
      </c>
    </row>
    <row r="10">
      <c r="A10" s="3" t="inlineStr">
        <is>
          <t>HSBC HKD Savings Account</t>
        </is>
      </c>
      <c r="B10" s="4" t="n">
        <v>45744</v>
      </c>
      <c r="C10" s="3" t="inlineStr">
        <is>
          <t>CREDIT INTEREST</t>
        </is>
      </c>
      <c r="D10" s="5" t="n">
        <v>354.74</v>
      </c>
      <c r="E10" s="6" t="n"/>
      <c r="F10" s="7" t="n">
        <v>2354602.58</v>
      </c>
      <c r="G10" s="8">
        <f>IF(AND(D10="",E10=""),F10,G9+IF(D10="",0,D10)-IF(E10="",0,E10))</f>
        <v/>
      </c>
    </row>
    <row r="11">
      <c r="A11" s="3" t="inlineStr">
        <is>
          <t>HSBC HKD Savings Account</t>
        </is>
      </c>
      <c r="B11" s="4" t="n">
        <v>45747</v>
      </c>
      <c r="C11" s="3" t="inlineStr">
        <is>
          <t>MODERN TERMINALS LTD MTL-ACH2</t>
        </is>
      </c>
      <c r="D11" s="5" t="n">
        <v>225000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HSBC HKD Savings Account</t>
        </is>
      </c>
      <c r="B12" s="4" t="n">
        <v>45747</v>
      </c>
      <c r="C12" s="3" t="inlineStr">
        <is>
          <t>CR TO 634-434773-001 N33164964939(31MAR25)</t>
        </is>
      </c>
      <c r="D12" s="5" t="n"/>
      <c r="E12" s="6" t="n">
        <v>2000000</v>
      </c>
      <c r="F12" s="7" t="n"/>
      <c r="G12" s="8">
        <f>IF(AND(D12="",E12=""),F12,G11+IF(D12="",0,D12)-IF(E12="",0,E12))</f>
        <v/>
      </c>
    </row>
    <row r="13">
      <c r="A13" s="3" t="inlineStr">
        <is>
          <t>HSBC HKD Savings Account</t>
        </is>
      </c>
      <c r="B13" s="4" t="n">
        <v>45747</v>
      </c>
      <c r="C13" s="3" t="inlineStr">
        <is>
          <t>CR TO 634-434773-001 N33165257323(31MAR25)</t>
        </is>
      </c>
      <c r="D13" s="5" t="n"/>
      <c r="E13" s="6" t="n">
        <v>79000</v>
      </c>
      <c r="F13" s="7" t="n"/>
      <c r="G13" s="8">
        <f>IF(AND(D13="",E13=""),F13,G12+IF(D13="",0,D13)-IF(E13="",0,E13))</f>
        <v/>
      </c>
    </row>
    <row r="14">
      <c r="A14" s="3" t="inlineStr">
        <is>
          <t>HSBC HKD Savings Account</t>
        </is>
      </c>
      <c r="B14" s="4" t="n">
        <v>45747</v>
      </c>
      <c r="C14" s="3" t="inlineStr">
        <is>
          <t>SALARY</t>
        </is>
      </c>
      <c r="D14" s="5" t="n"/>
      <c r="E14" s="6" t="n">
        <v>466000</v>
      </c>
      <c r="F14" s="7" t="n">
        <v>34602.58</v>
      </c>
      <c r="G14" s="8">
        <f>IF(AND(D14="",E14=""),F14,G13+IF(D14="",0,D14)-IF(E14="",0,E14))</f>
        <v/>
      </c>
    </row>
    <row r="15">
      <c r="A15" s="3" t="inlineStr">
        <is>
          <t>HSBC HKD Savings Account</t>
        </is>
      </c>
      <c r="B15" s="4" t="n">
        <v>45748</v>
      </c>
      <c r="C15" s="3" t="inlineStr">
        <is>
          <t>APS CHARGES I01 SALARY</t>
        </is>
      </c>
      <c r="D15" s="5" t="n"/>
      <c r="E15" s="6" t="n">
        <v>6</v>
      </c>
      <c r="F15" s="7" t="n"/>
      <c r="G15" s="8">
        <f>IF(AND(D15="",E15=""),F15,G14+IF(D15="",0,D15)-IF(E15="",0,E15))</f>
        <v/>
      </c>
    </row>
    <row r="16">
      <c r="A16" s="3" t="inlineStr">
        <is>
          <t>HSBC HKD Savings Account</t>
        </is>
      </c>
      <c r="B16" s="4" t="n">
        <v>45748</v>
      </c>
      <c r="C16" s="3" t="inlineStr">
        <is>
          <t>REF:58A8 0311 CHEQUE DEPOSIT MACHINE (01APR25)</t>
        </is>
      </c>
      <c r="D16" s="5" t="n">
        <v>120000</v>
      </c>
      <c r="E16" s="6" t="n"/>
      <c r="F16" s="7" t="n">
        <v>154596.58</v>
      </c>
      <c r="G16" s="8">
        <f>IF(AND(D16="",E16=""),F16,G15+IF(D16="",0,D16)-IF(E16="",0,E16))</f>
        <v/>
      </c>
    </row>
    <row r="17">
      <c r="A17" s="3" t="inlineStr">
        <is>
          <t>HSBC HKD Savings Account</t>
        </is>
      </c>
      <c r="B17" s="4" t="n">
        <v>45749</v>
      </c>
      <c r="C17" s="3" t="inlineStr">
        <is>
          <t>MANULIFE PROVIDENT F 0426819901</t>
        </is>
      </c>
      <c r="D17" s="5" t="n"/>
      <c r="E17" s="6" t="n">
        <v>24000</v>
      </c>
      <c r="F17" s="7" t="n"/>
      <c r="G17" s="8">
        <f>IF(AND(D17="",E17=""),F17,G16+IF(D17="",0,D17)-IF(E17="",0,E17))</f>
        <v/>
      </c>
    </row>
    <row r="18">
      <c r="A18" s="3" t="inlineStr">
        <is>
          <t>HSBC HKD Savings Account</t>
        </is>
      </c>
      <c r="B18" s="4" t="n">
        <v>45749</v>
      </c>
      <c r="C18" s="3" t="inlineStr">
        <is>
          <t>AXA CHINA REGION INS HC12540293282738 02APR</t>
        </is>
      </c>
      <c r="D18" s="5" t="n">
        <v>12613</v>
      </c>
      <c r="E18" s="6" t="n"/>
      <c r="F18" s="7" t="n">
        <v>143209.58</v>
      </c>
      <c r="G18" s="8">
        <f>IF(AND(D18="",E18=""),F18,G17+IF(D18="",0,D18)-IF(E18="",0,E18))</f>
        <v/>
      </c>
    </row>
    <row r="19">
      <c r="A19" s="3" t="inlineStr">
        <is>
          <t>HSBC HKD Savings Account</t>
        </is>
      </c>
      <c r="B19" s="4" t="n">
        <v>45752</v>
      </c>
      <c r="C19" s="3" t="inlineStr">
        <is>
          <t>BLG CQBK FEE</t>
        </is>
      </c>
      <c r="D19" s="5" t="n"/>
      <c r="E19" s="6" t="n">
        <v>200</v>
      </c>
      <c r="F19" s="7" t="n">
        <v>143009.58</v>
      </c>
      <c r="G19" s="8">
        <f>IF(AND(D19="",E19=""),F19,G18+IF(D19="",0,D19)-IF(E19="",0,E19))</f>
        <v/>
      </c>
    </row>
    <row r="20">
      <c r="A20" s="3" t="inlineStr">
        <is>
          <t>HSBC HKD Savings Account</t>
        </is>
      </c>
      <c r="B20" s="4" t="n">
        <v>45756</v>
      </c>
      <c r="C20" s="3" t="inlineStr">
        <is>
          <t>CR TO 634-434773-001 N40999791680(09APR25)</t>
        </is>
      </c>
      <c r="D20" s="5" t="n"/>
      <c r="E20" s="6" t="n">
        <v>143009.58</v>
      </c>
      <c r="F20" s="7" t="n">
        <v>0</v>
      </c>
      <c r="G20" s="8">
        <f>IF(AND(D20="",E20=""),F20,G19+IF(D20="",0,D20)-IF(E20="",0,E20))</f>
        <v/>
      </c>
    </row>
    <row r="21">
      <c r="A21" s="3" t="inlineStr">
        <is>
          <t>HSBC HKD Savings Account</t>
        </is>
      </c>
      <c r="B21" s="4" t="n">
        <v>45757</v>
      </c>
      <c r="C21" s="3" t="inlineStr">
        <is>
          <t>FWD GROUP MANAGEMENT HC12541017750666 10APR</t>
        </is>
      </c>
      <c r="D21" s="5" t="n">
        <v>10000</v>
      </c>
      <c r="E21" s="6" t="n"/>
      <c r="F21" s="7" t="n">
        <v>10000</v>
      </c>
      <c r="G21" s="8">
        <f>IF(AND(D21="",E21=""),F21,G20+IF(D21="",0,D21)-IF(E21="",0,E21))</f>
        <v/>
      </c>
    </row>
    <row r="22">
      <c r="A22" s="3" t="inlineStr">
        <is>
          <t>HSBC HKD Savings Account</t>
        </is>
      </c>
      <c r="B22" s="4" t="n">
        <v>45758</v>
      </c>
      <c r="C22" s="3" t="inlineStr">
        <is>
          <t>HK EX &amp; CLR LTD VENDOR 5</t>
        </is>
      </c>
      <c r="D22" s="5" t="n">
        <v>1800</v>
      </c>
      <c r="E22" s="6" t="n"/>
      <c r="F22" s="7" t="n">
        <v>11800</v>
      </c>
      <c r="G22" s="8">
        <f>IF(AND(D22="",E22=""),F22,G21+IF(D22="",0,D22)-IF(E22="",0,E22))</f>
        <v/>
      </c>
    </row>
    <row r="23">
      <c r="A23" s="3" t="inlineStr">
        <is>
          <t>HSBC HKD Savings Account</t>
        </is>
      </c>
      <c r="B23" s="4" t="n">
        <v>45761</v>
      </c>
      <c r="C23" s="3" t="inlineStr">
        <is>
          <t>MANULIFE (INTERNATIO HC12541425549144 14APR</t>
        </is>
      </c>
      <c r="D23" s="5" t="n">
        <v>912250</v>
      </c>
      <c r="E23" s="6" t="n"/>
      <c r="F23" s="7" t="n"/>
      <c r="G23" s="8">
        <f>IF(AND(D23="",E23=""),F23,G22+IF(D23="",0,D23)-IF(E23="",0,E23))</f>
        <v/>
      </c>
    </row>
    <row r="24">
      <c r="A24" s="3" t="inlineStr">
        <is>
          <t>HSBC HKD Savings Account</t>
        </is>
      </c>
      <c r="B24" s="4" t="n">
        <v>45761</v>
      </c>
      <c r="C24" s="3" t="inlineStr">
        <is>
          <t>MO'ST PICTURES ASW (14APR25)</t>
        </is>
      </c>
      <c r="D24" s="5" t="n">
        <v>20000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HSBC HKD Savings Account</t>
        </is>
      </c>
      <c r="B25" s="4" t="n">
        <v>45761</v>
      </c>
      <c r="C25" s="3" t="inlineStr">
        <is>
          <t>CR TO 634-434773-001 N41416808751(14APR25)</t>
        </is>
      </c>
      <c r="D25" s="5" t="n"/>
      <c r="E25" s="6" t="n">
        <v>944050</v>
      </c>
      <c r="F25" s="7" t="n">
        <v>0</v>
      </c>
      <c r="G25" s="8">
        <f>IF(AND(D25="",E25=""),F25,G24+IF(D25="",0,D25)-IF(E25="",0,E25))</f>
        <v/>
      </c>
    </row>
    <row r="26">
      <c r="A26" s="3" t="inlineStr">
        <is>
          <t>HSBC HKD Savings Account</t>
        </is>
      </c>
      <c r="B26" s="4" t="n">
        <v>45762</v>
      </c>
      <c r="C26" s="3" t="inlineStr">
        <is>
          <t>*PRUDENTIAL HONG KON HC12541530360014 15APR</t>
        </is>
      </c>
      <c r="D26" s="5" t="n">
        <v>84519</v>
      </c>
      <c r="E26" s="6" t="n"/>
      <c r="F26" s="7" t="n">
        <v>84519</v>
      </c>
      <c r="G26" s="8">
        <f>IF(AND(D26="",E26=""),F26,G25+IF(D26="",0,D26)-IF(E26="",0,E26))</f>
        <v/>
      </c>
    </row>
    <row r="27">
      <c r="A27" s="3" t="inlineStr">
        <is>
          <t>HSBC HKD Savings Account</t>
        </is>
      </c>
      <c r="B27" s="4" t="n">
        <v>45763</v>
      </c>
      <c r="C27" s="3" t="inlineStr">
        <is>
          <t>CR TO 634-434773-001 N41622755920(16APR25)</t>
        </is>
      </c>
      <c r="D27" s="5" t="n"/>
      <c r="E27" s="6" t="n">
        <v>84519</v>
      </c>
      <c r="F27" s="7" t="n"/>
      <c r="G27" s="8">
        <f>IF(AND(D27="",E27=""),F27,G26+IF(D27="",0,D27)-IF(E27="",0,E27))</f>
        <v/>
      </c>
    </row>
    <row r="28">
      <c r="A28" s="3" t="inlineStr">
        <is>
          <t>HSBC HKD Savings Account</t>
        </is>
      </c>
      <c r="B28" s="4" t="n">
        <v>45763</v>
      </c>
      <c r="C28" s="3" t="inlineStr">
        <is>
          <t>*PRUDENTIAL HONG KON HC12541633096324 16APR</t>
        </is>
      </c>
      <c r="D28" s="5" t="n">
        <v>225800</v>
      </c>
      <c r="E28" s="6" t="n"/>
      <c r="F28" s="7" t="n">
        <v>225800</v>
      </c>
      <c r="G28" s="8">
        <f>IF(AND(D28="",E28=""),F28,G27+IF(D28="",0,D28)-IF(E28="",0,E28))</f>
        <v/>
      </c>
    </row>
    <row r="29">
      <c r="A29" s="3" t="inlineStr">
        <is>
          <t>HSBC HKD Savings Account</t>
        </is>
      </c>
      <c r="B29" s="4" t="n">
        <v>45764</v>
      </c>
      <c r="C29" s="3" t="inlineStr">
        <is>
          <t>CR TO 634-434773-001 N41727124317(17APR25)</t>
        </is>
      </c>
      <c r="D29" s="5" t="n"/>
      <c r="E29" s="6" t="n">
        <v>225800</v>
      </c>
      <c r="F29" s="7" t="n">
        <v>0</v>
      </c>
      <c r="G29" s="8">
        <f>IF(AND(D29="",E29=""),F29,G28+IF(D29="",0,D29)-IF(E29="",0,E29))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JPY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5114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EUR Foreign Currency Savings</t>
        </is>
      </c>
      <c r="B2" s="4" t="n">
        <v>45734</v>
      </c>
      <c r="C2" s="3" t="inlineStr">
        <is>
          <t>B/F BALANCE</t>
        </is>
      </c>
      <c r="D2" s="5" t="n"/>
      <c r="E2" s="6" t="n"/>
      <c r="F2" s="7" t="n">
        <v>101355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2026-06-23T02:04:20Z</dcterms:created>
  <dcterms:modified xmlns:dcterms="http://purl.org/dc/terms/" xmlns:xsi="http://www.w3.org/2001/XMLSchema-instance" xsi:type="dcterms:W3CDTF">2026-06-23T02:04:20Z</dcterms:modified>
</cp:coreProperties>
</file>