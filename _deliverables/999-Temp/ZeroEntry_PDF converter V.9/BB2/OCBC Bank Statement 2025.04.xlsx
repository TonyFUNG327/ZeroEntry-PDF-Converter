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BC HKD Statement Savings" sheetId="1" state="visible" r:id="rId1"/>
    <sheet xmlns:r="http://schemas.openxmlformats.org/officeDocument/2006/relationships" name="OCBC CNY Statement Savings" sheetId="2" state="visible" r:id="rId2"/>
    <sheet xmlns:r="http://schemas.openxmlformats.org/officeDocument/2006/relationships" name="OCBC NOK Statement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OCBC HKD Statement Savings</t>
        </is>
      </c>
      <c r="B2" s="4" t="n">
        <v>45738</v>
      </c>
      <c r="C2" s="3" t="inlineStr">
        <is>
          <t>B/F BALANCE 承上結餘</t>
        </is>
      </c>
      <c r="D2" s="5" t="n"/>
      <c r="E2" s="6" t="n"/>
      <c r="F2" s="7" t="n">
        <v>112461.71</v>
      </c>
      <c r="G2" s="8">
        <f>IF(AND(D2="",E2=""),F2,IF(D2="",0,D2)-IF(E2="",0,E2))</f>
        <v/>
      </c>
    </row>
    <row r="3">
      <c r="A3" s="3" t="inlineStr">
        <is>
          <t>OCBC HKD Statement Savings</t>
        </is>
      </c>
      <c r="B3" s="4" t="n">
        <v>45747</v>
      </c>
      <c r="C3" s="3" t="inlineStr">
        <is>
          <t>INTEREST PAYMENT-CR 利息收入</t>
        </is>
      </c>
      <c r="D3" s="5" t="n">
        <v>32.22</v>
      </c>
      <c r="E3" s="6" t="n"/>
      <c r="F3" s="7" t="n">
        <v>112493.93</v>
      </c>
      <c r="G3" s="8">
        <f>IF(AND(D3="",E3=""),F3,G2+IF(D3="",0,D3)-IF(E3="",0,E3))</f>
        <v/>
      </c>
    </row>
    <row r="4">
      <c r="A4" s="3" t="inlineStr">
        <is>
          <t>OCBC HKD Statement Savings</t>
        </is>
      </c>
      <c r="B4" s="4" t="n">
        <v>45769</v>
      </c>
      <c r="C4" s="3" t="inlineStr">
        <is>
          <t>TRANSFER-CREDIT 轉賬存入 HMIT250417060376</t>
        </is>
      </c>
      <c r="D4" s="5" t="n">
        <v>100000</v>
      </c>
      <c r="E4" s="6" t="n"/>
      <c r="F4" s="7" t="n">
        <v>212493.93</v>
      </c>
      <c r="G4" s="8">
        <f>IF(AND(D4="",E4=""),F4,G3+IF(D4="",0,D4)-IF(E4="",0,E4))</f>
        <v/>
      </c>
    </row>
    <row r="5">
      <c r="A5" s="3" t="inlineStr">
        <is>
          <t>OCBC HKD Statement Savings</t>
        </is>
      </c>
      <c r="B5" s="4" t="n">
        <v>45769</v>
      </c>
      <c r="C5" s="3" t="inlineStr">
        <is>
          <t>TRANSFER-DEBIT 轉賬支出 FPS FRN20250418PAYC020 2413088011</t>
        </is>
      </c>
      <c r="D5" s="5" t="n"/>
      <c r="E5" s="6" t="n">
        <v>148919.84</v>
      </c>
      <c r="F5" s="7" t="n">
        <v>63574.09</v>
      </c>
      <c r="G5" s="8">
        <f>IF(AND(D5="",E5=""),F5,G4+IF(D5="",0,D5)-IF(E5="",0,E5))</f>
        <v/>
      </c>
    </row>
    <row r="6">
      <c r="A6" s="3" t="inlineStr">
        <is>
          <t>OCBC HKD Statement Savings</t>
        </is>
      </c>
      <c r="B6" s="4" t="n">
        <v>45769</v>
      </c>
      <c r="C6" s="3" t="inlineStr">
        <is>
          <t>TRANSFER-DEBIT 轉賬支出 FPS FEE FPSPAYMENT</t>
        </is>
      </c>
      <c r="D6" s="5" t="n"/>
      <c r="E6" s="6" t="n">
        <v>5</v>
      </c>
      <c r="F6" s="7" t="n">
        <v>63569.09</v>
      </c>
      <c r="G6" s="8">
        <f>IF(AND(D6="",E6=""),F6,G5+IF(D6="",0,D6)-IF(E6="",0,E6))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OCBC CNY Statement Savings</t>
        </is>
      </c>
      <c r="B2" s="4" t="n">
        <v>45738</v>
      </c>
      <c r="C2" s="3" t="inlineStr">
        <is>
          <t>B/F BALANCE 承上結餘</t>
        </is>
      </c>
      <c r="D2" s="5" t="n"/>
      <c r="E2" s="6" t="n"/>
      <c r="F2" s="7" t="n">
        <v>210147.13</v>
      </c>
      <c r="G2" s="8">
        <f>IF(AND(D2="",E2=""),F2,IF(D2="",0,D2)-IF(E2="",0,E2))</f>
        <v/>
      </c>
    </row>
    <row r="3">
      <c r="A3" s="3" t="inlineStr">
        <is>
          <t>OCBC CNY Statement Savings</t>
        </is>
      </c>
      <c r="B3" s="4" t="n">
        <v>45747</v>
      </c>
      <c r="C3" s="3" t="inlineStr">
        <is>
          <t>INTEREST PAYMENT-CR 利息收入</t>
        </is>
      </c>
      <c r="D3" s="5" t="n">
        <v>85.48</v>
      </c>
      <c r="E3" s="6" t="n"/>
      <c r="F3" s="7" t="n">
        <v>210232.61</v>
      </c>
      <c r="G3" s="8">
        <f>IF(AND(D3="",E3=""),F3,G2+IF(D3="",0,D3)-IF(E3="",0,E3))</f>
        <v/>
      </c>
    </row>
    <row r="4">
      <c r="A4" s="3" t="inlineStr">
        <is>
          <t>OCBC CNY Statement Savings</t>
        </is>
      </c>
      <c r="B4" s="4" t="n">
        <v>45763</v>
      </c>
      <c r="C4" s="3" t="inlineStr">
        <is>
          <t>TRANSFER-CREDIT 轉賬存入 HKIT250415760342 @ 1.06450</t>
        </is>
      </c>
      <c r="D4" s="5" t="n">
        <v>30000</v>
      </c>
      <c r="E4" s="6" t="n"/>
      <c r="F4" s="7" t="n">
        <v>240232.61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OCBC NOK Statement Savings</t>
        </is>
      </c>
      <c r="B2" s="4" t="n">
        <v>45738</v>
      </c>
      <c r="C2" s="3" t="inlineStr">
        <is>
          <t>B/F BALANCE 承上結餘</t>
        </is>
      </c>
      <c r="D2" s="5" t="n"/>
      <c r="E2" s="6" t="n"/>
      <c r="F2" s="7" t="n">
        <v>400594.47</v>
      </c>
      <c r="G2" s="8">
        <f>IF(AND(D2="",E2=""),F2,IF(D2="",0,D2)-IF(E2="",0,E2))</f>
        <v/>
      </c>
    </row>
    <row r="3">
      <c r="A3" s="3" t="inlineStr">
        <is>
          <t>OCBC NOK Statement Savings</t>
        </is>
      </c>
      <c r="B3" s="4" t="n">
        <v>45747</v>
      </c>
      <c r="C3" s="3" t="inlineStr">
        <is>
          <t>INTEREST PAYMENT-CR 利息收入</t>
        </is>
      </c>
      <c r="D3" s="5" t="n">
        <v>4.6</v>
      </c>
      <c r="E3" s="6" t="n"/>
      <c r="F3" s="7" t="n">
        <v>400599.07</v>
      </c>
      <c r="G3" s="8">
        <f>IF(AND(D3="",E3=""),F3,G2+IF(D3="",0,D3)-IF(E3="",0,E3))</f>
        <v/>
      </c>
    </row>
    <row r="4">
      <c r="A4" s="3" t="inlineStr">
        <is>
          <t>OCBC NOK Statement Savings</t>
        </is>
      </c>
      <c r="B4" s="4" t="n">
        <v>45747</v>
      </c>
      <c r="C4" s="3" t="inlineStr">
        <is>
          <t>CREDIT ADVICE 收款通知書 VYSUS NORWAY A REMITTANCE 1532</t>
        </is>
      </c>
      <c r="D4" s="5" t="n">
        <v>84000</v>
      </c>
      <c r="E4" s="6" t="n"/>
      <c r="F4" s="7" t="n">
        <v>484599.07</v>
      </c>
      <c r="G4" s="8">
        <f>IF(AND(D4="",E4=""),F4,G3+IF(D4="",0,D4)-IF(E4="",0,E4))</f>
        <v/>
      </c>
    </row>
    <row r="5">
      <c r="A5" s="3" t="inlineStr">
        <is>
          <t>OCBC NOK Statement Savings</t>
        </is>
      </c>
      <c r="B5" s="4" t="n">
        <v>45763</v>
      </c>
      <c r="C5" s="3" t="inlineStr">
        <is>
          <t>TRANSFER-DEBIT 轉賬支出 HKIT250415760342 @ 0.72060</t>
        </is>
      </c>
      <c r="D5" s="5" t="n"/>
      <c r="E5" s="6" t="n">
        <v>44317.24</v>
      </c>
      <c r="F5" s="7" t="n">
        <v>440281.83</v>
      </c>
      <c r="G5" s="8">
        <f>IF(AND(D5="",E5=""),F5,G4+IF(D5="",0,D5)-IF(E5="",0,E5))</f>
        <v/>
      </c>
    </row>
    <row r="6">
      <c r="A6" s="3" t="inlineStr">
        <is>
          <t>OCBC NOK Statement Savings</t>
        </is>
      </c>
      <c r="B6" s="4" t="n">
        <v>45769</v>
      </c>
      <c r="C6" s="3" t="inlineStr">
        <is>
          <t>TRANSFER-DEBIT 轉賬支出 HMIT250417060376 @ 0.73350</t>
        </is>
      </c>
      <c r="D6" s="5" t="n"/>
      <c r="E6" s="6" t="n">
        <v>136332.65</v>
      </c>
      <c r="F6" s="7" t="n">
        <v>303949.18</v>
      </c>
      <c r="G6" s="8">
        <f>IF(AND(D6="",E6=""),F6,G5+IF(D6="",0,D6)-IF(E6="",0,E6))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2026-06-23T02:04:26Z</dcterms:created>
  <dcterms:modified xmlns:dcterms="http://purl.org/dc/terms/" xmlns:xsi="http://www.w3.org/2001/XMLSchema-instance" xsi:type="dcterms:W3CDTF">2026-06-23T02:04:26Z</dcterms:modified>
</cp:coreProperties>
</file>