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BC HKD Statement Savings" sheetId="1" state="visible" r:id="rId1"/>
    <sheet xmlns:r="http://schemas.openxmlformats.org/officeDocument/2006/relationships" name="OCBC CNY Statement Savings" sheetId="2" state="visible" r:id="rId2"/>
    <sheet xmlns:r="http://schemas.openxmlformats.org/officeDocument/2006/relationships" name="OCBC NOK Statement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OCBC HKD Statement Savings</t>
        </is>
      </c>
      <c r="B2" s="4" t="n">
        <v>45770</v>
      </c>
      <c r="C2" s="3" t="inlineStr">
        <is>
          <t>B/F BALANCE 承上結餘</t>
        </is>
      </c>
      <c r="D2" s="5" t="n"/>
      <c r="E2" s="6" t="n"/>
      <c r="F2" s="7" t="n">
        <v>63569.09</v>
      </c>
      <c r="G2" s="8">
        <f>IF(AND(D2="",E2=""),F2,IF(D2="",0,D2)-IF(E2="",0,E2))</f>
        <v/>
      </c>
    </row>
    <row r="3">
      <c r="A3" s="3" t="inlineStr">
        <is>
          <t>OCBC HKD Statement Savings</t>
        </is>
      </c>
      <c r="B3" s="4" t="n">
        <v>45777</v>
      </c>
      <c r="C3" s="3" t="inlineStr">
        <is>
          <t>INTEREST PAYMENT-CR 利息收入</t>
        </is>
      </c>
      <c r="D3" s="5" t="n">
        <v>20.43</v>
      </c>
      <c r="E3" s="6" t="n"/>
      <c r="F3" s="7" t="n">
        <v>63589.52</v>
      </c>
      <c r="G3" s="8">
        <f>IF(AND(D3="",E3=""),F3,G2+IF(D3="",0,D3)-IF(E3="",0,E3))</f>
        <v/>
      </c>
    </row>
    <row r="4">
      <c r="A4" s="3" t="inlineStr">
        <is>
          <t>OCBC HKD Statement Savings</t>
        </is>
      </c>
      <c r="B4" s="4" t="n">
        <v>45777</v>
      </c>
      <c r="C4" s="3" t="inlineStr">
        <is>
          <t>TRANSFER-CREDIT 轉賬存入 HMIT250430062199</t>
        </is>
      </c>
      <c r="D4" s="5" t="n">
        <v>100000</v>
      </c>
      <c r="E4" s="6" t="n"/>
      <c r="F4" s="7" t="n">
        <v>163589.52</v>
      </c>
      <c r="G4" s="8">
        <f>IF(AND(D4="",E4=""),F4,G3+IF(D4="",0,D4)-IF(E4="",0,E4))</f>
        <v/>
      </c>
    </row>
    <row r="5">
      <c r="A5" s="3" t="inlineStr">
        <is>
          <t>OCBC HKD Statement Savings</t>
        </is>
      </c>
      <c r="B5" s="4" t="n">
        <v>45783</v>
      </c>
      <c r="C5" s="3" t="inlineStr">
        <is>
          <t>TRANSFER-DEBIT 轉賬支出 FPS FRN20250506PAYC020 2454854186</t>
        </is>
      </c>
      <c r="D5" s="5" t="n"/>
      <c r="E5" s="6" t="n">
        <v>4669.11</v>
      </c>
      <c r="F5" s="7" t="n">
        <v>158920.41</v>
      </c>
      <c r="G5" s="8">
        <f>IF(AND(D5="",E5=""),F5,G4+IF(D5="",0,D5)-IF(E5="",0,E5))</f>
        <v/>
      </c>
    </row>
    <row r="6">
      <c r="A6" s="3" t="inlineStr">
        <is>
          <t>OCBC HKD Statement Savings</t>
        </is>
      </c>
      <c r="B6" s="4" t="n">
        <v>45784</v>
      </c>
      <c r="C6" s="3" t="inlineStr">
        <is>
          <t>TRANSFER-DEBIT 轉賬支出 FPS FEE FPSPAYMENT</t>
        </is>
      </c>
      <c r="D6" s="5" t="n"/>
      <c r="E6" s="6" t="n">
        <v>5</v>
      </c>
      <c r="F6" s="7" t="n">
        <v>158915.41</v>
      </c>
      <c r="G6" s="8">
        <f>IF(AND(D6="",E6=""),F6,G5+IF(D6="",0,D6)-IF(E6="",0,E6))</f>
        <v/>
      </c>
    </row>
    <row r="7">
      <c r="A7" s="3" t="inlineStr">
        <is>
          <t>OCBC HKD Statement Savings</t>
        </is>
      </c>
      <c r="B7" s="4" t="n">
        <v>45799</v>
      </c>
      <c r="C7" s="3" t="inlineStr">
        <is>
          <t>TRANSFER-CREDIT 轉賬存入 HMIT250522065529</t>
        </is>
      </c>
      <c r="D7" s="5" t="n">
        <v>100000</v>
      </c>
      <c r="E7" s="6" t="n"/>
      <c r="F7" s="7" t="n">
        <v>258915.41</v>
      </c>
      <c r="G7" s="8">
        <f>IF(AND(D7="",E7=""),F7,G6+IF(D7="",0,D7)-IF(E7="",0,E7))</f>
        <v/>
      </c>
    </row>
    <row r="8">
      <c r="A8" s="3" t="inlineStr">
        <is>
          <t>OCBC HKD Statement Savings</t>
        </is>
      </c>
      <c r="B8" s="4" t="n">
        <v>45799</v>
      </c>
      <c r="C8" s="3" t="inlineStr">
        <is>
          <t>TRANSFER-DEBIT 轉賬支出 FPS FRN20250522PAYC020 2492741193</t>
        </is>
      </c>
      <c r="D8" s="5" t="n"/>
      <c r="E8" s="6" t="n">
        <v>97756.94</v>
      </c>
      <c r="F8" s="7" t="n">
        <v>161158.47</v>
      </c>
      <c r="G8" s="8">
        <f>IF(AND(D8="",E8=""),F8,G7+IF(D8="",0,D8)-IF(E8="",0,E8))</f>
        <v/>
      </c>
    </row>
    <row r="9">
      <c r="A9" s="3" t="inlineStr">
        <is>
          <t>OCBC HKD Statement Savings</t>
        </is>
      </c>
      <c r="B9" s="4" t="n">
        <v>45800</v>
      </c>
      <c r="C9" s="3" t="inlineStr">
        <is>
          <t>TRANSFER-DEBIT 轉賬支出 FPS FEE FPSPAYMENT</t>
        </is>
      </c>
      <c r="D9" s="5" t="n"/>
      <c r="E9" s="6" t="n">
        <v>5</v>
      </c>
      <c r="F9" s="7" t="n">
        <v>161153.47</v>
      </c>
      <c r="G9" s="8">
        <f>IF(AND(D9="",E9=""),F9,G8+IF(D9="",0,D9)-IF(E9="",0,E9))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OCBC CNY Statement Savings</t>
        </is>
      </c>
      <c r="B2" s="4" t="n">
        <v>45770</v>
      </c>
      <c r="C2" s="3" t="inlineStr">
        <is>
          <t>B/F BALANCE 承上結餘</t>
        </is>
      </c>
      <c r="D2" s="5" t="n"/>
      <c r="E2" s="6" t="n"/>
      <c r="F2" s="7" t="n">
        <v>240232.61</v>
      </c>
      <c r="G2" s="8">
        <f>IF(AND(D2="",E2=""),F2,IF(D2="",0,D2)-IF(E2="",0,E2))</f>
        <v/>
      </c>
    </row>
    <row r="3">
      <c r="A3" s="3" t="inlineStr">
        <is>
          <t>OCBC CNY Statement Savings</t>
        </is>
      </c>
      <c r="B3" s="4" t="n">
        <v>45777</v>
      </c>
      <c r="C3" s="3" t="inlineStr">
        <is>
          <t>INTEREST PAYMENT-CR 利息收入</t>
        </is>
      </c>
      <c r="D3" s="5" t="n">
        <v>93.43000000000001</v>
      </c>
      <c r="E3" s="6" t="n"/>
      <c r="F3" s="7" t="n">
        <v>240326.04</v>
      </c>
      <c r="G3" s="8">
        <f>IF(AND(D3="",E3=""),F3,G2+IF(D3="",0,D3)-IF(E3="",0,E3))</f>
        <v/>
      </c>
    </row>
    <row r="4">
      <c r="A4" s="3" t="inlineStr">
        <is>
          <t>OCBC CNY Statement Savings</t>
        </is>
      </c>
      <c r="B4" s="4" t="n">
        <v>45799</v>
      </c>
      <c r="C4" s="3" t="inlineStr">
        <is>
          <t>TRANSFER-CREDIT 轉賬存入 HMIT250522065530 @ 1.09230</t>
        </is>
      </c>
      <c r="D4" s="5" t="n">
        <v>30000</v>
      </c>
      <c r="E4" s="6" t="n"/>
      <c r="F4" s="7" t="n">
        <v>270326.04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OCBC NOK Statement Savings</t>
        </is>
      </c>
      <c r="B2" s="4" t="n">
        <v>45770</v>
      </c>
      <c r="C2" s="3" t="inlineStr">
        <is>
          <t>B/F BALANCE 承上結餘</t>
        </is>
      </c>
      <c r="D2" s="5" t="n"/>
      <c r="E2" s="6" t="n"/>
      <c r="F2" s="7" t="n">
        <v>303949.18</v>
      </c>
      <c r="G2" s="8">
        <f>IF(AND(D2="",E2=""),F2,IF(D2="",0,D2)-IF(E2="",0,E2))</f>
        <v/>
      </c>
    </row>
    <row r="3">
      <c r="A3" s="3" t="inlineStr">
        <is>
          <t>OCBC NOK Statement Savings</t>
        </is>
      </c>
      <c r="B3" s="4" t="n">
        <v>45771</v>
      </c>
      <c r="C3" s="3" t="inlineStr">
        <is>
          <t>CREDIT ADVICE 收款通知書 VYSUS NORWAY A REMITTANCE 1532</t>
        </is>
      </c>
      <c r="D3" s="5" t="n">
        <v>98133</v>
      </c>
      <c r="E3" s="6" t="n"/>
      <c r="F3" s="7" t="n">
        <v>402082.18</v>
      </c>
      <c r="G3" s="8">
        <f>IF(AND(D3="",E3=""),F3,G2+IF(D3="",0,D3)-IF(E3="",0,E3))</f>
        <v/>
      </c>
    </row>
    <row r="4">
      <c r="A4" s="3" t="inlineStr">
        <is>
          <t>OCBC NOK Statement Savings</t>
        </is>
      </c>
      <c r="B4" s="4" t="n">
        <v>45777</v>
      </c>
      <c r="C4" s="3" t="inlineStr">
        <is>
          <t>INTEREST PAYMENT-CR 利息收入</t>
        </is>
      </c>
      <c r="D4" s="5" t="n">
        <v>3.73</v>
      </c>
      <c r="E4" s="6" t="n"/>
      <c r="F4" s="7" t="n">
        <v>402085.91</v>
      </c>
      <c r="G4" s="8">
        <f>IF(AND(D4="",E4=""),F4,G3+IF(D4="",0,D4)-IF(E4="",0,E4))</f>
        <v/>
      </c>
    </row>
    <row r="5">
      <c r="A5" s="3" t="inlineStr">
        <is>
          <t>OCBC NOK Statement Savings</t>
        </is>
      </c>
      <c r="B5" s="4" t="n">
        <v>45777</v>
      </c>
      <c r="C5" s="3" t="inlineStr">
        <is>
          <t>TRANSFER-DEBIT 轉賬支出 HMIT250430062199 @ 0.74100</t>
        </is>
      </c>
      <c r="D5" s="5" t="n"/>
      <c r="E5" s="6" t="n">
        <v>134952.77</v>
      </c>
      <c r="F5" s="7" t="n">
        <v>267133.14</v>
      </c>
      <c r="G5" s="8">
        <f>IF(AND(D5="",E5=""),F5,G4+IF(D5="",0,D5)-IF(E5="",0,E5))</f>
        <v/>
      </c>
    </row>
    <row r="6">
      <c r="A6" s="3" t="inlineStr">
        <is>
          <t>OCBC NOK Statement Savings</t>
        </is>
      </c>
      <c r="B6" s="4" t="n">
        <v>45783</v>
      </c>
      <c r="C6" s="3" t="inlineStr">
        <is>
          <t>CREDIT ADVICE 收款通知書 VYSUS NORWAY A REMITTANCE 1523</t>
        </is>
      </c>
      <c r="D6" s="5" t="n">
        <v>82600</v>
      </c>
      <c r="E6" s="6" t="n"/>
      <c r="F6" s="7" t="n">
        <v>349733.14</v>
      </c>
      <c r="G6" s="8">
        <f>IF(AND(D6="",E6=""),F6,G5+IF(D6="",0,D6)-IF(E6="",0,E6))</f>
        <v/>
      </c>
    </row>
    <row r="7">
      <c r="A7" s="3" t="inlineStr">
        <is>
          <t>OCBC NOK Statement Savings</t>
        </is>
      </c>
      <c r="B7" s="4" t="n">
        <v>45789</v>
      </c>
      <c r="C7" s="3" t="inlineStr">
        <is>
          <t>CREDIT ADVICE 收款通知書 VYSUS NORWAY A REMITTANCE 1532</t>
        </is>
      </c>
      <c r="D7" s="5" t="n">
        <v>56720</v>
      </c>
      <c r="E7" s="6" t="n"/>
      <c r="F7" s="7" t="n">
        <v>406453.14</v>
      </c>
      <c r="G7" s="8">
        <f>IF(AND(D7="",E7=""),F7,G6+IF(D7="",0,D7)-IF(E7="",0,E7))</f>
        <v/>
      </c>
    </row>
    <row r="8">
      <c r="A8" s="3" t="inlineStr">
        <is>
          <t>OCBC NOK Statement Savings</t>
        </is>
      </c>
      <c r="B8" s="4" t="n">
        <v>45799</v>
      </c>
      <c r="C8" s="3" t="inlineStr">
        <is>
          <t>TRANSFER-DEBIT 轉賬支出 HMIT250522065529 @ 0.76190</t>
        </is>
      </c>
      <c r="D8" s="5" t="n"/>
      <c r="E8" s="6" t="n">
        <v>131250.82</v>
      </c>
      <c r="F8" s="7" t="n">
        <v>275202.32</v>
      </c>
      <c r="G8" s="8">
        <f>IF(AND(D8="",E8=""),F8,G7+IF(D8="",0,D8)-IF(E8="",0,E8))</f>
        <v/>
      </c>
    </row>
    <row r="9">
      <c r="A9" s="3" t="inlineStr">
        <is>
          <t>OCBC NOK Statement Savings</t>
        </is>
      </c>
      <c r="B9" s="4" t="n">
        <v>45799</v>
      </c>
      <c r="C9" s="3" t="inlineStr">
        <is>
          <t>TRANSFER-DEBIT 轉賬支出 HMIT250522065530 @ 0.76170</t>
        </is>
      </c>
      <c r="D9" s="5" t="n"/>
      <c r="E9" s="6" t="n">
        <v>43020.87</v>
      </c>
      <c r="F9" s="7" t="n">
        <v>232181.45</v>
      </c>
      <c r="G9" s="8">
        <f>IF(AND(D9="",E9=""),F9,G8+IF(D9="",0,D9)-IF(E9="",0,E9))</f>
        <v/>
      </c>
    </row>
    <row r="10">
      <c r="A10" s="3" t="inlineStr">
        <is>
          <t>OCBC NOK Statement Savings</t>
        </is>
      </c>
      <c r="B10" s="4" t="n">
        <v>45800</v>
      </c>
      <c r="C10" s="3" t="inlineStr">
        <is>
          <t>CREDIT ADVICE 收款通知書 VYSUS NORWAY A REMITTANCE 1532</t>
        </is>
      </c>
      <c r="D10" s="5" t="n">
        <v>48380</v>
      </c>
      <c r="E10" s="6" t="n"/>
      <c r="F10" s="7" t="n">
        <v>280561.45</v>
      </c>
      <c r="G10" s="8">
        <f>IF(AND(D10="",E10=""),F10,G9+IF(D10="",0,D10)-IF(E10="",0,E10))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2026-06-23T06:14:28Z</dcterms:created>
  <dcterms:modified xmlns:dcterms="http://purl.org/dc/terms/" xmlns:xsi="http://www.w3.org/2001/XMLSchema-instance" xsi:type="dcterms:W3CDTF">2026-06-23T06:14:28Z</dcterms:modified>
</cp:coreProperties>
</file>