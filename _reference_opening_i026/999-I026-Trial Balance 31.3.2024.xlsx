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count\Desktop\"/>
    </mc:Choice>
  </mc:AlternateContent>
  <xr:revisionPtr revIDLastSave="0" documentId="8_{9A87EC93-0CB4-4F87-B9F4-8E5D76C7ABCC}" xr6:coauthVersionLast="47" xr6:coauthVersionMax="47" xr10:uidLastSave="{00000000-0000-0000-0000-000000000000}"/>
  <bookViews>
    <workbookView xWindow="28680" yWindow="-2745" windowWidth="29040" windowHeight="15720" xr2:uid="{95D38486-6A22-42F0-AB58-1A8BBF395741}"/>
  </bookViews>
  <sheets>
    <sheet name="TB 31.12.24" sheetId="1" r:id="rId1"/>
  </sheets>
  <externalReferences>
    <externalReference r:id="rId2"/>
  </externalReferences>
  <definedNames>
    <definedName name="AS2DocOpenMode" hidden="1">"AS2DocumentEdit"</definedName>
    <definedName name="_xlnm.Print_Area" localSheetId="0">'TB 31.12.24'!$A$1:$D$35</definedName>
    <definedName name="_xlnm.Print_Titles" localSheetId="0">'TB 31.12.24'!$1:$1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1" l="1"/>
  <c r="D24" i="1"/>
  <c r="C24" i="1"/>
  <c r="D25" i="1" s="1"/>
</calcChain>
</file>

<file path=xl/sharedStrings.xml><?xml version="1.0" encoding="utf-8"?>
<sst xmlns="http://schemas.openxmlformats.org/spreadsheetml/2006/main" count="48" uniqueCount="48">
  <si>
    <t>Account ID</t>
  </si>
  <si>
    <t>Account Description</t>
  </si>
  <si>
    <t>Debit Amt</t>
  </si>
  <si>
    <t>Credit Amt</t>
  </si>
  <si>
    <t>1010</t>
  </si>
  <si>
    <t>NCB HKD CA</t>
  </si>
  <si>
    <t>1020</t>
  </si>
  <si>
    <t>NCB HKD SA</t>
  </si>
  <si>
    <t>1100</t>
  </si>
  <si>
    <t>Trade receivable</t>
  </si>
  <si>
    <t>1300</t>
  </si>
  <si>
    <t>Prepayment</t>
  </si>
  <si>
    <t>1800</t>
  </si>
  <si>
    <t>Office equipment</t>
  </si>
  <si>
    <t>1850</t>
  </si>
  <si>
    <t>Accum Depreciation-OE</t>
  </si>
  <si>
    <t>2100</t>
  </si>
  <si>
    <t>Receipt in advance</t>
  </si>
  <si>
    <t>2200</t>
  </si>
  <si>
    <t>Accruals</t>
  </si>
  <si>
    <t>3910</t>
  </si>
  <si>
    <t>Retained Earnings</t>
  </si>
  <si>
    <t>4000</t>
  </si>
  <si>
    <t>Membership fee income</t>
  </si>
  <si>
    <t>4100</t>
  </si>
  <si>
    <t>Bank interest income</t>
  </si>
  <si>
    <t>4300</t>
  </si>
  <si>
    <t>Sundry income</t>
  </si>
  <si>
    <t>5000</t>
  </si>
  <si>
    <t>Event Service Fee</t>
  </si>
  <si>
    <t>6000</t>
  </si>
  <si>
    <t>Accounting fee</t>
  </si>
  <si>
    <t>6100</t>
  </si>
  <si>
    <t>Auditor's remuneration</t>
  </si>
  <si>
    <t>6200</t>
  </si>
  <si>
    <t>Bank charges</t>
  </si>
  <si>
    <t>6330</t>
  </si>
  <si>
    <t>Company secretarial fee</t>
  </si>
  <si>
    <t>6350</t>
  </si>
  <si>
    <t>Computer accessories</t>
  </si>
  <si>
    <t>6550</t>
  </si>
  <si>
    <t>Entertainment</t>
  </si>
  <si>
    <t>7550</t>
  </si>
  <si>
    <t>Web hosting fee</t>
  </si>
  <si>
    <t/>
  </si>
  <si>
    <t>Total:</t>
  </si>
  <si>
    <t>Director:</t>
    <phoneticPr fontId="7" type="noConversion"/>
  </si>
  <si>
    <t>Date: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</si>
</sst>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#,##0.00;\-#,##0.00;* ??"/>
  </numFmts>
  <fonts count="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0"/>
      <color rgb="FF000000"/>
      <name val="Arial"/>
      <family val="2"/>
    </font>
    <font>
      <sz val="9"/>
      <name val="新細明體"/>
      <family val="2"/>
      <charset val="136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新細明體"/>
      <family val="2"/>
      <charset val="136"/>
      <scheme val="minor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3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>
      <alignment vertical="center"/>
    </xf>
    <xf numFmtId="49" fontId="2" fillId="0" borderId="1" xfId="2" applyNumberFormat="1" applyFont="1" applyBorder="1" applyAlignment="1">
      <alignment horizontal="left" vertical="center"/>
    </xf>
    <xf numFmtId="49" fontId="2" fillId="0" borderId="1" xfId="2" applyNumberFormat="1" applyFont="1" applyBorder="1" applyAlignment="1">
      <alignment horizontal="right" vertical="center"/>
    </xf>
    <xf numFmtId="0" fontId="2" fillId="0" borderId="1" xfId="2" applyFont="1" applyBorder="1">
      <alignment vertical="center"/>
    </xf>
    <xf numFmtId="49" fontId="4" fillId="0" borderId="0" xfId="2" applyNumberFormat="1" applyFont="1" applyAlignment="1">
      <alignment horizontal="left" vertical="center"/>
    </xf>
    <xf numFmtId="43" fontId="4" fillId="0" borderId="0" xfId="1" applyFont="1" applyAlignment="1">
      <alignment horizontal="right" vertical="center"/>
    </xf>
    <xf numFmtId="0" fontId="4" fillId="0" borderId="0" xfId="2" applyFont="1">
      <alignment vertical="center"/>
    </xf>
    <xf numFmtId="176" fontId="4" fillId="0" borderId="0" xfId="2" applyNumberFormat="1" applyFont="1" applyAlignment="1">
      <alignment horizontal="right" vertical="center"/>
    </xf>
    <xf numFmtId="0" fontId="6" fillId="0" borderId="0" xfId="2" applyFont="1">
      <alignment vertical="center"/>
    </xf>
    <xf numFmtId="43" fontId="6" fillId="0" borderId="2" xfId="1" applyFont="1" applyBorder="1" applyAlignment="1">
      <alignment vertical="center"/>
    </xf>
    <xf numFmtId="49" fontId="2" fillId="0" borderId="0" xfId="2" applyNumberFormat="1" applyFont="1" applyAlignment="1">
      <alignment horizontal="left" vertical="center"/>
    </xf>
    <xf numFmtId="43" fontId="2" fillId="0" borderId="0" xfId="1" applyFont="1" applyAlignment="1">
      <alignment horizontal="right" vertical="center"/>
    </xf>
    <xf numFmtId="0" fontId="2" fillId="0" borderId="0" xfId="2" applyFont="1">
      <alignment vertical="center"/>
    </xf>
    <xf numFmtId="0" fontId="6" fillId="0" borderId="3" xfId="2" applyFont="1" applyBorder="1">
      <alignment vertical="center"/>
    </xf>
    <xf numFmtId="0" fontId="6" fillId="0" borderId="4" xfId="2" applyFont="1" applyBorder="1">
      <alignment vertical="center"/>
    </xf>
    <xf numFmtId="43" fontId="6" fillId="0" borderId="4" xfId="2" applyNumberFormat="1" applyFont="1" applyBorder="1">
      <alignment vertical="center"/>
    </xf>
    <xf numFmtId="49" fontId="4" fillId="0" borderId="5" xfId="3" applyNumberFormat="1" applyFont="1" applyBorder="1" applyAlignment="1">
      <alignment horizontal="left" vertical="center"/>
    </xf>
    <xf numFmtId="49" fontId="4" fillId="0" borderId="0" xfId="3" applyNumberFormat="1" applyFont="1" applyAlignment="1">
      <alignment horizontal="left" vertical="center"/>
    </xf>
    <xf numFmtId="43" fontId="4" fillId="0" borderId="0" xfId="1" applyFont="1" applyAlignment="1">
      <alignment horizontal="left" vertical="center"/>
    </xf>
  </cellXfs>
  <cellStyles count="4">
    <cellStyle name="一般" xfId="0" builtinId="0"/>
    <cellStyle name="一般 7" xfId="3" xr:uid="{8D760821-E201-4D65-94CD-491D6D95682C}"/>
    <cellStyle name="一般 8" xfId="2" xr:uid="{E4465513-855C-44EE-B5BA-1D46897A78A0}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01-Client\I026-International%20Data%20Industry%20Alliance%20Ltd%20(aka.%20Institute%20of%20Big%20Data%20Governance%20Ltd)\001-Acc%20&amp;%20Audit\I026-Audit%2031.12.24\002a-I026-Working%20Paper-31.12.24.xlsx" TargetMode="External"/><Relationship Id="rId1" Type="http://schemas.openxmlformats.org/officeDocument/2006/relationships/externalLinkPath" Target="file:///Z:\001-Client\I026-International%20Data%20Industry%20Alliance%20Ltd%20(aka.%20Institute%20of%20Big%20Data%20Governance%20Ltd)\001-Acc%20&amp;%20Audit\I026-Audit%2031.12.24\002a-I026-Working%20Paper-31.1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g"/>
      <sheetName val="(OS)-Outstanding List"/>
      <sheetName val="(RC)-Reviewer's Comment(s)"/>
      <sheetName val="INDEX"/>
      <sheetName val="(NA1)-Adjusted Trial Balance"/>
      <sheetName val="(NA2)-Audit Adjustment"/>
      <sheetName val="(NA3)-Opening Adjustment"/>
      <sheetName val="(E)-IA Disclosure"/>
      <sheetName val="(E1)-IA Additions"/>
      <sheetName val="(E2)-IA Amortisation"/>
      <sheetName val="TB 31.12.24"/>
      <sheetName val="(F)-PPE Disclosure"/>
      <sheetName val="(F1)-PPE Additions"/>
      <sheetName val="(F2)-PPE Depreciation"/>
      <sheetName val="(F3)-PPE Disposal"/>
      <sheetName val="(F4)-Investment Property"/>
      <sheetName val="(F5)-Investment Property"/>
      <sheetName val="(G)-Investments"/>
      <sheetName val="(I)-Inventory-Lead Sch."/>
      <sheetName val="(I1)-Stocktake Program"/>
      <sheetName val="(J)-Assets-Lead Sch."/>
      <sheetName val="(J1)-Deposit &amp; Prepayment"/>
      <sheetName val="(J2)-Trade Receivables"/>
      <sheetName val="(K)-Cash &amp; Bank Balances"/>
      <sheetName val="(L)-Liabilties-Lead Sch."/>
      <sheetName val="(L1)-Related Parties"/>
      <sheetName val="(L2)-Search for Unrecord Liab."/>
      <sheetName val="(M)-Loan-Lead Sch."/>
      <sheetName val="(M1)-Hire Purchase"/>
      <sheetName val="(M2)-Bank Loan"/>
      <sheetName val="(M3)-Fixed Interest Mortgage"/>
      <sheetName val="(M4)-Floating Interest Mortgage"/>
      <sheetName val="(M5)-Floating Interest Mortgage"/>
      <sheetName val="(N)-Operating Lease Commitments"/>
      <sheetName val="(O)-Share Capital"/>
      <sheetName val="(O)-Civil litigation check"/>
      <sheetName val="(P)-Tax Assessment Computation"/>
      <sheetName val="(P1)-Provision for Income Tax"/>
      <sheetName val="(P2)-Deferred Tax"/>
      <sheetName val="(R)-Detailed Income Statement"/>
      <sheetName val="(R1)-Sales &amp; Purchase-Lead Sch."/>
      <sheetName val="(R1a)-Sales List"/>
      <sheetName val="(R1b)-Sales Transaction Test"/>
      <sheetName val="(R1c)-Sales Cut-off Test"/>
      <sheetName val="(R2a)-Purchases listing"/>
      <sheetName val="(R2b)-Purchase Transaction Test"/>
      <sheetName val="(R2c)-Purchases Cut-off Test"/>
      <sheetName val="(R3)-Account, Audit &amp; Tax Fee"/>
      <sheetName val="(R4)-Directors' Remuneration"/>
      <sheetName val="(R5)-Salaries"/>
      <sheetName val="(R6)-Long Service Payment"/>
      <sheetName val="(T1)-Subsequent Event"/>
      <sheetName val="(T2)-Going Concer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5">
          <cell r="A25" t="str">
            <v>YEUNG Tak Bun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E0F20-4902-4F53-B66C-5AE5D155B84D}">
  <dimension ref="A1:E35"/>
  <sheetViews>
    <sheetView tabSelected="1" view="pageBreakPreview" zoomScale="145" zoomScaleNormal="100" zoomScaleSheetLayoutView="145" workbookViewId="0">
      <pane ySplit="1" topLeftCell="A2" activePane="bottomLeft" state="frozenSplit"/>
      <selection pane="bottomLeft" activeCell="I13" sqref="I13"/>
    </sheetView>
  </sheetViews>
  <sheetFormatPr defaultRowHeight="12.75" x14ac:dyDescent="0.25"/>
  <cols>
    <col min="1" max="1" width="14" style="4" customWidth="1"/>
    <col min="2" max="2" width="30.375" style="4" customWidth="1"/>
    <col min="3" max="4" width="14.875" style="7" customWidth="1"/>
    <col min="5" max="16384" width="9" style="6"/>
  </cols>
  <sheetData>
    <row r="1" spans="1:5" s="3" customForma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5" x14ac:dyDescent="0.25">
      <c r="A2" s="4" t="s">
        <v>4</v>
      </c>
      <c r="B2" s="4" t="s">
        <v>5</v>
      </c>
      <c r="C2" s="5">
        <v>87621.63</v>
      </c>
      <c r="D2" s="5"/>
    </row>
    <row r="3" spans="1:5" x14ac:dyDescent="0.25">
      <c r="A3" s="4" t="s">
        <v>6</v>
      </c>
      <c r="B3" s="4" t="s">
        <v>7</v>
      </c>
      <c r="C3" s="5">
        <v>550018.92000000004</v>
      </c>
      <c r="D3" s="5"/>
    </row>
    <row r="4" spans="1:5" x14ac:dyDescent="0.25">
      <c r="A4" s="4" t="s">
        <v>8</v>
      </c>
      <c r="B4" s="4" t="s">
        <v>9</v>
      </c>
      <c r="C4" s="5">
        <v>20000</v>
      </c>
      <c r="D4" s="5"/>
    </row>
    <row r="5" spans="1:5" x14ac:dyDescent="0.25">
      <c r="A5" s="4" t="s">
        <v>10</v>
      </c>
      <c r="B5" s="4" t="s">
        <v>11</v>
      </c>
      <c r="C5" s="5">
        <v>4900</v>
      </c>
      <c r="D5" s="5"/>
    </row>
    <row r="6" spans="1:5" x14ac:dyDescent="0.25">
      <c r="A6" s="4" t="s">
        <v>12</v>
      </c>
      <c r="B6" s="4" t="s">
        <v>13</v>
      </c>
      <c r="C6" s="5">
        <v>5750</v>
      </c>
      <c r="D6" s="5"/>
      <c r="E6" s="7"/>
    </row>
    <row r="7" spans="1:5" x14ac:dyDescent="0.25">
      <c r="A7" s="4" t="s">
        <v>14</v>
      </c>
      <c r="B7" s="4" t="s">
        <v>15</v>
      </c>
      <c r="C7" s="5"/>
      <c r="D7" s="5">
        <v>-5750</v>
      </c>
      <c r="E7" s="7"/>
    </row>
    <row r="8" spans="1:5" x14ac:dyDescent="0.25">
      <c r="A8" s="4" t="s">
        <v>16</v>
      </c>
      <c r="B8" s="4" t="s">
        <v>17</v>
      </c>
      <c r="C8" s="5"/>
      <c r="D8" s="5">
        <v>-93484</v>
      </c>
      <c r="E8" s="7"/>
    </row>
    <row r="9" spans="1:5" x14ac:dyDescent="0.25">
      <c r="A9" s="4" t="s">
        <v>18</v>
      </c>
      <c r="B9" s="4" t="s">
        <v>19</v>
      </c>
      <c r="C9" s="5"/>
      <c r="D9" s="5">
        <v>-19815.41</v>
      </c>
      <c r="E9" s="7"/>
    </row>
    <row r="10" spans="1:5" x14ac:dyDescent="0.25">
      <c r="A10" s="4" t="s">
        <v>20</v>
      </c>
      <c r="B10" s="4" t="s">
        <v>21</v>
      </c>
      <c r="C10" s="5"/>
      <c r="D10" s="5">
        <v>-85558.83</v>
      </c>
      <c r="E10" s="7"/>
    </row>
    <row r="11" spans="1:5" x14ac:dyDescent="0.25">
      <c r="A11" s="4" t="s">
        <v>22</v>
      </c>
      <c r="B11" s="4" t="s">
        <v>23</v>
      </c>
      <c r="C11" s="5"/>
      <c r="D11" s="5">
        <v>-96183</v>
      </c>
      <c r="E11" s="7"/>
    </row>
    <row r="12" spans="1:5" x14ac:dyDescent="0.25">
      <c r="A12" s="4" t="s">
        <v>24</v>
      </c>
      <c r="B12" s="4" t="s">
        <v>25</v>
      </c>
      <c r="C12" s="5"/>
      <c r="D12" s="5">
        <v>-2010.26</v>
      </c>
    </row>
    <row r="13" spans="1:5" x14ac:dyDescent="0.25">
      <c r="A13" s="4" t="s">
        <v>26</v>
      </c>
      <c r="B13" s="4" t="s">
        <v>27</v>
      </c>
      <c r="C13" s="5"/>
      <c r="D13" s="5">
        <v>-500000</v>
      </c>
    </row>
    <row r="14" spans="1:5" x14ac:dyDescent="0.25">
      <c r="A14" s="4" t="s">
        <v>28</v>
      </c>
      <c r="B14" s="4" t="s">
        <v>29</v>
      </c>
      <c r="C14" s="5">
        <v>3000</v>
      </c>
      <c r="D14" s="5"/>
    </row>
    <row r="15" spans="1:5" x14ac:dyDescent="0.25">
      <c r="A15" s="4" t="s">
        <v>30</v>
      </c>
      <c r="B15" s="4" t="s">
        <v>31</v>
      </c>
      <c r="C15" s="5">
        <v>5000</v>
      </c>
      <c r="D15" s="5"/>
    </row>
    <row r="16" spans="1:5" x14ac:dyDescent="0.25">
      <c r="A16" s="4" t="s">
        <v>32</v>
      </c>
      <c r="B16" s="4" t="s">
        <v>33</v>
      </c>
      <c r="C16" s="5">
        <v>7200</v>
      </c>
      <c r="D16" s="5"/>
    </row>
    <row r="17" spans="1:4" x14ac:dyDescent="0.25">
      <c r="A17" s="4" t="s">
        <v>34</v>
      </c>
      <c r="B17" s="4" t="s">
        <v>35</v>
      </c>
      <c r="C17" s="5">
        <v>465</v>
      </c>
      <c r="D17" s="5"/>
    </row>
    <row r="18" spans="1:4" x14ac:dyDescent="0.25">
      <c r="A18" s="4" t="s">
        <v>36</v>
      </c>
      <c r="B18" s="4" t="s">
        <v>37</v>
      </c>
      <c r="C18" s="5">
        <v>5370</v>
      </c>
      <c r="D18" s="5"/>
    </row>
    <row r="19" spans="1:4" x14ac:dyDescent="0.25">
      <c r="A19" s="4" t="s">
        <v>38</v>
      </c>
      <c r="B19" s="4" t="s">
        <v>39</v>
      </c>
      <c r="C19" s="5">
        <v>6844.32</v>
      </c>
      <c r="D19" s="5"/>
    </row>
    <row r="20" spans="1:4" x14ac:dyDescent="0.25">
      <c r="A20" s="4" t="s">
        <v>40</v>
      </c>
      <c r="B20" s="4" t="s">
        <v>41</v>
      </c>
      <c r="C20" s="5">
        <v>5084</v>
      </c>
      <c r="D20" s="5"/>
    </row>
    <row r="21" spans="1:4" x14ac:dyDescent="0.25">
      <c r="A21" s="4" t="s">
        <v>42</v>
      </c>
      <c r="B21" s="4" t="s">
        <v>43</v>
      </c>
      <c r="C21" s="5">
        <v>101547.63</v>
      </c>
      <c r="D21" s="5"/>
    </row>
    <row r="22" spans="1:4" x14ac:dyDescent="0.25">
      <c r="C22" s="5"/>
      <c r="D22" s="5"/>
    </row>
    <row r="23" spans="1:4" s="8" customFormat="1" ht="14.25" x14ac:dyDescent="0.25">
      <c r="C23" s="9"/>
      <c r="D23" s="9"/>
    </row>
    <row r="24" spans="1:4" s="12" customFormat="1" ht="13.5" thickBot="1" x14ac:dyDescent="0.3">
      <c r="A24" s="10" t="s">
        <v>44</v>
      </c>
      <c r="B24" s="10" t="s">
        <v>45</v>
      </c>
      <c r="C24" s="11">
        <f>SUBTOTAL(9, C2:C23)</f>
        <v>802801.5</v>
      </c>
      <c r="D24" s="11">
        <f>SUBTOTAL(9, D2:D23)</f>
        <v>-802801.5</v>
      </c>
    </row>
    <row r="25" spans="1:4" s="8" customFormat="1" ht="15.75" thickTop="1" thickBot="1" x14ac:dyDescent="0.3">
      <c r="A25" s="13"/>
      <c r="B25" s="13"/>
      <c r="C25" s="14"/>
      <c r="D25" s="15">
        <f>C24+D24</f>
        <v>0</v>
      </c>
    </row>
    <row r="33" spans="1:2" x14ac:dyDescent="0.25">
      <c r="A33" s="16"/>
      <c r="B33" s="16"/>
    </row>
    <row r="34" spans="1:2" x14ac:dyDescent="0.25">
      <c r="A34" s="17" t="s">
        <v>46</v>
      </c>
      <c r="B34" s="18" t="str">
        <f>'[1](O)-Share Capital'!A25</f>
        <v>YEUNG Tak Bun</v>
      </c>
    </row>
    <row r="35" spans="1:2" x14ac:dyDescent="0.25">
      <c r="A35" s="17" t="s">
        <v>47</v>
      </c>
      <c r="B35" s="17"/>
    </row>
  </sheetData>
  <phoneticPr fontId="3" type="noConversion"/>
  <pageMargins left="0.70866141732283472" right="0.70866141732283472" top="1.2598425196850394" bottom="0.6692913385826772" header="0.31496062992125984" footer="0.31496062992125984"/>
  <pageSetup paperSize="9" orientation="portrait" r:id="rId1"/>
  <headerFooter>
    <oddHeader>&amp;C&amp;"Arial,粗體"&amp;12 International Data Industry Alliance Limited&amp;"Arial,標準"
&amp;"Arial,粗體"&amp;11 General Ledger Trial Balance&amp;"Arial,標準"
&amp;"Arial,粗體" As of 31 Dec 2024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TB 31.12.24</vt:lpstr>
      <vt:lpstr>'TB 31.12.24'!Print_Area</vt:lpstr>
      <vt:lpstr>'TB 31.12.24'!Print_Titles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Mak</dc:creator>
  <cp:lastModifiedBy>Dennis Mak</cp:lastModifiedBy>
  <dcterms:created xsi:type="dcterms:W3CDTF">2026-06-23T08:33:58Z</dcterms:created>
  <dcterms:modified xsi:type="dcterms:W3CDTF">2026-06-23T08:34:34Z</dcterms:modified>
</cp:coreProperties>
</file>