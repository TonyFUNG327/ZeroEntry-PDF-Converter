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Savings Account" sheetId="1" state="visible" r:id="rId1"/>
    <sheet xmlns:r="http://schemas.openxmlformats.org/officeDocument/2006/relationships" name="NCB HKD MCY Savings Account" sheetId="2" state="visible" r:id="rId2"/>
    <sheet xmlns:r="http://schemas.openxmlformats.org/officeDocument/2006/relationships" name="NCB HKD Current Ac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Savings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634868.1</v>
      </c>
      <c r="G2" s="8">
        <f>IF(AND(D2="",E2=""),F2,IF(D2="",0,D2)-IF(E2="",0,E2))</f>
        <v/>
      </c>
    </row>
    <row r="3">
      <c r="A3" s="3" t="inlineStr">
        <is>
          <t>NCB HKD Savings Account</t>
        </is>
      </c>
      <c r="B3" s="4" t="n">
        <v>45628</v>
      </c>
      <c r="C3" s="3" t="inlineStr">
        <is>
          <t>AC Business &amp; late cheque</t>
        </is>
      </c>
      <c r="D3" s="5" t="n"/>
      <c r="E3" s="6" t="n">
        <v>5050</v>
      </c>
      <c r="F3" s="7" t="n">
        <v>629818.1</v>
      </c>
      <c r="G3" s="8">
        <f>IF(AND(D3="",E3=""),F3,G2+IF(D3="",0,D3)-IF(E3="",0,E3))</f>
        <v/>
      </c>
    </row>
    <row r="4">
      <c r="A4" s="3" t="inlineStr">
        <is>
          <t>NCB HKD Savings Account</t>
        </is>
      </c>
      <c r="B4" s="4" t="n">
        <v>45628</v>
      </c>
      <c r="C4" s="3" t="inlineStr">
        <is>
          <t>Prepare for payment on ICT Services</t>
        </is>
      </c>
      <c r="D4" s="5" t="n"/>
      <c r="E4" s="6" t="n">
        <v>100000</v>
      </c>
      <c r="F4" s="7" t="n">
        <v>529818.1</v>
      </c>
      <c r="G4" s="8">
        <f>IF(AND(D4="",E4=""),F4,G3+IF(D4="",0,D4)-IF(E4="",0,E4))</f>
        <v/>
      </c>
    </row>
    <row r="5">
      <c r="A5" s="3" t="inlineStr">
        <is>
          <t>NCB HKD Savings Account</t>
        </is>
      </c>
      <c r="B5" s="4" t="n">
        <v>45646</v>
      </c>
      <c r="C5" s="3" t="inlineStr">
        <is>
          <t>NYITT240060459//NYITT240 060459 (tag70: /ROC/NOTPROVIDED )</t>
        </is>
      </c>
      <c r="D5" s="5" t="n">
        <v>19985</v>
      </c>
      <c r="E5" s="6" t="n"/>
      <c r="F5" s="7" t="n">
        <v>549803.1</v>
      </c>
      <c r="G5" s="8">
        <f>IF(AND(D5="",E5=""),F5,G4+IF(D5="",0,D5)-IF(E5="",0,E5))</f>
        <v/>
      </c>
    </row>
    <row r="6">
      <c r="A6" s="3" t="inlineStr">
        <is>
          <t>NCB HKD Savings Account</t>
        </is>
      </c>
      <c r="B6" s="4" t="n">
        <v>45657</v>
      </c>
      <c r="C6" s="3" t="inlineStr">
        <is>
          <t>Interest Payment</t>
        </is>
      </c>
      <c r="D6" s="5" t="n">
        <v>215.82</v>
      </c>
      <c r="E6" s="6" t="n"/>
      <c r="F6" s="7" t="n">
        <v>550018.92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Multi-Currency Savings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5150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45628</v>
      </c>
      <c r="C3" s="3" t="inlineStr">
        <is>
          <t>AC Business &amp; late cheque</t>
        </is>
      </c>
      <c r="D3" s="5" t="n">
        <v>5050</v>
      </c>
      <c r="E3" s="6" t="n"/>
      <c r="F3" s="7" t="n">
        <v>10200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45628</v>
      </c>
      <c r="C4" s="3" t="inlineStr">
        <is>
          <t>Prepare for payment on ICT Services</t>
        </is>
      </c>
      <c r="D4" s="5" t="n">
        <v>100000</v>
      </c>
      <c r="E4" s="6" t="n"/>
      <c r="F4" s="7" t="n">
        <v>110200</v>
      </c>
      <c r="G4" s="8">
        <f>IF(AND(D4="",E4=""),F4,G3+IF(D4="",0,D4)-IF(E4="",0,E4))</f>
        <v/>
      </c>
    </row>
    <row r="5">
      <c r="A5" s="3" t="inlineStr">
        <is>
          <t>NCB HKD Current Account</t>
        </is>
      </c>
      <c r="B5" s="4" t="n">
        <v>45631</v>
      </c>
      <c r="C5" s="3" t="inlineStr">
        <is>
          <t>INWARD CLEARING CHEQUE NO.000770</t>
        </is>
      </c>
      <c r="D5" s="5" t="n"/>
      <c r="E5" s="6" t="n">
        <v>10200</v>
      </c>
      <c r="F5" s="7" t="n">
        <v>100000</v>
      </c>
      <c r="G5" s="8">
        <f>IF(AND(D5="",E5=""),F5,G4+IF(D5="",0,D5)-IF(E5="",0,E5))</f>
        <v/>
      </c>
    </row>
    <row r="6">
      <c r="A6" s="3" t="inlineStr">
        <is>
          <t>NCB HKD Current Account</t>
        </is>
      </c>
      <c r="B6" s="4" t="n">
        <v>45651</v>
      </c>
      <c r="C6" s="3" t="inlineStr">
        <is>
          <t>INWARD CLEARING CHEQUE NO.000772</t>
        </is>
      </c>
      <c r="D6" s="5" t="n"/>
      <c r="E6" s="6" t="n">
        <v>12378.37</v>
      </c>
      <c r="F6" s="7" t="n">
        <v>87621.63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2026-06-23T06:34:49Z</dcterms:created>
  <dcterms:modified xmlns:dcterms="http://purl.org/dc/terms/" xmlns:xsi="http://www.w3.org/2001/XMLSchema-instance" xsi:type="dcterms:W3CDTF">2026-06-23T06:34:49Z</dcterms:modified>
</cp:coreProperties>
</file>