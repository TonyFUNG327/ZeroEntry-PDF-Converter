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CB HKD Savings Account" sheetId="1" state="visible" r:id="rId1"/>
    <sheet xmlns:r="http://schemas.openxmlformats.org/officeDocument/2006/relationships" name="NCB HKD MCY Savings Account" sheetId="2" state="visible" r:id="rId2"/>
    <sheet xmlns:r="http://schemas.openxmlformats.org/officeDocument/2006/relationships" name="NCB HKD Current Accou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NCB HKD Savings Account</t>
        </is>
      </c>
      <c r="B2" s="4" t="n">
        <v>45626</v>
      </c>
      <c r="C2" s="3" t="inlineStr">
        <is>
          <t>B/F BALANCE</t>
        </is>
      </c>
      <c r="D2" s="5" t="n"/>
      <c r="E2" s="6" t="n"/>
      <c r="F2" s="7" t="n">
        <v>634868.1</v>
      </c>
      <c r="G2" s="8">
        <f>IF(AND(D2="",E2=""),F2,IF(D2="",0,D2)-IF(E2="",0,E2))</f>
        <v/>
      </c>
    </row>
    <row r="3">
      <c r="A3" s="3" t="inlineStr">
        <is>
          <t>NCB HKD Savings Account</t>
        </is>
      </c>
      <c r="B3" s="4" t="n">
        <v>45628</v>
      </c>
      <c r="C3" s="3" t="inlineStr">
        <is>
          <t>AC Business &amp; late cheque</t>
        </is>
      </c>
      <c r="D3" s="5" t="n"/>
      <c r="E3" s="6" t="n">
        <v>5050</v>
      </c>
      <c r="F3" s="7" t="n">
        <v>629818.1</v>
      </c>
      <c r="G3" s="8">
        <f>IF(AND(D3="",E3=""),F3,G2+IF(D3="",0,D3)-IF(E3="",0,E3))</f>
        <v/>
      </c>
    </row>
    <row r="4">
      <c r="A4" s="3" t="inlineStr">
        <is>
          <t>NCB HKD Savings Account</t>
        </is>
      </c>
      <c r="B4" s="4" t="n">
        <v>45628</v>
      </c>
      <c r="C4" s="3" t="inlineStr">
        <is>
          <t>Prepare for payment on ICT Services</t>
        </is>
      </c>
      <c r="D4" s="5" t="n"/>
      <c r="E4" s="6" t="n">
        <v>100000</v>
      </c>
      <c r="F4" s="7" t="n">
        <v>529818.1</v>
      </c>
      <c r="G4" s="8">
        <f>IF(AND(D4="",E4=""),F4,G3+IF(D4="",0,D4)-IF(E4="",0,E4))</f>
        <v/>
      </c>
    </row>
    <row r="5">
      <c r="A5" s="3" t="inlineStr">
        <is>
          <t>NCB HKD Savings Account</t>
        </is>
      </c>
      <c r="B5" s="4" t="n">
        <v>45646</v>
      </c>
      <c r="C5" s="3" t="inlineStr">
        <is>
          <t>NYITT240060459//NYITT240 060459 (tag70: /ROC/NOTPROVIDED )</t>
        </is>
      </c>
      <c r="D5" s="5" t="n">
        <v>19985</v>
      </c>
      <c r="E5" s="6" t="n"/>
      <c r="F5" s="7" t="n">
        <v>549803.1</v>
      </c>
      <c r="G5" s="8">
        <f>IF(AND(D5="",E5=""),F5,G4+IF(D5="",0,D5)-IF(E5="",0,E5))</f>
        <v/>
      </c>
    </row>
    <row r="6">
      <c r="A6" s="3" t="inlineStr">
        <is>
          <t>NCB HKD Savings Account</t>
        </is>
      </c>
      <c r="B6" s="4" t="n">
        <v>45657</v>
      </c>
      <c r="C6" s="3" t="inlineStr">
        <is>
          <t>Interest Payment</t>
        </is>
      </c>
      <c r="D6" s="5" t="n">
        <v>215.82</v>
      </c>
      <c r="E6" s="6" t="n"/>
      <c r="F6" s="7" t="n">
        <v>550018.92</v>
      </c>
      <c r="G6" s="8">
        <f>IF(AND(D6="",E6=""),F6,G5+IF(D6="",0,D6)-IF(E6="",0,E6))</f>
        <v/>
      </c>
    </row>
    <row r="7">
      <c r="A7" s="3" t="inlineStr">
        <is>
          <t>NCB HKD Savings Account</t>
        </is>
      </c>
      <c r="B7" s="4" t="n">
        <v>45688</v>
      </c>
      <c r="C7" s="3" t="inlineStr">
        <is>
          <t>Interest Payment</t>
        </is>
      </c>
      <c r="D7" s="5" t="n">
        <v>175.18</v>
      </c>
      <c r="E7" s="6" t="n"/>
      <c r="F7" s="7" t="n">
        <v>550194.1</v>
      </c>
      <c r="G7" s="8">
        <f>IF(AND(D7="",E7=""),F7,G6+IF(D7="",0,D7)-IF(E7="",0,E7))</f>
        <v/>
      </c>
    </row>
    <row r="8">
      <c r="A8" s="3" t="inlineStr">
        <is>
          <t>NCB HKD Savings Account</t>
        </is>
      </c>
      <c r="B8" s="4" t="n">
        <v>45716</v>
      </c>
      <c r="C8" s="3" t="inlineStr">
        <is>
          <t>Interest Payment</t>
        </is>
      </c>
      <c r="D8" s="5" t="n">
        <v>158.27</v>
      </c>
      <c r="E8" s="6" t="n"/>
      <c r="F8" s="7" t="n">
        <v>550352.37</v>
      </c>
      <c r="G8" s="8">
        <f>IF(AND(D8="",E8=""),F8,G7+IF(D8="",0,D8)-IF(E8="",0,E8))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NCB HKD Multi-Currency Savings Account</t>
        </is>
      </c>
      <c r="B2" s="4" t="n">
        <v>45626</v>
      </c>
      <c r="C2" s="3" t="inlineStr">
        <is>
          <t>B/F BALANCE</t>
        </is>
      </c>
      <c r="D2" s="5" t="n"/>
      <c r="E2" s="6" t="n"/>
      <c r="F2" s="7" t="n">
        <v>0</v>
      </c>
      <c r="G2" s="8">
        <f>IF(AND(D2="",E2=""),F2,IF(D2="",0,D2)-IF(E2="",0,E2))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NCB HKD Current Account</t>
        </is>
      </c>
      <c r="B2" s="4" t="n">
        <v>45626</v>
      </c>
      <c r="C2" s="3" t="inlineStr">
        <is>
          <t>B/F BALANCE</t>
        </is>
      </c>
      <c r="D2" s="5" t="n"/>
      <c r="E2" s="6" t="n"/>
      <c r="F2" s="7" t="n">
        <v>5150</v>
      </c>
      <c r="G2" s="8">
        <f>IF(AND(D2="",E2=""),F2,IF(D2="",0,D2)-IF(E2="",0,E2))</f>
        <v/>
      </c>
    </row>
    <row r="3">
      <c r="A3" s="3" t="inlineStr">
        <is>
          <t>NCB HKD Current Account</t>
        </is>
      </c>
      <c r="B3" s="4" t="n">
        <v>45628</v>
      </c>
      <c r="C3" s="3" t="inlineStr">
        <is>
          <t>AC Business &amp; late cheque</t>
        </is>
      </c>
      <c r="D3" s="5" t="n">
        <v>5050</v>
      </c>
      <c r="E3" s="6" t="n"/>
      <c r="F3" s="7" t="n">
        <v>10200</v>
      </c>
      <c r="G3" s="8">
        <f>IF(AND(D3="",E3=""),F3,G2+IF(D3="",0,D3)-IF(E3="",0,E3))</f>
        <v/>
      </c>
    </row>
    <row r="4">
      <c r="A4" s="3" t="inlineStr">
        <is>
          <t>NCB HKD Current Account</t>
        </is>
      </c>
      <c r="B4" s="4" t="n">
        <v>45628</v>
      </c>
      <c r="C4" s="3" t="inlineStr">
        <is>
          <t>Prepare for payment on ICT Services</t>
        </is>
      </c>
      <c r="D4" s="5" t="n">
        <v>100000</v>
      </c>
      <c r="E4" s="6" t="n"/>
      <c r="F4" s="7" t="n">
        <v>110200</v>
      </c>
      <c r="G4" s="8">
        <f>IF(AND(D4="",E4=""),F4,G3+IF(D4="",0,D4)-IF(E4="",0,E4))</f>
        <v/>
      </c>
    </row>
    <row r="5">
      <c r="A5" s="3" t="inlineStr">
        <is>
          <t>NCB HKD Current Account</t>
        </is>
      </c>
      <c r="B5" s="4" t="n">
        <v>45631</v>
      </c>
      <c r="C5" s="3" t="inlineStr">
        <is>
          <t>INWARD CLEARING CHEQUE NO.000770</t>
        </is>
      </c>
      <c r="D5" s="5" t="n"/>
      <c r="E5" s="6" t="n">
        <v>10200</v>
      </c>
      <c r="F5" s="7" t="n">
        <v>100000</v>
      </c>
      <c r="G5" s="8">
        <f>IF(AND(D5="",E5=""),F5,G4+IF(D5="",0,D5)-IF(E5="",0,E5))</f>
        <v/>
      </c>
    </row>
    <row r="6">
      <c r="A6" s="3" t="inlineStr">
        <is>
          <t>NCB HKD Current Account</t>
        </is>
      </c>
      <c r="B6" s="4" t="n">
        <v>45651</v>
      </c>
      <c r="C6" s="3" t="inlineStr">
        <is>
          <t>INWARD CLEARING CHEQUE NO.000772</t>
        </is>
      </c>
      <c r="D6" s="5" t="n"/>
      <c r="E6" s="6" t="n">
        <v>12378.37</v>
      </c>
      <c r="F6" s="7" t="n">
        <v>87621.63</v>
      </c>
      <c r="G6" s="8">
        <f>IF(AND(D6="",E6=""),F6,G5+IF(D6="",0,D6)-IF(E6="",0,E6))</f>
        <v/>
      </c>
    </row>
    <row r="7">
      <c r="A7" s="3" t="inlineStr">
        <is>
          <t>NCB HKD Current Account</t>
        </is>
      </c>
      <c r="B7" s="4" t="n">
        <v>45660</v>
      </c>
      <c r="C7" s="3" t="inlineStr">
        <is>
          <t>INWARD CLEARING CHEQUE NO.000773</t>
        </is>
      </c>
      <c r="D7" s="5" t="n"/>
      <c r="E7" s="6" t="n">
        <v>3000</v>
      </c>
      <c r="F7" s="7" t="n">
        <v>84621.63</v>
      </c>
      <c r="G7" s="8">
        <f>IF(AND(D7="",E7=""),F7,G6+IF(D7="",0,D7)-IF(E7="",0,E7))</f>
        <v/>
      </c>
    </row>
    <row r="8">
      <c r="A8" s="3" t="inlineStr">
        <is>
          <t>NCB HKD Current Account</t>
        </is>
      </c>
      <c r="B8" s="4" t="n">
        <v>45710</v>
      </c>
      <c r="C8" s="3" t="inlineStr">
        <is>
          <t>INWARD CLEARING CHEQUE NO.000877</t>
        </is>
      </c>
      <c r="D8" s="5" t="n"/>
      <c r="E8" s="6" t="n">
        <v>2485.86</v>
      </c>
      <c r="F8" s="7" t="n">
        <v>82135.77</v>
      </c>
      <c r="G8" s="8">
        <f>IF(AND(D8="",E8=""),F8,G7+IF(D8="",0,D8)-IF(E8="",0,E8))</f>
        <v/>
      </c>
    </row>
    <row r="9">
      <c r="A9" s="3" t="inlineStr">
        <is>
          <t>NCB HKD Current Account</t>
        </is>
      </c>
      <c r="B9" s="4" t="n">
        <v>45710</v>
      </c>
      <c r="C9" s="3" t="inlineStr">
        <is>
          <t>INWARD CLEARING CHEQUE NO.000775</t>
        </is>
      </c>
      <c r="D9" s="5" t="n"/>
      <c r="E9" s="6" t="n">
        <v>4800</v>
      </c>
      <c r="F9" s="7" t="n">
        <v>77335.77</v>
      </c>
      <c r="G9" s="8">
        <f>IF(AND(D9="",E9=""),F9,G8+IF(D9="",0,D9)-IF(E9="",0,E9))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2026-06-23T06:35:15Z</dcterms:created>
  <dcterms:modified xmlns:dcterms="http://purl.org/dc/terms/" xmlns:xsi="http://www.w3.org/2001/XMLSchema-instance" xsi:type="dcterms:W3CDTF">2026-06-23T06:35:15Z</dcterms:modified>
</cp:coreProperties>
</file>