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CNY MCY Savings" sheetId="1" state="visible" r:id="rId1"/>
    <sheet xmlns:r="http://schemas.openxmlformats.org/officeDocument/2006/relationships" name="DBS HKD MCY Savings" sheetId="2" state="visible" r:id="rId2"/>
    <sheet xmlns:r="http://schemas.openxmlformats.org/officeDocument/2006/relationships" name="DBS SGD MCY Savings" sheetId="3" state="visible" r:id="rId3"/>
    <sheet xmlns:r="http://schemas.openxmlformats.org/officeDocument/2006/relationships" name="DBS USD M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CNY MCY Savings</t>
        </is>
      </c>
      <c r="B2" s="4" t="n">
        <v>44926</v>
      </c>
      <c r="C2" s="3" t="inlineStr">
        <is>
          <t>Balance Brought Forward No Transactions In This Month</t>
        </is>
      </c>
      <c r="D2" s="5" t="n"/>
      <c r="E2" s="5" t="n"/>
      <c r="F2" s="6" t="n">
        <v>0</v>
      </c>
      <c r="G2" s="7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42368.56</v>
      </c>
      <c r="G2" s="7">
        <f>IF(AND(D2="",E2=""),F2,IF(D2="",0,D2)-IF(E2="",0,E2))</f>
        <v/>
      </c>
    </row>
    <row r="3">
      <c r="A3" s="3" t="inlineStr">
        <is>
          <t>DBS HKD MCY Savings</t>
        </is>
      </c>
      <c r="B3" s="4" t="n">
        <v>44929</v>
      </c>
      <c r="C3" s="3" t="inlineStr">
        <is>
          <t>FPS EBGPP30102766870 +852-96295265 YEUNG S** W** 2301021129327RKCO355 CXBSNS</t>
        </is>
      </c>
      <c r="D3" s="5" t="n"/>
      <c r="E3" s="5" t="n">
        <v>17500</v>
      </c>
      <c r="F3" s="6" t="n">
        <v>24868.56</v>
      </c>
      <c r="G3" s="7">
        <f>IF(AND(D3="",E3=""),F3,G2+IF(D3="",0,D3)-IF(E3="",0,E3))</f>
        <v/>
      </c>
    </row>
    <row r="4">
      <c r="A4" s="3" t="inlineStr">
        <is>
          <t>DBS HKD MCY Savings</t>
        </is>
      </c>
      <c r="B4" s="4" t="n">
        <v>44929</v>
      </c>
      <c r="C4" s="3" t="inlineStr">
        <is>
          <t>FPS FEE for EBGPP30102766870 2301021129327RKCO355</t>
        </is>
      </c>
      <c r="D4" s="5" t="n"/>
      <c r="E4" s="5" t="n">
        <v>5</v>
      </c>
      <c r="F4" s="6" t="n">
        <v>24863.56</v>
      </c>
      <c r="G4" s="7">
        <f>IF(AND(D4="",E4=""),F4,G3+IF(D4="",0,D4)-IF(E4="",0,E4))</f>
        <v/>
      </c>
    </row>
    <row r="5">
      <c r="A5" s="3" t="inlineStr">
        <is>
          <t>DBS HKD MCY Savings</t>
        </is>
      </c>
      <c r="B5" s="4" t="n">
        <v>44929</v>
      </c>
      <c r="C5" s="3" t="inlineStr">
        <is>
          <t>FPS EBGPP30102767858 LAI WING YU 2301021348087RKCO737 CXBSNS</t>
        </is>
      </c>
      <c r="D5" s="5" t="n"/>
      <c r="E5" s="5" t="n">
        <v>19000</v>
      </c>
      <c r="F5" s="6" t="n">
        <v>5863.56</v>
      </c>
      <c r="G5" s="7">
        <f>IF(AND(D5="",E5=""),F5,G4+IF(D5="",0,D5)-IF(E5="",0,E5))</f>
        <v/>
      </c>
    </row>
    <row r="6">
      <c r="A6" s="3" t="inlineStr">
        <is>
          <t>DBS HKD MCY Savings</t>
        </is>
      </c>
      <c r="B6" s="4" t="n">
        <v>44929</v>
      </c>
      <c r="C6" s="3" t="inlineStr">
        <is>
          <t>FPS FEE for EBGPP30102767858 2301021348087RKCO737</t>
        </is>
      </c>
      <c r="D6" s="5" t="n"/>
      <c r="E6" s="5" t="n">
        <v>5</v>
      </c>
      <c r="F6" s="6" t="n">
        <v>5858.56</v>
      </c>
      <c r="G6" s="7">
        <f>IF(AND(D6="",E6=""),F6,G5+IF(D6="",0,D6)-IF(E6="",0,E6))</f>
        <v/>
      </c>
    </row>
    <row r="7">
      <c r="A7" s="3" t="inlineStr">
        <is>
          <t>DBS HKD MCY Savings</t>
        </is>
      </c>
      <c r="B7" s="4" t="n">
        <v>44929</v>
      </c>
      <c r="C7" s="3" t="inlineStr">
        <is>
          <t>FPS NOTPROVIDED MISS HUI SZE SUEN 2301022230386RKCI507 CXPSNL</t>
        </is>
      </c>
      <c r="D7" s="5" t="n">
        <v>50000</v>
      </c>
      <c r="E7" s="5" t="n"/>
      <c r="F7" s="6" t="n">
        <v>55858.56</v>
      </c>
      <c r="G7" s="7">
        <f>IF(AND(D7="",E7=""),F7,G6+IF(D7="",0,D7)-IF(E7="",0,E7))</f>
        <v/>
      </c>
    </row>
    <row r="8">
      <c r="A8" s="3" t="inlineStr">
        <is>
          <t>DBS HKD MCY Savings</t>
        </is>
      </c>
      <c r="B8" s="4" t="n">
        <v>44929</v>
      </c>
      <c r="C8" s="3" t="inlineStr">
        <is>
          <t>FPS 3CC45C49 OZFOREX (HK) LIMITED 2301031121465RKCO948 CXBSNS</t>
        </is>
      </c>
      <c r="D8" s="5" t="n">
        <v>64337.45</v>
      </c>
      <c r="E8" s="5" t="n"/>
      <c r="F8" s="6" t="n">
        <v>120196.01</v>
      </c>
      <c r="G8" s="7">
        <f>IF(AND(D8="",E8=""),F8,G7+IF(D8="",0,D8)-IF(E8="",0,E8))</f>
        <v/>
      </c>
    </row>
    <row r="9">
      <c r="A9" s="3" t="inlineStr">
        <is>
          <t>DBS HKD MCY Savings</t>
        </is>
      </c>
      <c r="B9" s="4" t="n">
        <v>44929</v>
      </c>
      <c r="C9" s="3" t="inlineStr">
        <is>
          <t>FPS NOTPROVIDED MISS HUI SZE SUEN 2301031235568RKCI231 CXPSNL</t>
        </is>
      </c>
      <c r="D9" s="5" t="n">
        <v>38000</v>
      </c>
      <c r="E9" s="5" t="n"/>
      <c r="F9" s="6" t="n">
        <v>158196.01</v>
      </c>
      <c r="G9" s="7">
        <f>IF(AND(D9="",E9=""),F9,G8+IF(D9="",0,D9)-IF(E9="",0,E9))</f>
        <v/>
      </c>
    </row>
    <row r="10">
      <c r="A10" s="3" t="inlineStr">
        <is>
          <t>DBS HKD MCY Savings</t>
        </is>
      </c>
      <c r="B10" s="4" t="n">
        <v>44929</v>
      </c>
      <c r="C10" s="3" t="inlineStr">
        <is>
          <t>DR 1513RF5918485 EBICT30103211322 EBICT30103211322 VIEWIDER LIMI VIEWIDER LIMITED HKD 156980</t>
        </is>
      </c>
      <c r="D10" s="5" t="n"/>
      <c r="E10" s="5" t="n">
        <v>156980</v>
      </c>
      <c r="F10" s="6" t="n">
        <v>1216.01</v>
      </c>
      <c r="G10" s="7">
        <f>IF(AND(D10="",E10=""),F10,G9+IF(D10="",0,D10)-IF(E10="",0,E10))</f>
        <v/>
      </c>
    </row>
    <row r="11">
      <c r="A11" s="3" t="inlineStr">
        <is>
          <t>DBS HKD MCY Savings</t>
        </is>
      </c>
      <c r="B11" s="4" t="n">
        <v>44930</v>
      </c>
      <c r="C11" s="3" t="inlineStr">
        <is>
          <t>CR 1513RF5921916 eaJxxhKcJSnMkL6G eaJxxhKcJSnMkL6G AIRWALLEX (HO AIRWALLEX (HONG KONG) LIMITED HKD 23315.67</t>
        </is>
      </c>
      <c r="D11" s="5" t="n">
        <v>23315.67</v>
      </c>
      <c r="E11" s="5" t="n"/>
      <c r="F11" s="6" t="n">
        <v>24531.68</v>
      </c>
      <c r="G11" s="7">
        <f>IF(AND(D11="",E11=""),F11,G10+IF(D11="",0,D11)-IF(E11="",0,E11))</f>
        <v/>
      </c>
    </row>
    <row r="12">
      <c r="A12" s="3" t="inlineStr">
        <is>
          <t>DBS HKD MCY Savings</t>
        </is>
      </c>
      <c r="B12" s="4" t="n">
        <v>44930</v>
      </c>
      <c r="C12" s="3" t="inlineStr">
        <is>
          <t>DR 1513RF5924466 EBICT30104213765 EBICT30104213765 VIEWIDER LIMI VIEWIDER LIMITED HKD 15500</t>
        </is>
      </c>
      <c r="D12" s="5" t="n"/>
      <c r="E12" s="5" t="n">
        <v>15500</v>
      </c>
      <c r="F12" s="6" t="n">
        <v>9031.68</v>
      </c>
      <c r="G12" s="7">
        <f>IF(AND(D12="",E12=""),F12,G11+IF(D12="",0,D12)-IF(E12="",0,E12))</f>
        <v/>
      </c>
    </row>
    <row r="13">
      <c r="A13" s="3" t="inlineStr">
        <is>
          <t>DBS HKD MCY Savings</t>
        </is>
      </c>
      <c r="B13" s="4" t="n">
        <v>44931</v>
      </c>
      <c r="C13" s="3" t="inlineStr">
        <is>
          <t>轉賬存入 TRANSFER DEPOSIT MONTHLY REBATE</t>
        </is>
      </c>
      <c r="D13" s="5" t="n">
        <v>45</v>
      </c>
      <c r="E13" s="5" t="n"/>
      <c r="F13" s="6" t="n">
        <v>9076.68</v>
      </c>
      <c r="G13" s="7">
        <f>IF(AND(D13="",E13=""),F13,G12+IF(D13="",0,D13)-IF(E13="",0,E13))</f>
        <v/>
      </c>
    </row>
    <row r="14">
      <c r="A14" s="3" t="inlineStr">
        <is>
          <t>DBS HKD MCY Savings</t>
        </is>
      </c>
      <c r="B14" s="4" t="n">
        <v>44932</v>
      </c>
      <c r="C14" s="3" t="inlineStr">
        <is>
          <t>現金存入 CASH DEPOSIT</t>
        </is>
      </c>
      <c r="D14" s="5" t="n">
        <v>38500</v>
      </c>
      <c r="E14" s="5" t="n"/>
      <c r="F14" s="6" t="n">
        <v>47576.68</v>
      </c>
      <c r="G14" s="7">
        <f>IF(AND(D14="",E14=""),F14,G13+IF(D14="",0,D14)-IF(E14="",0,E14))</f>
        <v/>
      </c>
    </row>
    <row r="15">
      <c r="A15" s="3" t="inlineStr">
        <is>
          <t>DBS HKD MCY Savings</t>
        </is>
      </c>
      <c r="B15" s="4" t="n">
        <v>44932</v>
      </c>
      <c r="C15" s="3" t="inlineStr">
        <is>
          <t>FPS EBGPP30106047376 +852-96285685 CHENG W** H*** 2301061331547RKCO751 CXBSNS</t>
        </is>
      </c>
      <c r="D15" s="5" t="n"/>
      <c r="E15" s="5" t="n">
        <v>11480</v>
      </c>
      <c r="F15" s="6" t="n">
        <v>36096.68</v>
      </c>
      <c r="G15" s="7">
        <f>IF(AND(D15="",E15=""),F15,G14+IF(D15="",0,D15)-IF(E15="",0,E15))</f>
        <v/>
      </c>
    </row>
    <row r="16">
      <c r="A16" s="3" t="inlineStr">
        <is>
          <t>DBS HKD MCY Savings</t>
        </is>
      </c>
      <c r="B16" s="4" t="n">
        <v>44932</v>
      </c>
      <c r="C16" s="3" t="inlineStr">
        <is>
          <t>FPS FEE for EBGPP30106047376 2301061331547RKCO751</t>
        </is>
      </c>
      <c r="D16" s="5" t="n"/>
      <c r="E16" s="5" t="n">
        <v>5</v>
      </c>
      <c r="F16" s="6" t="n">
        <v>36091.68</v>
      </c>
      <c r="G16" s="7">
        <f>IF(AND(D16="",E16=""),F16,G15+IF(D16="",0,D16)-IF(E16="",0,E16))</f>
        <v/>
      </c>
    </row>
    <row r="17">
      <c r="A17" s="3" t="inlineStr">
        <is>
          <t>DBS HKD MCY Savings</t>
        </is>
      </c>
      <c r="B17" s="4" t="n">
        <v>44932</v>
      </c>
      <c r="C17" s="3" t="inlineStr">
        <is>
          <t>FPS 4AE1735E OZFOREX (HK) LIMITED 2301061547038RKCO103 CXBSNS</t>
        </is>
      </c>
      <c r="D17" s="5" t="n">
        <v>13954.68</v>
      </c>
      <c r="E17" s="5" t="n"/>
      <c r="F17" s="6" t="n">
        <v>50046.36</v>
      </c>
      <c r="G17" s="7">
        <f>IF(AND(D17="",E17=""),F17,G16+IF(D17="",0,D17)-IF(E17="",0,E17))</f>
        <v/>
      </c>
    </row>
    <row r="18">
      <c r="A18" s="3" t="inlineStr">
        <is>
          <t>DBS HKD MCY Savings</t>
        </is>
      </c>
      <c r="B18" s="4" t="n">
        <v>44932</v>
      </c>
      <c r="C18" s="3" t="inlineStr">
        <is>
          <t>DR 1513RF5940434 EBICT30106217567 EBICT30106217567 VIEWIDER LIMI VIEWIDER LIMITED HKD 49461.01</t>
        </is>
      </c>
      <c r="D18" s="5" t="n"/>
      <c r="E18" s="5" t="n">
        <v>49461.01</v>
      </c>
      <c r="F18" s="6" t="n">
        <v>585.35</v>
      </c>
      <c r="G18" s="7">
        <f>IF(AND(D18="",E18=""),F18,G17+IF(D18="",0,D18)-IF(E18="",0,E18))</f>
        <v/>
      </c>
    </row>
    <row r="19">
      <c r="A19" s="3" t="inlineStr">
        <is>
          <t>DBS HKD MCY Savings</t>
        </is>
      </c>
      <c r="B19" s="4" t="n">
        <v>44933</v>
      </c>
      <c r="C19" s="3" t="inlineStr">
        <is>
          <t>DR 1513RF5941163 EBICT30107218968 EBICT30107218968 VIEWIDER LIMI VIEWIDER LIMITED HKD 200</t>
        </is>
      </c>
      <c r="D19" s="5" t="n"/>
      <c r="E19" s="5" t="n">
        <v>200</v>
      </c>
      <c r="F19" s="6" t="n">
        <v>385.35</v>
      </c>
      <c r="G19" s="7">
        <f>IF(AND(D19="",E19=""),F19,G18+IF(D19="",0,D19)-IF(E19="",0,E19))</f>
        <v/>
      </c>
    </row>
    <row r="20">
      <c r="A20" s="3" t="inlineStr">
        <is>
          <t>DBS HKD MCY Savings</t>
        </is>
      </c>
      <c r="B20" s="4" t="n">
        <v>44936</v>
      </c>
      <c r="C20" s="3" t="inlineStr">
        <is>
          <t>CR 1513II5088564 6055010D03990001 FX:1 EBAY MARKET 6055010D03990001 EBAY MARKETPL EBAY MARKETPLACES GMBH HKD 25000</t>
        </is>
      </c>
      <c r="D20" s="5" t="n">
        <v>25000</v>
      </c>
      <c r="E20" s="5" t="n"/>
      <c r="F20" s="6" t="n">
        <v>25385.35</v>
      </c>
      <c r="G20" s="7">
        <f>IF(AND(D20="",E20=""),F20,G19+IF(D20="",0,D20)-IF(E20="",0,E20))</f>
        <v/>
      </c>
    </row>
    <row r="21">
      <c r="A21" s="3" t="inlineStr">
        <is>
          <t>DBS HKD MCY Savings</t>
        </is>
      </c>
      <c r="B21" s="4" t="n">
        <v>44936</v>
      </c>
      <c r="C21" s="3" t="inlineStr">
        <is>
          <t>DR 1513RF5948935 EBICT30110222160 EBICT30110222160 VIEWIDER LIMI VIEWIDER LIMITED HKD 2821</t>
        </is>
      </c>
      <c r="D21" s="5" t="n"/>
      <c r="E21" s="5" t="n">
        <v>2821</v>
      </c>
      <c r="F21" s="6" t="n">
        <v>22564.35</v>
      </c>
      <c r="G21" s="7">
        <f>IF(AND(D21="",E21=""),F21,G20+IF(D21="",0,D21)-IF(E21="",0,E21))</f>
        <v/>
      </c>
    </row>
    <row r="22">
      <c r="A22" s="3" t="inlineStr">
        <is>
          <t>DBS HKD MCY Savings</t>
        </is>
      </c>
      <c r="B22" s="4" t="n">
        <v>44937</v>
      </c>
      <c r="C22" s="3" t="inlineStr">
        <is>
          <t>銀行確認書費用 BANK CONFIRMATION FEE BK CONF DENNIS 1222</t>
        </is>
      </c>
      <c r="D22" s="5" t="n"/>
      <c r="E22" s="5" t="n">
        <v>350</v>
      </c>
      <c r="F22" s="6" t="n">
        <v>22214.35</v>
      </c>
      <c r="G22" s="7">
        <f>IF(AND(D22="",E22=""),F22,G21+IF(D22="",0,D22)-IF(E22="",0,E22))</f>
        <v/>
      </c>
    </row>
    <row r="23">
      <c r="A23" s="3" t="inlineStr">
        <is>
          <t>DBS HKD MCY Savings</t>
        </is>
      </c>
      <c r="B23" s="4" t="n">
        <v>44937</v>
      </c>
      <c r="C23" s="3" t="inlineStr">
        <is>
          <t>FPS 5651684F-merge2 OZFOREX (HK) LIMITED 2301111805176RKCO667 CXBSNS</t>
        </is>
      </c>
      <c r="D23" s="5" t="n">
        <v>30733</v>
      </c>
      <c r="E23" s="5" t="n"/>
      <c r="F23" s="6" t="n">
        <v>52947.35</v>
      </c>
      <c r="G23" s="7">
        <f>IF(AND(D23="",E23=""),F23,G22+IF(D23="",0,D23)-IF(E23="",0,E23))</f>
        <v/>
      </c>
    </row>
    <row r="24">
      <c r="A24" s="3" t="inlineStr">
        <is>
          <t>DBS HKD MCY Savings</t>
        </is>
      </c>
      <c r="B24" s="4" t="n">
        <v>44938</v>
      </c>
      <c r="C24" s="3" t="inlineStr">
        <is>
          <t>FPS 1024630247208 PAYPAL HK LTD 2301120945571BKCI559 FPS PAYPAL HK LTD 2301120945571BKCI559 交易詳情 Transaction Details</t>
        </is>
      </c>
      <c r="D24" s="5" t="n">
        <v>5650.62</v>
      </c>
      <c r="E24" s="5" t="n"/>
      <c r="F24" s="6" t="n">
        <v>58597.97</v>
      </c>
      <c r="G24" s="7">
        <f>IF(AND(D24="",E24=""),F24,G23+IF(D24="",0,D24)-IF(E24="",0,E24))</f>
        <v/>
      </c>
    </row>
    <row r="25">
      <c r="A25" s="3" t="inlineStr">
        <is>
          <t>DBS HKD MCY Savings</t>
        </is>
      </c>
      <c r="B25" s="4" t="n">
        <v>44938</v>
      </c>
      <c r="C25" s="3" t="inlineStr">
        <is>
          <t>CR 1513RF5960168 DuCA8hRbeljf4HoD DuCA8hRbeljf4HoD AIRWALLEX (HO AIRWALLEX (HONG KONG) LIMITED HKD 3886.84</t>
        </is>
      </c>
      <c r="D25" s="5" t="n">
        <v>3886.84</v>
      </c>
      <c r="E25" s="5" t="n"/>
      <c r="F25" s="6" t="n">
        <v>62484.81</v>
      </c>
      <c r="G25" s="7">
        <f>IF(AND(D25="",E25=""),F25,G24+IF(D25="",0,D25)-IF(E25="",0,E25))</f>
        <v/>
      </c>
    </row>
    <row r="26">
      <c r="A26" s="3" t="inlineStr">
        <is>
          <t>DBS HKD MCY Savings</t>
        </is>
      </c>
      <c r="B26" s="4" t="n">
        <v>44938</v>
      </c>
      <c r="C26" s="3" t="inlineStr">
        <is>
          <t>FPS EBGPP30111131270 161690003 Federal Express (Hong Kong) Ltd 2301121428107RKCO233 CXBSNS</t>
        </is>
      </c>
      <c r="D26" s="5" t="n"/>
      <c r="E26" s="5" t="n">
        <v>36754.73</v>
      </c>
      <c r="F26" s="6" t="n">
        <v>25730.08</v>
      </c>
      <c r="G26" s="7">
        <f>IF(AND(D26="",E26=""),F26,G25+IF(D26="",0,D26)-IF(E26="",0,E26))</f>
        <v/>
      </c>
    </row>
    <row r="27">
      <c r="A27" s="3" t="inlineStr">
        <is>
          <t>DBS HKD MCY Savings</t>
        </is>
      </c>
      <c r="B27" s="4" t="n">
        <v>44938</v>
      </c>
      <c r="C27" s="3" t="inlineStr">
        <is>
          <t>FPS FEE for EBGPP30111131270 2301121428107RKCO233</t>
        </is>
      </c>
      <c r="D27" s="5" t="n"/>
      <c r="E27" s="5" t="n">
        <v>5</v>
      </c>
      <c r="F27" s="6" t="n">
        <v>25725.08</v>
      </c>
      <c r="G27" s="7">
        <f>IF(AND(D27="",E27=""),F27,G26+IF(D27="",0,D27)-IF(E27="",0,E27))</f>
        <v/>
      </c>
    </row>
    <row r="28">
      <c r="A28" s="3" t="inlineStr">
        <is>
          <t>DBS HKD MCY Savings</t>
        </is>
      </c>
      <c r="B28" s="4" t="n">
        <v>44939</v>
      </c>
      <c r="C28" s="3" t="inlineStr">
        <is>
          <t>CR 1513II5100833 HK113013HN903253 FX:1 LOTTE GLOBA HK113013HN903253 LOTTE GLOBAL LOTTE GLOBAL LOGISTICS (HONGKONG) HKD 29945</t>
        </is>
      </c>
      <c r="D28" s="5" t="n">
        <v>29945</v>
      </c>
      <c r="E28" s="5" t="n"/>
      <c r="F28" s="6" t="n">
        <v>55670.08</v>
      </c>
      <c r="G28" s="7">
        <f>IF(AND(D28="",E28=""),F28,G27+IF(D28="",0,D28)-IF(E28="",0,E28))</f>
        <v/>
      </c>
    </row>
    <row r="29">
      <c r="A29" s="3" t="inlineStr">
        <is>
          <t>DBS HKD MCY Savings</t>
        </is>
      </c>
      <c r="B29" s="4" t="n">
        <v>44939</v>
      </c>
      <c r="C29" s="3" t="inlineStr">
        <is>
          <t>CHGS 1513II5100833 HK113013HN903253 LOTTE GLOBAL L 1513II5100833 LOTTE GLOBAL LOG VIEWIDER LIMITED HKD 29945</t>
        </is>
      </c>
      <c r="D29" s="5" t="n"/>
      <c r="E29" s="5" t="n">
        <v>15</v>
      </c>
      <c r="F29" s="6" t="n">
        <v>55655.08</v>
      </c>
      <c r="G29" s="7">
        <f>IF(AND(D29="",E29=""),F29,G28+IF(D29="",0,D29)-IF(E29="",0,E29))</f>
        <v/>
      </c>
    </row>
    <row r="30">
      <c r="A30" s="3" t="inlineStr">
        <is>
          <t>DBS HKD MCY Savings</t>
        </is>
      </c>
      <c r="B30" s="4" t="n">
        <v>44939</v>
      </c>
      <c r="C30" s="3" t="inlineStr">
        <is>
          <t>FPS EBGPP30113174599 MANI LIMITED 2301131638147RKCO558 CXBSNS</t>
        </is>
      </c>
      <c r="D30" s="5" t="n"/>
      <c r="E30" s="5" t="n">
        <v>18938</v>
      </c>
      <c r="F30" s="6" t="n">
        <v>36717.08</v>
      </c>
      <c r="G30" s="7">
        <f>IF(AND(D30="",E30=""),F30,G29+IF(D30="",0,D30)-IF(E30="",0,E30))</f>
        <v/>
      </c>
    </row>
    <row r="31">
      <c r="A31" s="3" t="inlineStr">
        <is>
          <t>DBS HKD MCY Savings</t>
        </is>
      </c>
      <c r="B31" s="4" t="n">
        <v>44939</v>
      </c>
      <c r="C31" s="3" t="inlineStr">
        <is>
          <t>FPS FEE for EBGPP30113174599 2301131638147RKCO558</t>
        </is>
      </c>
      <c r="D31" s="5" t="n"/>
      <c r="E31" s="5" t="n">
        <v>5</v>
      </c>
      <c r="F31" s="6" t="n">
        <v>36712.08</v>
      </c>
      <c r="G31" s="7">
        <f>IF(AND(D31="",E31=""),F31,G30+IF(D31="",0,D31)-IF(E31="",0,E31))</f>
        <v/>
      </c>
    </row>
    <row r="32">
      <c r="A32" s="3" t="inlineStr">
        <is>
          <t>DBS HKD MCY Savings</t>
        </is>
      </c>
      <c r="B32" s="4" t="n">
        <v>44939</v>
      </c>
      <c r="C32" s="3" t="inlineStr">
        <is>
          <t>FPS EBGPP30113179806 Wang BaoZhu 2301132136397RKCO800 CXBSNS</t>
        </is>
      </c>
      <c r="D32" s="5" t="n"/>
      <c r="E32" s="5" t="n">
        <v>27000</v>
      </c>
      <c r="F32" s="6" t="n">
        <v>9712.08</v>
      </c>
      <c r="G32" s="7">
        <f>IF(AND(D32="",E32=""),F32,G31+IF(D32="",0,D32)-IF(E32="",0,E32))</f>
        <v/>
      </c>
    </row>
    <row r="33">
      <c r="A33" s="3" t="inlineStr">
        <is>
          <t>DBS HKD MCY Savings</t>
        </is>
      </c>
      <c r="B33" s="4" t="n">
        <v>44939</v>
      </c>
      <c r="C33" s="3" t="inlineStr">
        <is>
          <t>FPS FEE for EBGPP30113179806 2301132136397RKCO800</t>
        </is>
      </c>
      <c r="D33" s="5" t="n"/>
      <c r="E33" s="5" t="n">
        <v>5</v>
      </c>
      <c r="F33" s="6" t="n">
        <v>9707.08</v>
      </c>
      <c r="G33" s="7">
        <f>IF(AND(D33="",E33=""),F33,G32+IF(D33="",0,D33)-IF(E33="",0,E33))</f>
        <v/>
      </c>
    </row>
    <row r="34">
      <c r="A34" s="3" t="inlineStr">
        <is>
          <t>DBS HKD MCY Savings</t>
        </is>
      </c>
      <c r="B34" s="4" t="n">
        <v>44942</v>
      </c>
      <c r="C34" s="3" t="inlineStr">
        <is>
          <t>FPS EBGPP30116208625 CJ GLS HONG KONG LTD 2301161611087RKCO150 CXBSNS</t>
        </is>
      </c>
      <c r="D34" s="5" t="n">
        <v>5000</v>
      </c>
      <c r="E34" s="5" t="n"/>
      <c r="F34" s="6" t="n">
        <v>14707.08</v>
      </c>
      <c r="G34" s="7">
        <f>IF(AND(D34="",E34=""),F34,G33+IF(D34="",0,D34)-IF(E34="",0,E34))</f>
        <v/>
      </c>
    </row>
    <row r="35">
      <c r="A35" s="3" t="inlineStr">
        <is>
          <t>DBS HKD MCY Savings</t>
        </is>
      </c>
      <c r="B35" s="4" t="n">
        <v>44942</v>
      </c>
      <c r="C35" s="3" t="inlineStr">
        <is>
          <t>FPS 99AF12AF OZFOREX (HK) LIMITED 2301161725196RKCO854 CXBSNS</t>
        </is>
      </c>
      <c r="D35" s="5" t="n">
        <v>13567.92</v>
      </c>
      <c r="E35" s="5" t="n"/>
      <c r="F35" s="6" t="n">
        <v>28275</v>
      </c>
      <c r="G35" s="7">
        <f>IF(AND(D35="",E35=""),F35,G34+IF(D35="",0,D35)-IF(E35="",0,E35))</f>
        <v/>
      </c>
    </row>
    <row r="36">
      <c r="A36" s="3" t="inlineStr">
        <is>
          <t>DBS HKD MCY Savings</t>
        </is>
      </c>
      <c r="B36" s="4" t="n">
        <v>44942</v>
      </c>
      <c r="C36" s="3" t="inlineStr">
        <is>
          <t>DR 1513RF5976088 EBICT30116232185 EBICT30116232185 VIEWIDER LIMI VIEWIDER LIMITED USD 3445.64 at HKD7.836001</t>
        </is>
      </c>
      <c r="D36" s="5" t="n"/>
      <c r="E36" s="5" t="n">
        <v>27000</v>
      </c>
      <c r="F36" s="6" t="n">
        <v>1275</v>
      </c>
      <c r="G36" s="7">
        <f>IF(AND(D36="",E36=""),F36,G35+IF(D36="",0,D36)-IF(E36="",0,E36))</f>
        <v/>
      </c>
    </row>
    <row r="37">
      <c r="A37" s="3" t="inlineStr">
        <is>
          <t>DBS HKD MCY Savings</t>
        </is>
      </c>
      <c r="B37" s="4" t="n">
        <v>44942</v>
      </c>
      <c r="C37" s="3" t="inlineStr">
        <is>
          <t>CR 1513RF5976272 l1z8ZxGTEX0jXaFl l1z8ZxGTEX0jXaFl AIRWALLEX (HO AIRWALLEX (HONG KONG) LIMITED HKD 3884.77</t>
        </is>
      </c>
      <c r="D37" s="5" t="n">
        <v>3884.77</v>
      </c>
      <c r="E37" s="5" t="n"/>
      <c r="F37" s="6" t="n">
        <v>5159.77</v>
      </c>
      <c r="G37" s="7">
        <f>IF(AND(D37="",E37=""),F37,G36+IF(D37="",0,D37)-IF(E37="",0,E37))</f>
        <v/>
      </c>
    </row>
    <row r="38">
      <c r="A38" s="3" t="inlineStr">
        <is>
          <t>DBS HKD MCY Savings</t>
        </is>
      </c>
      <c r="B38" s="4" t="n">
        <v>44943</v>
      </c>
      <c r="C38" s="3" t="inlineStr">
        <is>
          <t>CR 1513RF5976611 EBICT30116232487 EBICT30116232487 VIEWIDER LIMI VIEWIDER LIMITED HKD 17970.23 at USD7.785924</t>
        </is>
      </c>
      <c r="D38" s="5" t="n">
        <v>17970.23</v>
      </c>
      <c r="E38" s="5" t="n"/>
      <c r="F38" s="6" t="n">
        <v>23130</v>
      </c>
      <c r="G38" s="7">
        <f>IF(AND(D38="",E38=""),F38,G37+IF(D38="",0,D38)-IF(E38="",0,E38))</f>
        <v/>
      </c>
    </row>
    <row r="39">
      <c r="A39" s="3" t="inlineStr">
        <is>
          <t>DBS HKD MCY Savings</t>
        </is>
      </c>
      <c r="B39" s="4" t="n">
        <v>44943</v>
      </c>
      <c r="C39" s="3" t="inlineStr">
        <is>
          <t>CR 1513II5104627 6055017D0U930001 FX:1 EBAY MARKET 6055017D0U930001 EBAY MARKETPL EBAY MARKETPLACES GMBH HKD 128700</t>
        </is>
      </c>
      <c r="D39" s="5" t="n">
        <v>128700</v>
      </c>
      <c r="E39" s="5" t="n"/>
      <c r="F39" s="6" t="n">
        <v>151830</v>
      </c>
      <c r="G39" s="7">
        <f>IF(AND(D39="",E39=""),F39,G38+IF(D39="",0,D39)-IF(E39="",0,E39))</f>
        <v/>
      </c>
    </row>
    <row r="40">
      <c r="A40" s="3" t="inlineStr">
        <is>
          <t>DBS HKD MCY Savings</t>
        </is>
      </c>
      <c r="B40" s="4" t="n">
        <v>44943</v>
      </c>
      <c r="C40" s="3" t="inlineStr">
        <is>
          <t>DR 1513RF5977122 EBICT30117232616 EBICT30117232616 VIEWIDER LIMI VIEWIDER LIMITED HKD 23130</t>
        </is>
      </c>
      <c r="D40" s="5" t="n"/>
      <c r="E40" s="5" t="n">
        <v>23130</v>
      </c>
      <c r="F40" s="6" t="n">
        <v>128700</v>
      </c>
      <c r="G40" s="7">
        <f>IF(AND(D40="",E40=""),F40,G39+IF(D40="",0,D40)-IF(E40="",0,E40))</f>
        <v/>
      </c>
    </row>
    <row r="41">
      <c r="A41" s="3" t="inlineStr">
        <is>
          <t>DBS HKD MCY Savings</t>
        </is>
      </c>
      <c r="B41" s="4" t="n">
        <v>44943</v>
      </c>
      <c r="C41" s="3" t="inlineStr">
        <is>
          <t>FPS EBGPP30117226834 HSM International 2301171403036RKCO515 CXBSNS</t>
        </is>
      </c>
      <c r="D41" s="5" t="n"/>
      <c r="E41" s="5" t="n">
        <v>100000</v>
      </c>
      <c r="F41" s="6" t="n">
        <v>28700</v>
      </c>
      <c r="G41" s="7">
        <f>IF(AND(D41="",E41=""),F41,G40+IF(D41="",0,D41)-IF(E41="",0,E41))</f>
        <v/>
      </c>
    </row>
    <row r="42">
      <c r="A42" s="3" t="inlineStr">
        <is>
          <t>DBS HKD MCY Savings</t>
        </is>
      </c>
      <c r="B42" s="4" t="n">
        <v>44943</v>
      </c>
      <c r="C42" s="3" t="inlineStr">
        <is>
          <t>FPS FEE for EBGPP30117226834 2301171403036RKCO515</t>
        </is>
      </c>
      <c r="D42" s="5" t="n"/>
      <c r="E42" s="5" t="n">
        <v>5</v>
      </c>
      <c r="F42" s="6" t="n">
        <v>28695</v>
      </c>
      <c r="G42" s="7">
        <f>IF(AND(D42="",E42=""),F42,G41+IF(D42="",0,D42)-IF(E42="",0,E42))</f>
        <v/>
      </c>
    </row>
    <row r="43">
      <c r="A43" s="3" t="inlineStr">
        <is>
          <t>DBS HKD MCY Savings</t>
        </is>
      </c>
      <c r="B43" s="4" t="n">
        <v>44943</v>
      </c>
      <c r="C43" s="3" t="inlineStr">
        <is>
          <t>轉賬提取 TRANSFER WITHDRAWAL AUTOPAY CHG DEC22</t>
        </is>
      </c>
      <c r="D43" s="5" t="n"/>
      <c r="E43" s="5" t="n">
        <v>80</v>
      </c>
      <c r="F43" s="6" t="n">
        <v>28615</v>
      </c>
      <c r="G43" s="7">
        <f>IF(AND(D43="",E43=""),F43,G42+IF(D43="",0,D43)-IF(E43="",0,E43))</f>
        <v/>
      </c>
    </row>
    <row r="44">
      <c r="A44" s="3" t="inlineStr">
        <is>
          <t>DBS HKD MCY Savings</t>
        </is>
      </c>
      <c r="B44" s="4" t="n">
        <v>44944</v>
      </c>
      <c r="C44" s="3" t="inlineStr">
        <is>
          <t>FPS 71E36403 OZFOREX (HK) LIMITED 2301181238416RKCO837 CXBSNS</t>
        </is>
      </c>
      <c r="D44" s="5" t="n">
        <v>35241.6</v>
      </c>
      <c r="E44" s="5" t="n"/>
      <c r="F44" s="6" t="n">
        <v>63856.6</v>
      </c>
      <c r="G44" s="7">
        <f>IF(AND(D44="",E44=""),F44,G43+IF(D44="",0,D44)-IF(E44="",0,E44))</f>
        <v/>
      </c>
    </row>
    <row r="45">
      <c r="A45" s="3" t="inlineStr">
        <is>
          <t>DBS HKD MCY Savings</t>
        </is>
      </c>
      <c r="B45" s="4" t="n">
        <v>44944</v>
      </c>
      <c r="C45" s="3" t="inlineStr">
        <is>
          <t>FPS EBGPP30117239088 +852-98293673 HUI 交易詳情 Transaction Details</t>
        </is>
      </c>
      <c r="D45" s="5" t="n"/>
      <c r="E45" s="5" t="n">
        <v>33000</v>
      </c>
      <c r="F45" s="6" t="n">
        <v>30856.6</v>
      </c>
      <c r="G45" s="7">
        <f>IF(AND(D45="",E45=""),F45,G44+IF(D45="",0,D45)-IF(E45="",0,E45))</f>
        <v/>
      </c>
    </row>
    <row r="46">
      <c r="A46" s="3" t="inlineStr">
        <is>
          <t>DBS HKD MCY Savings</t>
        </is>
      </c>
      <c r="B46" s="4" t="n">
        <v>44944</v>
      </c>
      <c r="C46" s="3" t="inlineStr">
        <is>
          <t>FPS FEE for EBGPP30117239088 2301181253346RKCO912</t>
        </is>
      </c>
      <c r="D46" s="5" t="n"/>
      <c r="E46" s="5" t="n">
        <v>5</v>
      </c>
      <c r="F46" s="6" t="n">
        <v>30851.6</v>
      </c>
      <c r="G46" s="7">
        <f>IF(AND(D46="",E46=""),F46,G45+IF(D46="",0,D46)-IF(E46="",0,E46))</f>
        <v/>
      </c>
    </row>
    <row r="47">
      <c r="A47" s="3" t="inlineStr">
        <is>
          <t>DBS HKD MCY Savings</t>
        </is>
      </c>
      <c r="B47" s="4" t="n">
        <v>44944</v>
      </c>
      <c r="C47" s="3" t="inlineStr">
        <is>
          <t>FPS EBGPP30118256770 Goldenwell Game 2301181630515RKCO441 CXBSNS</t>
        </is>
      </c>
      <c r="D47" s="5" t="n"/>
      <c r="E47" s="5" t="n">
        <v>12300</v>
      </c>
      <c r="F47" s="6" t="n">
        <v>18551.6</v>
      </c>
      <c r="G47" s="7">
        <f>IF(AND(D47="",E47=""),F47,G46+IF(D47="",0,D47)-IF(E47="",0,E47))</f>
        <v/>
      </c>
    </row>
    <row r="48">
      <c r="A48" s="3" t="inlineStr">
        <is>
          <t>DBS HKD MCY Savings</t>
        </is>
      </c>
      <c r="B48" s="4" t="n">
        <v>44944</v>
      </c>
      <c r="C48" s="3" t="inlineStr">
        <is>
          <t>FPS FEE for EBGPP30118256770 2301181630515RKCO441</t>
        </is>
      </c>
      <c r="D48" s="5" t="n"/>
      <c r="E48" s="5" t="n">
        <v>5</v>
      </c>
      <c r="F48" s="6" t="n">
        <v>18546.6</v>
      </c>
      <c r="G48" s="7">
        <f>IF(AND(D48="",E48=""),F48,G47+IF(D48="",0,D48)-IF(E48="",0,E48))</f>
        <v/>
      </c>
    </row>
    <row r="49">
      <c r="A49" s="3" t="inlineStr">
        <is>
          <t>DBS HKD MCY Savings</t>
        </is>
      </c>
      <c r="B49" s="4" t="n">
        <v>44945</v>
      </c>
      <c r="C49" s="3" t="inlineStr">
        <is>
          <t>DR 1513RF5993231 EBICT30119238134 EBICT30119238134 VIEWIDER LIMI VIEWIDER LIMITED HKD 215.88</t>
        </is>
      </c>
      <c r="D49" s="5" t="n"/>
      <c r="E49" s="5" t="n">
        <v>215.88</v>
      </c>
      <c r="F49" s="6" t="n">
        <v>18330.72</v>
      </c>
      <c r="G49" s="7">
        <f>IF(AND(D49="",E49=""),F49,G48+IF(D49="",0,D49)-IF(E49="",0,E49))</f>
        <v/>
      </c>
    </row>
    <row r="50">
      <c r="A50" s="3" t="inlineStr">
        <is>
          <t>DBS HKD MCY Savings</t>
        </is>
      </c>
      <c r="B50" s="4" t="n">
        <v>44945</v>
      </c>
      <c r="C50" s="3" t="inlineStr">
        <is>
          <t>FPS 6B09B3D0-merge2 OZFOREX (HK) LIMITED 2301191320337RKCO413 CXBSNS</t>
        </is>
      </c>
      <c r="D50" s="5" t="n">
        <v>80082.45</v>
      </c>
      <c r="E50" s="5" t="n"/>
      <c r="F50" s="6" t="n">
        <v>98413.17</v>
      </c>
      <c r="G50" s="7">
        <f>IF(AND(D50="",E50=""),F50,G49+IF(D50="",0,D50)-IF(E50="",0,E50))</f>
        <v/>
      </c>
    </row>
    <row r="51">
      <c r="A51" s="3" t="inlineStr">
        <is>
          <t>DBS HKD MCY Savings</t>
        </is>
      </c>
      <c r="B51" s="4" t="n">
        <v>44945</v>
      </c>
      <c r="C51" s="3" t="inlineStr">
        <is>
          <t>DR 1513RF5994231 EBICT30119238625 EBICT30119238625 VIEWIDER LIMI VIEWIDER LIMITED HKD 29578.8</t>
        </is>
      </c>
      <c r="D51" s="5" t="n"/>
      <c r="E51" s="5" t="n">
        <v>29578.8</v>
      </c>
      <c r="F51" s="6" t="n">
        <v>68834.37</v>
      </c>
      <c r="G51" s="7">
        <f>IF(AND(D51="",E51=""),F51,G50+IF(D51="",0,D51)-IF(E51="",0,E51))</f>
        <v/>
      </c>
    </row>
    <row r="52">
      <c r="A52" s="3" t="inlineStr">
        <is>
          <t>DBS HKD MCY Savings</t>
        </is>
      </c>
      <c r="B52" s="4" t="n">
        <v>44945</v>
      </c>
      <c r="C52" s="3" t="inlineStr">
        <is>
          <t>FPS EBGPP30119274008 LEE, Chung Yuen Kelly 2301191403446RKCO514 CXBSNS</t>
        </is>
      </c>
      <c r="D52" s="5" t="n"/>
      <c r="E52" s="5" t="n">
        <v>61173.58</v>
      </c>
      <c r="F52" s="6" t="n">
        <v>7660.79</v>
      </c>
      <c r="G52" s="7">
        <f>IF(AND(D52="",E52=""),F52,G51+IF(D52="",0,D52)-IF(E52="",0,E52))</f>
        <v/>
      </c>
    </row>
    <row r="53">
      <c r="A53" s="3" t="inlineStr">
        <is>
          <t>DBS HKD MCY Savings</t>
        </is>
      </c>
      <c r="B53" s="4" t="n">
        <v>44945</v>
      </c>
      <c r="C53" s="3" t="inlineStr">
        <is>
          <t>FPS FEE for EBGPP30119274008 2301191403446RKCO514</t>
        </is>
      </c>
      <c r="D53" s="5" t="n"/>
      <c r="E53" s="5" t="n">
        <v>5</v>
      </c>
      <c r="F53" s="6" t="n">
        <v>7655.79</v>
      </c>
      <c r="G53" s="7">
        <f>IF(AND(D53="",E53=""),F53,G52+IF(D53="",0,D53)-IF(E53="",0,E53))</f>
        <v/>
      </c>
    </row>
    <row r="54">
      <c r="A54" s="3" t="inlineStr">
        <is>
          <t>DBS HKD MCY Savings</t>
        </is>
      </c>
      <c r="B54" s="4" t="n">
        <v>44945</v>
      </c>
      <c r="C54" s="3" t="inlineStr">
        <is>
          <t>CHGS 1513II5112351 230119ASUT412682 1/JKBERRY GROU 1513II5112351 1/JKBERRY GROUP VIEWIDER LIMITED HKD 46000</t>
        </is>
      </c>
      <c r="D54" s="5" t="n"/>
      <c r="E54" s="5" t="n">
        <v>15</v>
      </c>
      <c r="F54" s="6" t="n">
        <v>7640.79</v>
      </c>
      <c r="G54" s="7">
        <f>IF(AND(D54="",E54=""),F54,G53+IF(D54="",0,D54)-IF(E54="",0,E54))</f>
        <v/>
      </c>
    </row>
    <row r="55">
      <c r="A55" s="3" t="inlineStr">
        <is>
          <t>DBS HKD MCY Savings</t>
        </is>
      </c>
      <c r="B55" s="4" t="n">
        <v>44945</v>
      </c>
      <c r="C55" s="3" t="inlineStr">
        <is>
          <t>CR 1513II5112351 230119ASUT412682 FX:1 1/JKBERRY G 230119ASUT412682 1/JKBERRY GRO 1/JKBERRY GROUP CO.,LTD. HKD 46000</t>
        </is>
      </c>
      <c r="D55" s="5" t="n">
        <v>46000</v>
      </c>
      <c r="E55" s="5" t="n"/>
      <c r="F55" s="6" t="n">
        <v>53640.79</v>
      </c>
      <c r="G55" s="7">
        <f>IF(AND(D55="",E55=""),F55,G54+IF(D55="",0,D55)-IF(E55="",0,E55))</f>
        <v/>
      </c>
    </row>
    <row r="56">
      <c r="A56" s="3" t="inlineStr">
        <is>
          <t>DBS HKD MCY Savings</t>
        </is>
      </c>
      <c r="B56" s="4" t="n">
        <v>44945</v>
      </c>
      <c r="C56" s="3" t="inlineStr">
        <is>
          <t>CR 1513RF5996170 4MmYyOP013TD0jwA 4MmYyOP013TD0jwA AIRWALLEX (HO AIRWALLEX (HONG KONG) LIMITED HKD 1557.86</t>
        </is>
      </c>
      <c r="D56" s="5" t="n">
        <v>1557.86</v>
      </c>
      <c r="E56" s="5" t="n"/>
      <c r="F56" s="6" t="n">
        <v>55198.65</v>
      </c>
      <c r="G56" s="7">
        <f>IF(AND(D56="",E56=""),F56,G55+IF(D56="",0,D56)-IF(E56="",0,E56))</f>
        <v/>
      </c>
    </row>
    <row r="57">
      <c r="A57" s="3" t="inlineStr">
        <is>
          <t>DBS HKD MCY Savings</t>
        </is>
      </c>
      <c r="B57" s="4" t="n">
        <v>44946</v>
      </c>
      <c r="C57" s="3" t="inlineStr">
        <is>
          <t>DR 1513RF5998712 EBICT30120240143 EBICT30120240143 VIEWIDER LIMI VIEWIDER LIMITED HKD 0.01</t>
        </is>
      </c>
      <c r="D57" s="5" t="n"/>
      <c r="E57" s="5" t="n">
        <v>0.01</v>
      </c>
      <c r="F57" s="6" t="n">
        <v>55198.64</v>
      </c>
      <c r="G57" s="7">
        <f>IF(AND(D57="",E57=""),F57,G56+IF(D57="",0,D57)-IF(E57="",0,E57))</f>
        <v/>
      </c>
    </row>
    <row r="58">
      <c r="A58" s="3" t="inlineStr">
        <is>
          <t>DBS HKD MCY Savings</t>
        </is>
      </c>
      <c r="B58" s="4" t="n">
        <v>44946</v>
      </c>
      <c r="C58" s="3" t="inlineStr">
        <is>
          <t>繳費靈支賬 PPS WITHDRAWAL HONG KONG BROADBAND NETWORK L 389497</t>
        </is>
      </c>
      <c r="D58" s="5" t="n"/>
      <c r="E58" s="5" t="n">
        <v>443</v>
      </c>
      <c r="F58" s="6" t="n">
        <v>54755.64</v>
      </c>
      <c r="G58" s="7">
        <f>IF(AND(D58="",E58=""),F58,G57+IF(D58="",0,D58)-IF(E58="",0,E58))</f>
        <v/>
      </c>
    </row>
    <row r="59">
      <c r="A59" s="3" t="inlineStr">
        <is>
          <t>DBS HKD MCY Savings</t>
        </is>
      </c>
      <c r="B59" s="4" t="n">
        <v>44946</v>
      </c>
      <c r="C59" s="3" t="inlineStr">
        <is>
          <t>繳費靈支賬 PPS WITHDRAWAL AMERICAN EXPRESS CARDS 021199</t>
        </is>
      </c>
      <c r="D59" s="5" t="n"/>
      <c r="E59" s="5" t="n">
        <v>20000</v>
      </c>
      <c r="F59" s="6" t="n">
        <v>34755.64</v>
      </c>
      <c r="G59" s="7">
        <f>IF(AND(D59="",E59=""),F59,G58+IF(D59="",0,D59)-IF(E59="",0,E59))</f>
        <v/>
      </c>
    </row>
    <row r="60">
      <c r="A60" s="3" t="inlineStr">
        <is>
          <t>DBS HKD MCY Savings</t>
        </is>
      </c>
      <c r="B60" s="4" t="n">
        <v>44946</v>
      </c>
      <c r="C60" s="3" t="inlineStr">
        <is>
          <t>FPS EBGPP30120291706 +852-60415344 CHAN C** Y** 2301201116558RKCO252 CXBSNS</t>
        </is>
      </c>
      <c r="D60" s="5" t="n"/>
      <c r="E60" s="5" t="n">
        <v>12650</v>
      </c>
      <c r="F60" s="6" t="n">
        <v>22105.64</v>
      </c>
      <c r="G60" s="7">
        <f>IF(AND(D60="",E60=""),F60,G59+IF(D60="",0,D60)-IF(E60="",0,E60))</f>
        <v/>
      </c>
    </row>
    <row r="61">
      <c r="A61" s="3" t="inlineStr">
        <is>
          <t>DBS HKD MCY Savings</t>
        </is>
      </c>
      <c r="B61" s="4" t="n">
        <v>44946</v>
      </c>
      <c r="C61" s="3" t="inlineStr">
        <is>
          <t>FPS FEE for EBGPP30120291706 2301201116558RKCO252</t>
        </is>
      </c>
      <c r="D61" s="5" t="n"/>
      <c r="E61" s="5" t="n">
        <v>5</v>
      </c>
      <c r="F61" s="6" t="n">
        <v>22100.64</v>
      </c>
      <c r="G61" s="7">
        <f>IF(AND(D61="",E61=""),F61,G60+IF(D61="",0,D61)-IF(E61="",0,E61))</f>
        <v/>
      </c>
    </row>
    <row r="62">
      <c r="A62" s="3" t="inlineStr">
        <is>
          <t>DBS HKD MCY Savings</t>
        </is>
      </c>
      <c r="B62" s="4" t="n">
        <v>44946</v>
      </c>
      <c r="C62" s="3" t="inlineStr">
        <is>
          <t>FPS EBGPP30120293752 Charter Gilman Insurance Brokers Lt 2301201219488RKCO641 CXBSNS</t>
        </is>
      </c>
      <c r="D62" s="5" t="n"/>
      <c r="E62" s="5" t="n">
        <v>9893.879999999999</v>
      </c>
      <c r="F62" s="6" t="n">
        <v>12206.76</v>
      </c>
      <c r="G62" s="7">
        <f>IF(AND(D62="",E62=""),F62,G61+IF(D62="",0,D62)-IF(E62="",0,E62))</f>
        <v/>
      </c>
    </row>
    <row r="63">
      <c r="A63" s="3" t="inlineStr">
        <is>
          <t>DBS HKD MCY Savings</t>
        </is>
      </c>
      <c r="B63" s="4" t="n">
        <v>44946</v>
      </c>
      <c r="C63" s="3" t="inlineStr">
        <is>
          <t>FPS FEE for EBGPP30120293752 2301201219488RKCO641</t>
        </is>
      </c>
      <c r="D63" s="5" t="n"/>
      <c r="E63" s="5" t="n">
        <v>5</v>
      </c>
      <c r="F63" s="6" t="n">
        <v>12201.76</v>
      </c>
      <c r="G63" s="7">
        <f>IF(AND(D63="",E63=""),F63,G62+IF(D63="",0,D63)-IF(E63="",0,E63))</f>
        <v/>
      </c>
    </row>
    <row r="64">
      <c r="A64" s="3" t="inlineStr">
        <is>
          <t>DBS HKD MCY Savings</t>
        </is>
      </c>
      <c r="B64" s="4" t="n">
        <v>44946</v>
      </c>
      <c r="C64" s="3" t="inlineStr">
        <is>
          <t>FPS 3EEA6E3B-merge3 OZFOREX (HK) LIMITED 2301201238567RKCO029 CXBSNS</t>
        </is>
      </c>
      <c r="D64" s="5" t="n">
        <v>67555.14</v>
      </c>
      <c r="E64" s="5" t="n"/>
      <c r="F64" s="6" t="n">
        <v>79756.89999999999</v>
      </c>
      <c r="G64" s="7">
        <f>IF(AND(D64="",E64=""),F64,G63+IF(D64="",0,D64)-IF(E64="",0,E64))</f>
        <v/>
      </c>
    </row>
    <row r="65">
      <c r="A65" s="3" t="inlineStr">
        <is>
          <t>DBS HKD MCY Savings</t>
        </is>
      </c>
      <c r="B65" s="4" t="n">
        <v>44946</v>
      </c>
      <c r="C65" s="3" t="inlineStr">
        <is>
          <t>繳費靈支賬 PPS WITHDRAWAL HONG KONG BROADBAND NETWORK L 358090</t>
        </is>
      </c>
      <c r="D65" s="5" t="n"/>
      <c r="E65" s="5" t="n">
        <v>105</v>
      </c>
      <c r="F65" s="6" t="n">
        <v>79651.89999999999</v>
      </c>
      <c r="G65" s="7">
        <f>IF(AND(D65="",E65=""),F65,G64+IF(D65="",0,D65)-IF(E65="",0,E65))</f>
        <v/>
      </c>
    </row>
    <row r="66">
      <c r="A66" s="3" t="inlineStr">
        <is>
          <t>DBS HKD MCY Savings</t>
        </is>
      </c>
      <c r="B66" s="4" t="n">
        <v>44946</v>
      </c>
      <c r="C66" s="3" t="inlineStr">
        <is>
          <t>繳費靈支賬 PPS WITHDRAWAL CLP POWER 235344</t>
        </is>
      </c>
      <c r="D66" s="5" t="n"/>
      <c r="E66" s="5" t="n">
        <v>1864</v>
      </c>
      <c r="F66" s="6" t="n">
        <v>77787.89999999999</v>
      </c>
      <c r="G66" s="7">
        <f>IF(AND(D66="",E66=""),F66,G65+IF(D66="",0,D66)-IF(E66="",0,E66))</f>
        <v/>
      </c>
    </row>
    <row r="67">
      <c r="A67" s="3" t="inlineStr">
        <is>
          <t>DBS HKD MCY Savings</t>
        </is>
      </c>
      <c r="B67" s="4" t="n">
        <v>44946</v>
      </c>
      <c r="C67" s="3" t="inlineStr">
        <is>
          <t>DR 1513RF6000311 EBICT30120240943 EBICT30120240943 VIEWIDER LIMI VIEWIDER LIMITED 交易詳情 Transaction Details</t>
        </is>
      </c>
      <c r="D67" s="5" t="n"/>
      <c r="E67" s="5" t="n">
        <v>15420</v>
      </c>
      <c r="F67" s="6" t="n">
        <v>62367.9</v>
      </c>
      <c r="G67" s="7">
        <f>IF(AND(D67="",E67=""),F67,G66+IF(D67="",0,D67)-IF(E67="",0,E67))</f>
        <v/>
      </c>
    </row>
    <row r="68">
      <c r="A68" s="3" t="inlineStr">
        <is>
          <t>DBS HKD MCY Savings</t>
        </is>
      </c>
      <c r="B68" s="4" t="n">
        <v>44946</v>
      </c>
      <c r="C68" s="3" t="inlineStr">
        <is>
          <t>FPS NOTPROVIDED HUI LEUNG FAT 2301201842005RKCI773 CXPSNL</t>
        </is>
      </c>
      <c r="D68" s="5" t="n">
        <v>35000</v>
      </c>
      <c r="E68" s="5" t="n"/>
      <c r="F68" s="6" t="n">
        <v>97367.89999999999</v>
      </c>
      <c r="G68" s="7">
        <f>IF(AND(D68="",E68=""),F68,G67+IF(D68="",0,D68)-IF(E68="",0,E68))</f>
        <v/>
      </c>
    </row>
    <row r="69">
      <c r="A69" s="3" t="inlineStr">
        <is>
          <t>DBS HKD MCY Savings</t>
        </is>
      </c>
      <c r="B69" s="4" t="n">
        <v>44947</v>
      </c>
      <c r="C69" s="3" t="inlineStr">
        <is>
          <t>FPS EBGPP30121317738 So Hing Nog 2301212215076RKCO738 CXBSNS</t>
        </is>
      </c>
      <c r="D69" s="5" t="n"/>
      <c r="E69" s="5" t="n">
        <v>10000</v>
      </c>
      <c r="F69" s="6" t="n">
        <v>87367.89999999999</v>
      </c>
      <c r="G69" s="7">
        <f>IF(AND(D69="",E69=""),F69,G68+IF(D69="",0,D69)-IF(E69="",0,E69))</f>
        <v/>
      </c>
    </row>
    <row r="70">
      <c r="A70" s="3" t="inlineStr">
        <is>
          <t>DBS HKD MCY Savings</t>
        </is>
      </c>
      <c r="B70" s="4" t="n">
        <v>44947</v>
      </c>
      <c r="C70" s="3" t="inlineStr">
        <is>
          <t>FPS FEE for EBGPP30121317738 2301212215076RKCO738</t>
        </is>
      </c>
      <c r="D70" s="5" t="n"/>
      <c r="E70" s="5" t="n">
        <v>5</v>
      </c>
      <c r="F70" s="6" t="n">
        <v>87362.89999999999</v>
      </c>
      <c r="G70" s="7">
        <f>IF(AND(D70="",E70=""),F70,G69+IF(D70="",0,D70)-IF(E70="",0,E70))</f>
        <v/>
      </c>
    </row>
    <row r="71">
      <c r="A71" s="3" t="inlineStr">
        <is>
          <t>DBS HKD MCY Savings</t>
        </is>
      </c>
      <c r="B71" s="4" t="n">
        <v>44952</v>
      </c>
      <c r="C71" s="3" t="inlineStr">
        <is>
          <t>FPS NOTPROVIDED MR HO KIN MING 2301261222225RKCI702 CXPSNL</t>
        </is>
      </c>
      <c r="D71" s="5" t="n">
        <v>1500</v>
      </c>
      <c r="E71" s="5" t="n"/>
      <c r="F71" s="6" t="n">
        <v>88862.89999999999</v>
      </c>
      <c r="G71" s="7">
        <f>IF(AND(D71="",E71=""),F71,G70+IF(D71="",0,D71)-IF(E71="",0,E71))</f>
        <v/>
      </c>
    </row>
    <row r="72">
      <c r="A72" s="3" t="inlineStr">
        <is>
          <t>DBS HKD MCY Savings</t>
        </is>
      </c>
      <c r="B72" s="4" t="n">
        <v>44952</v>
      </c>
      <c r="C72" s="3" t="inlineStr">
        <is>
          <t>CR 1513RF6005438 SgSbIYa5hinfafVc SgSbIYa5hinfafVc AIRWALLEX (HO AIRWALLEX (HONG KONG) LIMITED HKD 5455</t>
        </is>
      </c>
      <c r="D72" s="5" t="n">
        <v>5455</v>
      </c>
      <c r="E72" s="5" t="n"/>
      <c r="F72" s="6" t="n">
        <v>94317.89999999999</v>
      </c>
      <c r="G72" s="7">
        <f>IF(AND(D72="",E72=""),F72,G71+IF(D72="",0,D72)-IF(E72="",0,E72))</f>
        <v/>
      </c>
    </row>
    <row r="73">
      <c r="A73" s="3" t="inlineStr">
        <is>
          <t>DBS HKD MCY Savings</t>
        </is>
      </c>
      <c r="B73" s="4" t="n">
        <v>44952</v>
      </c>
      <c r="C73" s="3" t="inlineStr">
        <is>
          <t>轉數快收費回贈 FPS COMMISSION REBATE FOR DEC22 HK$80</t>
        </is>
      </c>
      <c r="D73" s="5" t="n">
        <v>80</v>
      </c>
      <c r="E73" s="5" t="n"/>
      <c r="F73" s="6" t="n">
        <v>94397.89999999999</v>
      </c>
      <c r="G73" s="7">
        <f>IF(AND(D73="",E73=""),F73,G72+IF(D73="",0,D73)-IF(E73="",0,E73))</f>
        <v/>
      </c>
    </row>
    <row r="74">
      <c r="A74" s="3" t="inlineStr">
        <is>
          <t>DBS HKD MCY Savings</t>
        </is>
      </c>
      <c r="B74" s="4" t="n">
        <v>44953</v>
      </c>
      <c r="C74" s="3" t="inlineStr">
        <is>
          <t>DR 1513RF6008527 EBICT30127246468 EBICT30127246468 VIEWIDER LIMI VIEWIDER LIMITED HKD 30840</t>
        </is>
      </c>
      <c r="D74" s="5" t="n"/>
      <c r="E74" s="5" t="n">
        <v>30840</v>
      </c>
      <c r="F74" s="6" t="n">
        <v>63557.9</v>
      </c>
      <c r="G74" s="7">
        <f>IF(AND(D74="",E74=""),F74,G73+IF(D74="",0,D74)-IF(E74="",0,E74))</f>
        <v/>
      </c>
    </row>
    <row r="75">
      <c r="A75" s="3" t="inlineStr">
        <is>
          <t>DBS HKD MCY Savings</t>
        </is>
      </c>
      <c r="B75" s="4" t="n">
        <v>44953</v>
      </c>
      <c r="C75" s="3" t="inlineStr">
        <is>
          <t>FPS 51EC70E0 OZFOREX (HK) LIMITED 2301271740578RKCO182 CXBSNS</t>
        </is>
      </c>
      <c r="D75" s="5" t="n">
        <v>31085.2</v>
      </c>
      <c r="E75" s="5" t="n"/>
      <c r="F75" s="6" t="n">
        <v>94643.10000000001</v>
      </c>
      <c r="G75" s="7">
        <f>IF(AND(D75="",E75=""),F75,G74+IF(D75="",0,D75)-IF(E75="",0,E75))</f>
        <v/>
      </c>
    </row>
    <row r="76">
      <c r="A76" s="3" t="inlineStr">
        <is>
          <t>DBS HKD MCY Savings</t>
        </is>
      </c>
      <c r="B76" s="4" t="n">
        <v>44956</v>
      </c>
      <c r="C76" s="3" t="inlineStr">
        <is>
          <t>FPS 0000000-0000-0000-2301-292217047000 LAU WAI KONG JEFFREY 2301292217516RKCI721 CXPSNL</t>
        </is>
      </c>
      <c r="D76" s="5" t="n">
        <v>10000</v>
      </c>
      <c r="E76" s="5" t="n"/>
      <c r="F76" s="6" t="n">
        <v>104643.1</v>
      </c>
      <c r="G76" s="7">
        <f>IF(AND(D76="",E76=""),F76,G75+IF(D76="",0,D76)-IF(E76="",0,E76))</f>
        <v/>
      </c>
    </row>
    <row r="77">
      <c r="A77" s="3" t="inlineStr">
        <is>
          <t>DBS HKD MCY Savings</t>
        </is>
      </c>
      <c r="B77" s="4" t="n">
        <v>44956</v>
      </c>
      <c r="C77" s="3" t="inlineStr">
        <is>
          <t>FPS D162B9DD OZFOREX (HK) LIMITED 2301301723548RKCO679 CXBSNS</t>
        </is>
      </c>
      <c r="D77" s="5" t="n">
        <v>66071.35000000001</v>
      </c>
      <c r="E77" s="5" t="n"/>
      <c r="F77" s="6" t="n">
        <v>170714.45</v>
      </c>
      <c r="G77" s="7">
        <f>IF(AND(D77="",E77=""),F77,G76+IF(D77="",0,D77)-IF(E77="",0,E77))</f>
        <v/>
      </c>
    </row>
    <row r="78">
      <c r="A78" s="3" t="inlineStr">
        <is>
          <t>DBS HKD MCY Savings</t>
        </is>
      </c>
      <c r="B78" s="4" t="n">
        <v>44956</v>
      </c>
      <c r="C78" s="3" t="inlineStr">
        <is>
          <t>DR 1513RF6016136 EBACT30130518542 EBACT30130518542 VL INTERNATIO VL INTERNATIONAL HKD 30000</t>
        </is>
      </c>
      <c r="D78" s="5" t="n"/>
      <c r="E78" s="5" t="n">
        <v>30000</v>
      </c>
      <c r="F78" s="6" t="n">
        <v>140714.45</v>
      </c>
      <c r="G78" s="7">
        <f>IF(AND(D78="",E78=""),F78,G77+IF(D78="",0,D78)-IF(E78="",0,E78))</f>
        <v/>
      </c>
    </row>
    <row r="79">
      <c r="A79" s="3" t="inlineStr">
        <is>
          <t>DBS HKD MCY Savings</t>
        </is>
      </c>
      <c r="B79" s="4" t="n">
        <v>44957</v>
      </c>
      <c r="C79" s="3" t="inlineStr">
        <is>
          <t>CR 1513RF6017064 voRZWqwI9fvfKXLo voRZWqwI9fvfKXLo AIRWALLEX (HO AIRWALLEX (HONG KONG) LIMITED HKD 7795.6</t>
        </is>
      </c>
      <c r="D79" s="5" t="n">
        <v>7795.6</v>
      </c>
      <c r="E79" s="5" t="n"/>
      <c r="F79" s="6" t="n">
        <v>148510.05</v>
      </c>
      <c r="G79" s="7">
        <f>IF(AND(D79="",E79=""),F79,G78+IF(D79="",0,D79)-IF(E79="",0,E79))</f>
        <v/>
      </c>
    </row>
    <row r="80">
      <c r="A80" s="3" t="inlineStr">
        <is>
          <t>DBS HKD MCY Savings</t>
        </is>
      </c>
      <c r="B80" s="4" t="n">
        <v>44957</v>
      </c>
      <c r="C80" s="3" t="inlineStr">
        <is>
          <t>FPS BB296591 OZFOREX (HK) LIMITED 2301311801278RKCO229 CXBSNS</t>
        </is>
      </c>
      <c r="D80" s="5" t="n">
        <v>26865.44</v>
      </c>
      <c r="E80" s="5" t="n"/>
      <c r="F80" s="6" t="n">
        <v>175375.49</v>
      </c>
      <c r="G80" s="7">
        <f>IF(AND(D80="",E80=""),F80,G79+IF(D80="",0,D80)-IF(E80="",0,E80))</f>
        <v/>
      </c>
    </row>
    <row r="81">
      <c r="A81" s="3" t="inlineStr">
        <is>
          <t>DBS HKD MCY Savings</t>
        </is>
      </c>
      <c r="B81" s="4" t="n">
        <v>44957</v>
      </c>
      <c r="C81" s="3" t="inlineStr">
        <is>
          <t>利息 INTEREST INTEREST POSTING</t>
        </is>
      </c>
      <c r="D81" s="5" t="n">
        <v>27.32</v>
      </c>
      <c r="E81" s="5" t="n"/>
      <c r="F81" s="6" t="n">
        <v>175402.81</v>
      </c>
      <c r="G81" s="7">
        <f>IF(AND(D81="",E81=""),F81,G80+IF(D81="",0,D81)-IF(E81="",0,E81))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SGD MCY Savings</t>
        </is>
      </c>
      <c r="B2" s="4" t="n">
        <v>44926</v>
      </c>
      <c r="C2" s="3" t="inlineStr">
        <is>
          <t>承上結餘 Balance Brought Forward No Transactions In This Month</t>
        </is>
      </c>
      <c r="D2" s="5" t="n"/>
      <c r="E2" s="5" t="n"/>
      <c r="F2" s="6" t="n">
        <v>0</v>
      </c>
      <c r="G2" s="7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7079.35</v>
      </c>
      <c r="G2" s="7">
        <f>IF(AND(D2="",E2=""),F2,IF(D2="",0,D2)-IF(E2="",0,E2))</f>
        <v/>
      </c>
    </row>
    <row r="3">
      <c r="A3" s="3" t="inlineStr">
        <is>
          <t>DBS USD MCY Savings</t>
        </is>
      </c>
      <c r="B3" s="4" t="n">
        <v>44930</v>
      </c>
      <c r="C3" s="3" t="inlineStr">
        <is>
          <t>CHGS 1513IT5922320 S06300409F4301 VIEWIDER MALAYSI 1513IT5922320 VIEWIDER MALAYSI VIEWIDER LIMITED USD 17981.66</t>
        </is>
      </c>
      <c r="D3" s="5" t="n"/>
      <c r="E3" s="5" t="n">
        <v>13.29</v>
      </c>
      <c r="F3" s="6" t="n">
        <v>7066.06</v>
      </c>
      <c r="G3" s="7">
        <f>IF(AND(D3="",E3=""),F3,G2+IF(D3="",0,D3)-IF(E3="",0,E3))</f>
        <v/>
      </c>
    </row>
    <row r="4">
      <c r="A4" s="3" t="inlineStr">
        <is>
          <t>DBS USD MCY Savings</t>
        </is>
      </c>
      <c r="B4" s="4" t="n">
        <v>44930</v>
      </c>
      <c r="C4" s="3" t="inlineStr">
        <is>
          <t>CR 1513IT5922320 S06300409F4301 FX:1 VIEWIDER MALA S06300409F4301 VIEWIDER MALAYS VIEWIDER MALAYSIA SDN.BHD. USD 17981.66</t>
        </is>
      </c>
      <c r="D4" s="5" t="n">
        <v>17981.66</v>
      </c>
      <c r="E4" s="5" t="n"/>
      <c r="F4" s="6" t="n">
        <v>25047.72</v>
      </c>
      <c r="G4" s="7">
        <f>IF(AND(D4="",E4=""),F4,G3+IF(D4="",0,D4)-IF(E4="",0,E4))</f>
        <v/>
      </c>
    </row>
    <row r="5">
      <c r="A5" s="3" t="inlineStr">
        <is>
          <t>DBS USD MCY Savings</t>
        </is>
      </c>
      <c r="B5" s="4" t="n">
        <v>44930</v>
      </c>
      <c r="C5" s="3" t="inlineStr">
        <is>
          <t>DR 1513RF5924416 EBACT30104120704 EBACT30104120704 ETAKIN E-COMM ETAKIN E-COMMERCE CO. LIMITED USD 19529.98</t>
        </is>
      </c>
      <c r="D5" s="5" t="n"/>
      <c r="E5" s="5" t="n">
        <v>19529.98</v>
      </c>
      <c r="F5" s="6" t="n">
        <v>5517.74</v>
      </c>
      <c r="G5" s="7">
        <f>IF(AND(D5="",E5=""),F5,G4+IF(D5="",0,D5)-IF(E5="",0,E5))</f>
        <v/>
      </c>
    </row>
    <row r="6">
      <c r="A6" s="3" t="inlineStr">
        <is>
          <t>DBS USD MCY Savings</t>
        </is>
      </c>
      <c r="B6" s="4" t="n">
        <v>44937</v>
      </c>
      <c r="C6" s="3" t="inlineStr">
        <is>
          <t>CR 1513RF5957857 4366183667896079 4366183667896079 PAYONEER HONG PAYONEER HONG KONG LIMITED USD 1607.93</t>
        </is>
      </c>
      <c r="D6" s="5" t="n">
        <v>1607.93</v>
      </c>
      <c r="E6" s="5" t="n"/>
      <c r="F6" s="6" t="n">
        <v>7125.67</v>
      </c>
      <c r="G6" s="7">
        <f>IF(AND(D6="",E6=""),F6,G5+IF(D6="",0,D6)-IF(E6="",0,E6))</f>
        <v/>
      </c>
    </row>
    <row r="7">
      <c r="A7" s="3" t="inlineStr">
        <is>
          <t>DBS USD MCY Savings</t>
        </is>
      </c>
      <c r="B7" s="4" t="n">
        <v>44937</v>
      </c>
      <c r="C7" s="3" t="inlineStr">
        <is>
          <t>CR 1513IT5941154 FTJ2301100038266 FX:1 VIEWIDER LI FTJ2301100038266 VIEWIDER LIMI VIEWIDER LIMITED USD 12003.54</t>
        </is>
      </c>
      <c r="D7" s="5" t="n">
        <v>12003.54</v>
      </c>
      <c r="E7" s="5" t="n"/>
      <c r="F7" s="6" t="n">
        <v>19129.21</v>
      </c>
      <c r="G7" s="7">
        <f>IF(AND(D7="",E7=""),F7,G6+IF(D7="",0,D7)-IF(E7="",0,E7))</f>
        <v/>
      </c>
    </row>
    <row r="8">
      <c r="A8" s="3" t="inlineStr">
        <is>
          <t>DBS USD MCY Savings</t>
        </is>
      </c>
      <c r="B8" s="4" t="n">
        <v>44937</v>
      </c>
      <c r="C8" s="3" t="inlineStr">
        <is>
          <t>CHGS 1513IT5941154 FTJ2301100038266 VIEWIDER LIMIT 1513IT5941154 VIEWIDER LIMITED VIEWIDER LIMITED USD 12003.54</t>
        </is>
      </c>
      <c r="D8" s="5" t="n"/>
      <c r="E8" s="5" t="n">
        <v>13.3</v>
      </c>
      <c r="F8" s="6" t="n">
        <v>19115.91</v>
      </c>
      <c r="G8" s="7">
        <f>IF(AND(D8="",E8=""),F8,G7+IF(D8="",0,D8)-IF(E8="",0,E8))</f>
        <v/>
      </c>
    </row>
    <row r="9">
      <c r="A9" s="3" t="inlineStr">
        <is>
          <t>DBS USD MCY Savings</t>
        </is>
      </c>
      <c r="B9" s="4" t="n">
        <v>44937</v>
      </c>
      <c r="C9" s="3" t="inlineStr">
        <is>
          <t>DR 1513RF5958242 EBACT30110237037 EBACT30110237037 ETAKIN E-COMM ETAKIN E-COMMERCE CO. LIMITED USD 17994.66</t>
        </is>
      </c>
      <c r="D9" s="5" t="n"/>
      <c r="E9" s="5" t="n">
        <v>17994.66</v>
      </c>
      <c r="F9" s="6" t="n">
        <v>1121.25</v>
      </c>
      <c r="G9" s="7">
        <f>IF(AND(D9="",E9=""),F9,G8+IF(D9="",0,D9)-IF(E9="",0,E9))</f>
        <v/>
      </c>
    </row>
    <row r="10">
      <c r="A10" s="3" t="inlineStr">
        <is>
          <t>DBS USD MCY Savings</t>
        </is>
      </c>
      <c r="B10" s="4" t="n">
        <v>44939</v>
      </c>
      <c r="C10" s="3" t="inlineStr">
        <is>
          <t>CR 1513RF5967641 4366183670666221 4366183670666221 PAYONEER HONG PAYONEER HONG KONG LIMITED USD 3001.93</t>
        </is>
      </c>
      <c r="D10" s="5" t="n">
        <v>3001.93</v>
      </c>
      <c r="E10" s="5" t="n"/>
      <c r="F10" s="6" t="n">
        <v>4123.18</v>
      </c>
      <c r="G10" s="7">
        <f>IF(AND(D10="",E10=""),F10,G9+IF(D10="",0,D10)-IF(E10="",0,E10))</f>
        <v/>
      </c>
    </row>
    <row r="11">
      <c r="A11" s="3" t="inlineStr">
        <is>
          <t>DBS USD MCY Savings</t>
        </is>
      </c>
      <c r="B11" s="4" t="n">
        <v>44942</v>
      </c>
      <c r="C11" s="3" t="inlineStr">
        <is>
          <t>CR 1513RF5975130 E1ED0642 F20E2FC E1ED0642 F20E2FC OZFOREX (HK) OZFOREX (HK) LIMITED USD 7183.84</t>
        </is>
      </c>
      <c r="D11" s="5" t="n">
        <v>7183.84</v>
      </c>
      <c r="E11" s="5" t="n"/>
      <c r="F11" s="6" t="n">
        <v>11307.02</v>
      </c>
      <c r="G11" s="7">
        <f>IF(AND(D11="",E11=""),F11,G10+IF(D11="",0,D11)-IF(E11="",0,E11))</f>
        <v/>
      </c>
    </row>
    <row r="12">
      <c r="A12" s="3" t="inlineStr">
        <is>
          <t>DBS USD MCY Savings</t>
        </is>
      </c>
      <c r="B12" s="4" t="n">
        <v>44942</v>
      </c>
      <c r="C12" s="3" t="inlineStr">
        <is>
          <t>CR 1513RF5976088 EBICT30116232185 EBICT30116232185 VIEWIDER LIMI VIEWIDER LIMITED USD 3445.64 at HKD7.836001</t>
        </is>
      </c>
      <c r="D12" s="5" t="n">
        <v>3445.64</v>
      </c>
      <c r="E12" s="5" t="n"/>
      <c r="F12" s="6" t="n">
        <v>14752.66</v>
      </c>
      <c r="G12" s="7">
        <f>IF(AND(D12="",E12=""),F12,G11+IF(D12="",0,D12)-IF(E12="",0,E12))</f>
        <v/>
      </c>
    </row>
    <row r="13">
      <c r="A13" s="3" t="inlineStr">
        <is>
          <t>DBS USD MCY Savings</t>
        </is>
      </c>
      <c r="B13" s="4" t="n">
        <v>44943</v>
      </c>
      <c r="C13" s="3" t="inlineStr">
        <is>
          <t>DR 1513RF5976611 EBICT30116232487 EBICT30116232487 VIEWIDER LIMI VIEWIDER LIMITED HKD 17970.23 at USD7.785924</t>
        </is>
      </c>
      <c r="D13" s="5" t="n"/>
      <c r="E13" s="5" t="n">
        <v>2308.04</v>
      </c>
      <c r="F13" s="6" t="n">
        <v>12444.62</v>
      </c>
      <c r="G13" s="7">
        <f>IF(AND(D13="",E13=""),F13,G12+IF(D13="",0,D13)-IF(E13="",0,E13))</f>
        <v/>
      </c>
    </row>
    <row r="14">
      <c r="A14" s="3" t="inlineStr">
        <is>
          <t>DBS USD MCY Savings</t>
        </is>
      </c>
      <c r="B14" s="4" t="n">
        <v>44943</v>
      </c>
      <c r="C14" s="3" t="inlineStr">
        <is>
          <t>CHGS 1513OT6383486 EBOTT30116540918 EBOTT30116540918 AUTOBIZZER PT AUTOBIZZER PTY LTD USD 10241.03</t>
        </is>
      </c>
      <c r="D14" s="5" t="n"/>
      <c r="E14" s="5" t="n">
        <v>14.68</v>
      </c>
      <c r="F14" s="6" t="n">
        <v>12429.94</v>
      </c>
      <c r="G14" s="7">
        <f>IF(AND(D14="",E14=""),F14,G13+IF(D14="",0,D14)-IF(E14="",0,E14))</f>
        <v/>
      </c>
    </row>
    <row r="15">
      <c r="A15" s="3" t="inlineStr">
        <is>
          <t>DBS USD MCY Savings</t>
        </is>
      </c>
      <c r="B15" s="4" t="n">
        <v>44943</v>
      </c>
      <c r="C15" s="3" t="inlineStr">
        <is>
          <t>DR 1513OT6383486 EBOTT30116540918 FX:1 AUTOBIZZER EBOTT30116540918 AUTOBIZZER PT AUTOBIZZER PTY LTD USD 10241.03</t>
        </is>
      </c>
      <c r="D15" s="5" t="n"/>
      <c r="E15" s="5" t="n">
        <v>10241.03</v>
      </c>
      <c r="F15" s="6" t="n">
        <v>2188.91</v>
      </c>
      <c r="G15" s="7">
        <f>IF(AND(D15="",E15=""),F15,G14+IF(D15="",0,D15)-IF(E15="",0,E15))</f>
        <v/>
      </c>
    </row>
    <row r="16">
      <c r="A16" s="3" t="inlineStr">
        <is>
          <t>DBS USD MCY Savings</t>
        </is>
      </c>
      <c r="B16" s="4" t="n">
        <v>44943</v>
      </c>
      <c r="C16" s="3" t="inlineStr">
        <is>
          <t>CR 1513IT5959860 S0630172EE7201 FX:1 VIEWIDER MALA S0630172EE7201 VIEWIDER MALAYS VIEWIDER MALAYSIA SDN.BHD. USD 20627.15 交易詳情 Transaction Details</t>
        </is>
      </c>
      <c r="D16" s="5" t="n">
        <v>20627.15</v>
      </c>
      <c r="E16" s="5" t="n"/>
      <c r="F16" s="6" t="n">
        <v>22816.06</v>
      </c>
      <c r="G16" s="7">
        <f>IF(AND(D16="",E16=""),F16,G15+IF(D16="",0,D16)-IF(E16="",0,E16))</f>
        <v/>
      </c>
    </row>
    <row r="17">
      <c r="A17" s="3" t="inlineStr">
        <is>
          <t>DBS USD MCY Savings</t>
        </is>
      </c>
      <c r="B17" s="4" t="n">
        <v>44943</v>
      </c>
      <c r="C17" s="3" t="inlineStr">
        <is>
          <t>CHGS 1513IT5959860 S0630172EE7201 VIEWIDER MALAYSI 1513IT5959860 VIEWIDER MALAYSI VIEWIDER LIMITED USD 20627.15</t>
        </is>
      </c>
      <c r="D17" s="5" t="n"/>
      <c r="E17" s="5" t="n">
        <v>13.29</v>
      </c>
      <c r="F17" s="6" t="n">
        <v>22802.77</v>
      </c>
      <c r="G17" s="7">
        <f>IF(AND(D17="",E17=""),F17,G16+IF(D17="",0,D17)-IF(E17="",0,E17))</f>
        <v/>
      </c>
    </row>
    <row r="18">
      <c r="A18" s="3" t="inlineStr">
        <is>
          <t>DBS USD MCY Savings</t>
        </is>
      </c>
      <c r="B18" s="4" t="n">
        <v>44943</v>
      </c>
      <c r="C18" s="3" t="inlineStr">
        <is>
          <t>DR 1513RF5979497 EBACT30117350421 EBACT30117350421 ETAKIN E-COMM ETAKIN E-COMMERCE CO. LIMITED USD 16114</t>
        </is>
      </c>
      <c r="D18" s="5" t="n"/>
      <c r="E18" s="5" t="n">
        <v>16114</v>
      </c>
      <c r="F18" s="6" t="n">
        <v>6688.77</v>
      </c>
      <c r="G18" s="7">
        <f>IF(AND(D18="",E18=""),F18,G17+IF(D18="",0,D18)-IF(E18="",0,E18))</f>
        <v/>
      </c>
    </row>
    <row r="19">
      <c r="A19" s="3" t="inlineStr">
        <is>
          <t>DBS USD MCY Savings</t>
        </is>
      </c>
      <c r="B19" s="4" t="n">
        <v>44944</v>
      </c>
      <c r="C19" s="3" t="inlineStr">
        <is>
          <t>DR 1513RF5984722 EBICT30118235944 EBICT30118235944 VIEWIDER LIMI VIEWIDER LIMITED USD 2225</t>
        </is>
      </c>
      <c r="D19" s="5" t="n"/>
      <c r="E19" s="5" t="n">
        <v>2225</v>
      </c>
      <c r="F19" s="6" t="n">
        <v>4463.77</v>
      </c>
      <c r="G19" s="7">
        <f>IF(AND(D19="",E19=""),F19,G18+IF(D19="",0,D19)-IF(E19="",0,E19))</f>
        <v/>
      </c>
    </row>
    <row r="20">
      <c r="A20" s="3" t="inlineStr">
        <is>
          <t>DBS USD MCY Savings</t>
        </is>
      </c>
      <c r="B20" s="4" t="n">
        <v>44944</v>
      </c>
      <c r="C20" s="3" t="inlineStr">
        <is>
          <t>CR 1513RF5985329 97663F64 97663F64 OZFOREX (HK) LIMITED OZFOREX (HK) LIMITED USD 18735</t>
        </is>
      </c>
      <c r="D20" s="5" t="n">
        <v>18735</v>
      </c>
      <c r="E20" s="5" t="n"/>
      <c r="F20" s="6" t="n">
        <v>23198.77</v>
      </c>
      <c r="G20" s="7">
        <f>IF(AND(D20="",E20=""),F20,G19+IF(D20="",0,D20)-IF(E20="",0,E20))</f>
        <v/>
      </c>
    </row>
    <row r="21">
      <c r="A21" s="3" t="inlineStr">
        <is>
          <t>DBS USD MCY Savings</t>
        </is>
      </c>
      <c r="B21" s="4" t="n">
        <v>44944</v>
      </c>
      <c r="C21" s="3" t="inlineStr">
        <is>
          <t>CHGS 1513IT5965164 2023011800169364 FORBIZKOREA CO 1513IT5965164 FORBIZKOREA CO., VIEWIDER LIMITED USD 1090.24</t>
        </is>
      </c>
      <c r="D21" s="5" t="n"/>
      <c r="E21" s="5" t="n">
        <v>13.28</v>
      </c>
      <c r="F21" s="6" t="n">
        <v>23185.49</v>
      </c>
      <c r="G21" s="7">
        <f>IF(AND(D21="",E21=""),F21,G20+IF(D21="",0,D21)-IF(E21="",0,E21))</f>
        <v/>
      </c>
    </row>
    <row r="22">
      <c r="A22" s="3" t="inlineStr">
        <is>
          <t>DBS USD MCY Savings</t>
        </is>
      </c>
      <c r="B22" s="4" t="n">
        <v>44944</v>
      </c>
      <c r="C22" s="3" t="inlineStr">
        <is>
          <t>CR 1513IT5965164 2023011800169364 FX:1 FORBIZKOREA 2023011800169364 FORBIZKOREA C FORBIZKOREA CO., LTD.906 HO, USD 1090.24</t>
        </is>
      </c>
      <c r="D22" s="5" t="n">
        <v>1090.24</v>
      </c>
      <c r="E22" s="5" t="n"/>
      <c r="F22" s="6" t="n">
        <v>24275.73</v>
      </c>
      <c r="G22" s="7">
        <f>IF(AND(D22="",E22=""),F22,G21+IF(D22="",0,D22)-IF(E22="",0,E22))</f>
        <v/>
      </c>
    </row>
    <row r="23">
      <c r="A23" s="3" t="inlineStr">
        <is>
          <t>DBS USD MCY Savings</t>
        </is>
      </c>
      <c r="B23" s="4" t="n">
        <v>44945</v>
      </c>
      <c r="C23" s="3" t="inlineStr">
        <is>
          <t>DR 1513RF5993152 EBICT30119238113 EBICT30119238113 VIEWIDER LIMI VIEWIDER LIMITED USD 22874.69</t>
        </is>
      </c>
      <c r="D23" s="5" t="n"/>
      <c r="E23" s="5" t="n">
        <v>22874.69</v>
      </c>
      <c r="F23" s="6" t="n">
        <v>1401.04</v>
      </c>
      <c r="G23" s="7">
        <f>IF(AND(D23="",E23=""),F23,G22+IF(D23="",0,D23)-IF(E23="",0,E23))</f>
        <v/>
      </c>
    </row>
    <row r="24">
      <c r="A24" s="3" t="inlineStr">
        <is>
          <t>DBS USD MCY Savings</t>
        </is>
      </c>
      <c r="B24" s="4" t="n">
        <v>44945</v>
      </c>
      <c r="C24" s="3" t="inlineStr">
        <is>
          <t>CHGS 1513IT5968741 2023011900133292 FORBIZKOREA CO 1513IT5968741 FORBIZKOREA CO., VIEWIDER LIMITED USD 543.4</t>
        </is>
      </c>
      <c r="D24" s="5" t="n"/>
      <c r="E24" s="5" t="n">
        <v>13.28</v>
      </c>
      <c r="F24" s="6" t="n">
        <v>1387.76</v>
      </c>
      <c r="G24" s="7">
        <f>IF(AND(D24="",E24=""),F24,G23+IF(D24="",0,D24)-IF(E24="",0,E24))</f>
        <v/>
      </c>
    </row>
    <row r="25">
      <c r="A25" s="3" t="inlineStr">
        <is>
          <t>DBS USD MCY Savings</t>
        </is>
      </c>
      <c r="B25" s="4" t="n">
        <v>44945</v>
      </c>
      <c r="C25" s="3" t="inlineStr">
        <is>
          <t>CR 1513IT5968741 2023011900133292 FX:1 FORBIZKOREA 2023011900133292 FORBIZKOREA C FORBIZKOREA CO., LTD.906 HO, USD 543.4</t>
        </is>
      </c>
      <c r="D25" s="5" t="n">
        <v>543.4</v>
      </c>
      <c r="E25" s="5" t="n"/>
      <c r="F25" s="6" t="n">
        <v>1931.16</v>
      </c>
      <c r="G25" s="7">
        <f>IF(AND(D25="",E25=""),F25,G24+IF(D25="",0,D25)-IF(E25="",0,E25))</f>
        <v/>
      </c>
    </row>
    <row r="26">
      <c r="A26" s="3" t="inlineStr">
        <is>
          <t>DBS USD MCY Savings</t>
        </is>
      </c>
      <c r="B26" s="4" t="n">
        <v>44946</v>
      </c>
      <c r="C26" s="3" t="inlineStr">
        <is>
          <t>DR 1513RF5998721 EBICT30120240152 EBICT30120240152 VIEWIDER LIMI VIEWIDER LIMITED USD 0.01</t>
        </is>
      </c>
      <c r="D26" s="5" t="n"/>
      <c r="E26" s="5" t="n">
        <v>0.01</v>
      </c>
      <c r="F26" s="6" t="n">
        <v>1931.15</v>
      </c>
      <c r="G26" s="7">
        <f>IF(AND(D26="",E26=""),F26,G25+IF(D26="",0,D26)-IF(E26="",0,E26))</f>
        <v/>
      </c>
    </row>
    <row r="27">
      <c r="A27" s="3" t="inlineStr">
        <is>
          <t>DBS USD MCY Savings</t>
        </is>
      </c>
      <c r="B27" s="4" t="n">
        <v>44952</v>
      </c>
      <c r="C27" s="3" t="inlineStr">
        <is>
          <t>CR 1513RF6005564 C563FB27 C563FB27 OZFOREX (HK) LIMITED OZFOREX (HK) LIMITED USD 37830</t>
        </is>
      </c>
      <c r="D27" s="5" t="n">
        <v>37830</v>
      </c>
      <c r="E27" s="5" t="n"/>
      <c r="F27" s="6" t="n">
        <v>39761.15</v>
      </c>
      <c r="G27" s="7">
        <f>IF(AND(D27="",E27=""),F27,G26+IF(D27="",0,D27)-IF(E27="",0,E27))</f>
        <v/>
      </c>
    </row>
    <row r="28">
      <c r="A28" s="3" t="inlineStr">
        <is>
          <t>DBS USD MCY Savings</t>
        </is>
      </c>
      <c r="B28" s="4" t="n">
        <v>44952</v>
      </c>
      <c r="C28" s="3" t="inlineStr">
        <is>
          <t>DR 1513RF6006000 EBACT30126466210 EBACT30126466210 ETAKIN E-COMM ETAKIN E-COMMERCE CO. LIMITED USD 39288.39</t>
        </is>
      </c>
      <c r="D28" s="5" t="n"/>
      <c r="E28" s="5" t="n">
        <v>39288.39</v>
      </c>
      <c r="F28" s="6" t="n">
        <v>472.76</v>
      </c>
      <c r="G28" s="7">
        <f>IF(AND(D28="",E28=""),F28,G27+IF(D28="",0,D28)-IF(E28="",0,E28))</f>
        <v/>
      </c>
    </row>
    <row r="29">
      <c r="A29" s="3" t="inlineStr">
        <is>
          <t>DBS USD MCY Savings</t>
        </is>
      </c>
      <c r="B29" s="4" t="n">
        <v>44956</v>
      </c>
      <c r="C29" s="3" t="inlineStr">
        <is>
          <t>CR 1513RF6012930 4366183688240180 4366183688240180 PAYONEER HONG PAYONEER HONG KONG LIMITED USD 5001.93</t>
        </is>
      </c>
      <c r="D29" s="5" t="n">
        <v>5001.93</v>
      </c>
      <c r="E29" s="5" t="n"/>
      <c r="F29" s="6" t="n">
        <v>5474.69</v>
      </c>
      <c r="G29" s="7">
        <f>IF(AND(D29="",E29=""),F29,G28+IF(D29="",0,D29)-IF(E29="",0,E29))</f>
        <v/>
      </c>
    </row>
    <row r="30">
      <c r="A30" s="3" t="inlineStr">
        <is>
          <t>DBS USD MCY Savings</t>
        </is>
      </c>
      <c r="B30" s="4" t="n">
        <v>44957</v>
      </c>
      <c r="C30" s="3" t="inlineStr">
        <is>
          <t>利息 INTEREST INTEREST POSTING</t>
        </is>
      </c>
      <c r="D30" s="5" t="n">
        <v>0.01</v>
      </c>
      <c r="E30" s="5" t="n"/>
      <c r="F30" s="6" t="n">
        <v>5474.7</v>
      </c>
      <c r="G30" s="7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2026-06-22T08:34:47Z</dcterms:created>
  <dcterms:modified xmlns:dcterms="http://purl.org/dc/terms/" xmlns:xsi="http://www.w3.org/2001/XMLSchema-instance" xsi:type="dcterms:W3CDTF">2026-06-22T08:34:47Z</dcterms:modified>
</cp:coreProperties>
</file>