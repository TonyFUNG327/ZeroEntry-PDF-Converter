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Z:\001-Client\W013(W013)-W Office Ltd\001-Acc &amp; Audit\W013-Account 31.12.25\PBC 260622\Bank state\Excel\"/>
    </mc:Choice>
  </mc:AlternateContent>
  <xr:revisionPtr revIDLastSave="0" documentId="13_ncr:1_{7561617B-8C15-499E-B1D0-F3618DAB602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SBC HKD Current Account" sheetId="1" r:id="rId1"/>
    <sheet name="HSBC HKD Savings Accou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5" i="2" l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29" i="1"/>
  <c r="G30" i="1" s="1"/>
  <c r="G31" i="1" s="1"/>
  <c r="G39" i="2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26" i="1"/>
  <c r="G27" i="1" s="1"/>
  <c r="G28" i="1" s="1"/>
  <c r="G18" i="2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14" i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13" i="1"/>
  <c r="G2" i="2"/>
  <c r="G3" i="2" s="1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2" i="1"/>
  <c r="G3" i="1" s="1"/>
  <c r="G4" i="1" s="1"/>
  <c r="G5" i="1" s="1"/>
  <c r="G6" i="1" s="1"/>
  <c r="G7" i="1" s="1"/>
  <c r="G8" i="1" s="1"/>
  <c r="G9" i="1" s="1"/>
  <c r="G10" i="1" s="1"/>
  <c r="G11" i="1" s="1"/>
  <c r="G12" i="1" s="1"/>
</calcChain>
</file>

<file path=xl/sharedStrings.xml><?xml version="1.0" encoding="utf-8"?>
<sst xmlns="http://schemas.openxmlformats.org/spreadsheetml/2006/main" count="208" uniqueCount="75">
  <si>
    <t>Bank_Account</t>
  </si>
  <si>
    <t>Date</t>
  </si>
  <si>
    <t>Description</t>
  </si>
  <si>
    <t>Deposit</t>
  </si>
  <si>
    <t>Withdrawal</t>
  </si>
  <si>
    <t>Balance</t>
  </si>
  <si>
    <t>Control</t>
  </si>
  <si>
    <t>HSBC HKD Current Account</t>
  </si>
  <si>
    <t>B/F BALANCE</t>
  </si>
  <si>
    <t>CHEQUE 100833</t>
  </si>
  <si>
    <t>FL MOTOR SERVICE LIM HC124C2521173642 25DEC</t>
  </si>
  <si>
    <t>FL MOTOR SERVICE LIM HC124C2521175146 25DEC</t>
  </si>
  <si>
    <t>MCD 100832</t>
  </si>
  <si>
    <t>CR TO 500-330253-002 NC2954921493(29DEC24)</t>
  </si>
  <si>
    <t>CHEQUE 100831</t>
  </si>
  <si>
    <t>CHEQUE 100834</t>
  </si>
  <si>
    <t>MANULIFE PROVIDENT F 0412548001</t>
  </si>
  <si>
    <t>5592-4033-3377-2530 N11000007118(10JAN25)</t>
  </si>
  <si>
    <t>THE VALLEY OF ARTS D HC12511272926828 12JAN</t>
  </si>
  <si>
    <t>HSBC HKD Savings Account</t>
  </si>
  <si>
    <t>MISS MAO SHI HUI HC124C2110586907 21DEC</t>
  </si>
  <si>
    <t>CREDIBILITY M I M L W OFFICE (23DEC24)</t>
  </si>
  <si>
    <t>CREDIT INTEREST</t>
  </si>
  <si>
    <t>SALARY</t>
  </si>
  <si>
    <t>APS CHARGES I02 SALARY</t>
  </si>
  <si>
    <t>APS CHARGES I01 SALARY</t>
  </si>
  <si>
    <t>CR TO 168-294437-001 RENT (07JAN25)</t>
  </si>
  <si>
    <t>CR TO 168-294437-001 DOOR CARD (07JAN25)</t>
  </si>
  <si>
    <t>REF:58A9 0494 CHEQUE DEPOSIT MACHINE (07JAN25)</t>
  </si>
  <si>
    <t>REF:5896 0313 CHEQUE DEPOSIT MACHINE (13JAN25)</t>
  </si>
  <si>
    <t>LANGO INNOVATION L N11412315543(14JAN25)</t>
  </si>
  <si>
    <t>CHG FOR AUDIT CONF O N 31122024 (16JAN25)</t>
  </si>
  <si>
    <t>REF:58A9 0520 CHEQUE DEPOSIT MACHINE (16JAN25)</t>
  </si>
  <si>
    <t>MCD 100836</t>
  </si>
  <si>
    <t>MCD 100835</t>
  </si>
  <si>
    <t>LEAPSING COMPANY LIM HC12512303125428 23JAN</t>
  </si>
  <si>
    <t>LEAPCHUN COMPANY LIM HC12512404996501 24JAN</t>
  </si>
  <si>
    <t>LEAPBUD COMPANY LIMI HC12512405003363 24JAN</t>
  </si>
  <si>
    <t>LEAPHUA COMPANY LIMI HC12512405005083 24JAN</t>
  </si>
  <si>
    <t>LEAPCHUN COMPANY LIM HC12521359518878 13FEB</t>
  </si>
  <si>
    <t>LEAPBUD MANAGEMENT L HC12521359519150 13FEB</t>
  </si>
  <si>
    <t>LEAPSING COMPANY LIM HC12521359519511 13FEB</t>
  </si>
  <si>
    <t>LEAPHUA COMPANY LIMI HC12521359519821 13FEB</t>
  </si>
  <si>
    <t>LEAPBUD COMPANY LIMI HC12521359520003 13FEB</t>
  </si>
  <si>
    <t>LEAPBUD COMPANY LIMI HC12521359520008 13FEB</t>
  </si>
  <si>
    <t>CR TO 129-496493-001 RENT (27JAN25)</t>
  </si>
  <si>
    <t>CR TO 521-080598-838 LOAN (27JAN25)</t>
  </si>
  <si>
    <t>LATE STUDIO LIMITED N20376908157(03FEB25)</t>
  </si>
  <si>
    <t>FG00121092 SFGS SING LE UPFRONT GUARANTEE FEE</t>
  </si>
  <si>
    <t>LOAN DRAWDOWN FOR 52 1-304535-034</t>
  </si>
  <si>
    <t>HANDLING FEE FOR 521 -304535-034</t>
  </si>
  <si>
    <t>CO AMENDMENT FEE SERVICE CHARGE1</t>
  </si>
  <si>
    <t>REF:58AB 0286 CHEQUE DEPOSIT MACHINE (07FEB25)</t>
  </si>
  <si>
    <t>5592-4033-3377-2530 N21827395010(18FEB25)</t>
  </si>
  <si>
    <t>5592-4033-3377-2530 N21827398244(18FEB25)</t>
  </si>
  <si>
    <t>REF:5896 0217 CHEQUE DEPOSIT MACHINE (18FEB25)</t>
  </si>
  <si>
    <t>THE VALLEY OF ARTS D HC12530824242713 08MAR</t>
  </si>
  <si>
    <t>THE VALLEY OF ARTS D HC12530824244106 08MAR</t>
  </si>
  <si>
    <t>5592-4033-3377-2530 N31102004693(11MAR25)</t>
  </si>
  <si>
    <t>CR TO 521-080598-838 N22549937524(25FEB25)</t>
  </si>
  <si>
    <t>REF:5865 0329 CHEQUE DEPOSIT MACHINE (28FEB25)</t>
  </si>
  <si>
    <t>CR TO 129-496493-001 5980 OR 300 (05MAR25)</t>
  </si>
  <si>
    <t>004521304535034 LOAN INTEREST</t>
  </si>
  <si>
    <t>LAM Y*** M** J**** HC12530619728947 06MAR</t>
  </si>
  <si>
    <t>REF:58A9 0386 CHEQUE DEPOSIT MACHINE (07MAR25)</t>
  </si>
  <si>
    <t>CR TO 521-080598-838 N31101634406(11MAR25)</t>
  </si>
  <si>
    <t>REF:5891 0093 CHEQUE DEPOSIT MACHINE (14MAR25)</t>
  </si>
  <si>
    <t>CR TO 521-080598-838 N31411791278(14MAR25)</t>
  </si>
  <si>
    <t>CHEQUE 100837</t>
  </si>
  <si>
    <t>CHARGES HC12533186626414 31MAR</t>
  </si>
  <si>
    <t>WONG Y* T*** HC12533186626414 31MAR</t>
  </si>
  <si>
    <t>CR TO 129-496493-001 N40379153534(03APR25)</t>
  </si>
  <si>
    <t>REF:58A9 0523 CHEQUE DEPOSIT MACHINE (14APR25)</t>
  </si>
  <si>
    <t>REF:58A9 0524 CHEQUE DEPOSIT MACHINE (14APR25)</t>
  </si>
  <si>
    <t>REF:58AB 0238 CHEQUE DEPOSIT MACHINE (15APR25)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</si>
</sst>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dd\ mmm\ yyyy"/>
    <numFmt numFmtId="178" formatCode="#,##0.00;\(#,##0.00\);&quot;-&quot;"/>
    <numFmt numFmtId="179" formatCode="\(#,##0.00\);\(#,##0.00\);&quot;-&quot;"/>
    <numFmt numFmtId="180" formatCode="#,##0.00;\(#,##0.00\);0.00"/>
  </numFmts>
  <fonts count="6" x14ac:knownFonts="1">
    <font>
      <sz val="11"/>
      <color theme="1"/>
      <name val="新細明體"/>
      <family val="2"/>
      <scheme val="minor"/>
    </font>
    <font>
      <b/>
      <sz val="10"/>
      <name val="Arial"/>
    </font>
    <font>
      <sz val="10"/>
      <name val="Arial"/>
    </font>
    <font>
      <sz val="10"/>
      <name val="Arial"/>
      <family val="2"/>
    </font>
    <font>
      <sz val="9"/>
      <name val="新細明體"/>
      <family val="3"/>
      <charset val="136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77" fontId="2" fillId="0" borderId="1" xfId="0" applyNumberFormat="1" applyFont="1" applyBorder="1" applyAlignment="1">
      <alignment vertical="center"/>
    </xf>
    <xf numFmtId="178" fontId="2" fillId="0" borderId="1" xfId="0" applyNumberFormat="1" applyFont="1" applyBorder="1" applyAlignment="1">
      <alignment vertical="center"/>
    </xf>
    <xf numFmtId="179" fontId="2" fillId="0" borderId="1" xfId="0" applyNumberFormat="1" applyFont="1" applyBorder="1" applyAlignment="1">
      <alignment vertical="center"/>
    </xf>
    <xf numFmtId="180" fontId="2" fillId="0" borderId="1" xfId="0" applyNumberFormat="1" applyFont="1" applyBorder="1" applyAlignment="1">
      <alignment vertical="center"/>
    </xf>
    <xf numFmtId="180" fontId="1" fillId="3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3" fillId="0" borderId="1" xfId="0" applyNumberFormat="1" applyFont="1" applyBorder="1" applyAlignment="1">
      <alignment vertical="center"/>
    </xf>
    <xf numFmtId="178" fontId="3" fillId="0" borderId="1" xfId="0" applyNumberFormat="1" applyFont="1" applyBorder="1" applyAlignment="1">
      <alignment vertical="center"/>
    </xf>
    <xf numFmtId="179" fontId="3" fillId="0" borderId="1" xfId="0" applyNumberFormat="1" applyFont="1" applyBorder="1" applyAlignment="1">
      <alignment vertical="center"/>
    </xf>
    <xf numFmtId="180" fontId="3" fillId="0" borderId="1" xfId="0" applyNumberFormat="1" applyFont="1" applyBorder="1" applyAlignment="1">
      <alignment vertical="center"/>
    </xf>
    <xf numFmtId="180" fontId="5" fillId="3" borderId="1" xfId="0" applyNumberFormat="1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pane ySplit="1" topLeftCell="A2" activePane="bottomLeft" state="frozen"/>
      <selection pane="bottomLeft" activeCell="C32" sqref="C32"/>
    </sheetView>
  </sheetViews>
  <sheetFormatPr defaultRowHeight="15.75" x14ac:dyDescent="0.25"/>
  <cols>
    <col min="1" max="1" width="28" customWidth="1"/>
    <col min="2" max="2" width="14" customWidth="1"/>
    <col min="3" max="3" width="54" customWidth="1"/>
    <col min="4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3" t="s">
        <v>7</v>
      </c>
      <c r="B2" s="4">
        <v>45644</v>
      </c>
      <c r="C2" s="3" t="s">
        <v>8</v>
      </c>
      <c r="D2" s="5"/>
      <c r="E2" s="6"/>
      <c r="F2" s="7">
        <v>49796.68</v>
      </c>
      <c r="G2" s="8">
        <f>IF(AND(D2="",E2=""),F2,IF(D2="",0,D2)-IF(E2="",0,E2))</f>
        <v>49796.68</v>
      </c>
    </row>
    <row r="3" spans="1:7" x14ac:dyDescent="0.25">
      <c r="A3" s="3" t="s">
        <v>7</v>
      </c>
      <c r="B3" s="4">
        <v>45645</v>
      </c>
      <c r="C3" s="3" t="s">
        <v>9</v>
      </c>
      <c r="D3" s="5"/>
      <c r="E3" s="6">
        <v>200</v>
      </c>
      <c r="F3" s="7">
        <v>49596.68</v>
      </c>
      <c r="G3" s="8">
        <f t="shared" ref="G3:G25" si="0">IF(AND(D3="",E3=""),F3,G2+IF(D3="",0,D3)-IF(E3="",0,E3))</f>
        <v>49596.68</v>
      </c>
    </row>
    <row r="4" spans="1:7" x14ac:dyDescent="0.25">
      <c r="A4" s="3" t="s">
        <v>7</v>
      </c>
      <c r="B4" s="4">
        <v>45653</v>
      </c>
      <c r="C4" s="3" t="s">
        <v>10</v>
      </c>
      <c r="D4" s="5">
        <v>4460</v>
      </c>
      <c r="E4" s="6"/>
      <c r="F4" s="7"/>
      <c r="G4" s="8">
        <f t="shared" si="0"/>
        <v>54056.68</v>
      </c>
    </row>
    <row r="5" spans="1:7" x14ac:dyDescent="0.25">
      <c r="A5" s="3" t="s">
        <v>7</v>
      </c>
      <c r="B5" s="4">
        <v>45653</v>
      </c>
      <c r="C5" s="3" t="s">
        <v>11</v>
      </c>
      <c r="D5" s="5">
        <v>4985</v>
      </c>
      <c r="E5" s="6"/>
      <c r="F5" s="7">
        <v>59041.68</v>
      </c>
      <c r="G5" s="8">
        <f t="shared" si="0"/>
        <v>59041.68</v>
      </c>
    </row>
    <row r="6" spans="1:7" x14ac:dyDescent="0.25">
      <c r="A6" s="3" t="s">
        <v>7</v>
      </c>
      <c r="B6" s="4">
        <v>45656</v>
      </c>
      <c r="C6" s="3" t="s">
        <v>12</v>
      </c>
      <c r="D6" s="5"/>
      <c r="E6" s="6">
        <v>352.7</v>
      </c>
      <c r="F6" s="7"/>
      <c r="G6" s="8">
        <f t="shared" si="0"/>
        <v>58688.98</v>
      </c>
    </row>
    <row r="7" spans="1:7" x14ac:dyDescent="0.25">
      <c r="A7" s="3" t="s">
        <v>7</v>
      </c>
      <c r="B7" s="4">
        <v>45656</v>
      </c>
      <c r="C7" s="3" t="s">
        <v>13</v>
      </c>
      <c r="D7" s="5"/>
      <c r="E7" s="6">
        <v>288</v>
      </c>
      <c r="F7" s="7">
        <v>58400.98</v>
      </c>
      <c r="G7" s="8">
        <f t="shared" si="0"/>
        <v>58400.98</v>
      </c>
    </row>
    <row r="8" spans="1:7" x14ac:dyDescent="0.25">
      <c r="A8" s="3" t="s">
        <v>7</v>
      </c>
      <c r="B8" s="4">
        <v>45657</v>
      </c>
      <c r="C8" s="3" t="s">
        <v>14</v>
      </c>
      <c r="D8" s="5"/>
      <c r="E8" s="6">
        <v>9975</v>
      </c>
      <c r="F8" s="7">
        <v>48425.98</v>
      </c>
      <c r="G8" s="8">
        <f t="shared" si="0"/>
        <v>48425.98</v>
      </c>
    </row>
    <row r="9" spans="1:7" x14ac:dyDescent="0.25">
      <c r="A9" s="3" t="s">
        <v>7</v>
      </c>
      <c r="B9" s="4">
        <v>45660</v>
      </c>
      <c r="C9" s="3" t="s">
        <v>15</v>
      </c>
      <c r="D9" s="5"/>
      <c r="E9" s="6">
        <v>5390</v>
      </c>
      <c r="F9" s="7">
        <v>43035.98</v>
      </c>
      <c r="G9" s="8">
        <f t="shared" si="0"/>
        <v>43035.98</v>
      </c>
    </row>
    <row r="10" spans="1:7" x14ac:dyDescent="0.25">
      <c r="A10" s="3" t="s">
        <v>7</v>
      </c>
      <c r="B10" s="4">
        <v>45664</v>
      </c>
      <c r="C10" s="3" t="s">
        <v>16</v>
      </c>
      <c r="D10" s="5"/>
      <c r="E10" s="6">
        <v>6620.63</v>
      </c>
      <c r="F10" s="7">
        <v>36415.35</v>
      </c>
      <c r="G10" s="8">
        <f t="shared" si="0"/>
        <v>36415.350000000006</v>
      </c>
    </row>
    <row r="11" spans="1:7" x14ac:dyDescent="0.25">
      <c r="A11" s="3" t="s">
        <v>7</v>
      </c>
      <c r="B11" s="4">
        <v>45667</v>
      </c>
      <c r="C11" s="3" t="s">
        <v>17</v>
      </c>
      <c r="D11" s="5"/>
      <c r="E11" s="6">
        <v>758</v>
      </c>
      <c r="F11" s="7">
        <v>35657.35</v>
      </c>
      <c r="G11" s="8">
        <f t="shared" si="0"/>
        <v>35657.350000000006</v>
      </c>
    </row>
    <row r="12" spans="1:7" x14ac:dyDescent="0.25">
      <c r="A12" s="3" t="s">
        <v>7</v>
      </c>
      <c r="B12" s="4">
        <v>45670</v>
      </c>
      <c r="C12" s="3" t="s">
        <v>18</v>
      </c>
      <c r="D12" s="5">
        <v>3529</v>
      </c>
      <c r="E12" s="6"/>
      <c r="F12" s="7">
        <v>39186.35</v>
      </c>
      <c r="G12" s="8">
        <f t="shared" si="0"/>
        <v>39186.350000000006</v>
      </c>
    </row>
    <row r="13" spans="1:7" x14ac:dyDescent="0.25">
      <c r="A13" s="9" t="s">
        <v>7</v>
      </c>
      <c r="B13" s="10">
        <v>45678</v>
      </c>
      <c r="C13" s="9" t="s">
        <v>33</v>
      </c>
      <c r="D13" s="11"/>
      <c r="E13" s="12">
        <v>5286.89</v>
      </c>
      <c r="F13" s="13"/>
      <c r="G13" s="14">
        <f t="shared" si="0"/>
        <v>33899.460000000006</v>
      </c>
    </row>
    <row r="14" spans="1:7" x14ac:dyDescent="0.25">
      <c r="A14" s="9" t="s">
        <v>7</v>
      </c>
      <c r="B14" s="10">
        <v>45678</v>
      </c>
      <c r="C14" s="9" t="s">
        <v>34</v>
      </c>
      <c r="D14" s="11"/>
      <c r="E14" s="12">
        <v>5760.37</v>
      </c>
      <c r="F14" s="13">
        <v>28139.09</v>
      </c>
      <c r="G14" s="14">
        <f t="shared" si="0"/>
        <v>28139.090000000007</v>
      </c>
    </row>
    <row r="15" spans="1:7" x14ac:dyDescent="0.25">
      <c r="A15" s="9" t="s">
        <v>7</v>
      </c>
      <c r="B15" s="10">
        <v>45680</v>
      </c>
      <c r="C15" s="9" t="s">
        <v>35</v>
      </c>
      <c r="D15" s="11">
        <v>3690</v>
      </c>
      <c r="E15" s="12"/>
      <c r="F15" s="13">
        <v>31829.09</v>
      </c>
      <c r="G15" s="14">
        <f t="shared" si="0"/>
        <v>31829.090000000007</v>
      </c>
    </row>
    <row r="16" spans="1:7" x14ac:dyDescent="0.25">
      <c r="A16" s="9" t="s">
        <v>7</v>
      </c>
      <c r="B16" s="10">
        <v>45681</v>
      </c>
      <c r="C16" s="9" t="s">
        <v>36</v>
      </c>
      <c r="D16" s="11">
        <v>1800</v>
      </c>
      <c r="E16" s="12"/>
      <c r="F16" s="13"/>
      <c r="G16" s="14">
        <f t="shared" si="0"/>
        <v>33629.090000000011</v>
      </c>
    </row>
    <row r="17" spans="1:7" x14ac:dyDescent="0.25">
      <c r="A17" s="9" t="s">
        <v>7</v>
      </c>
      <c r="B17" s="10">
        <v>45681</v>
      </c>
      <c r="C17" s="9" t="s">
        <v>37</v>
      </c>
      <c r="D17" s="11">
        <v>1530</v>
      </c>
      <c r="E17" s="12"/>
      <c r="F17" s="13"/>
      <c r="G17" s="14">
        <f t="shared" si="0"/>
        <v>35159.090000000011</v>
      </c>
    </row>
    <row r="18" spans="1:7" x14ac:dyDescent="0.25">
      <c r="A18" s="9" t="s">
        <v>7</v>
      </c>
      <c r="B18" s="10">
        <v>45681</v>
      </c>
      <c r="C18" s="9" t="s">
        <v>38</v>
      </c>
      <c r="D18" s="11">
        <v>2610</v>
      </c>
      <c r="E18" s="12"/>
      <c r="F18" s="13">
        <v>37769.089999999997</v>
      </c>
      <c r="G18" s="14">
        <f t="shared" si="0"/>
        <v>37769.090000000011</v>
      </c>
    </row>
    <row r="19" spans="1:7" x14ac:dyDescent="0.25">
      <c r="A19" s="9" t="s">
        <v>7</v>
      </c>
      <c r="B19" s="10">
        <v>45695</v>
      </c>
      <c r="C19" s="9" t="s">
        <v>16</v>
      </c>
      <c r="D19" s="11"/>
      <c r="E19" s="12">
        <v>6862.25</v>
      </c>
      <c r="F19" s="13">
        <v>30906.84</v>
      </c>
      <c r="G19" s="14">
        <f t="shared" si="0"/>
        <v>30906.840000000011</v>
      </c>
    </row>
    <row r="20" spans="1:7" x14ac:dyDescent="0.25">
      <c r="A20" s="9" t="s">
        <v>7</v>
      </c>
      <c r="B20" s="10">
        <v>45701</v>
      </c>
      <c r="C20" s="9" t="s">
        <v>39</v>
      </c>
      <c r="D20" s="11">
        <v>1935</v>
      </c>
      <c r="E20" s="12"/>
      <c r="F20" s="13"/>
      <c r="G20" s="14">
        <f t="shared" si="0"/>
        <v>32841.840000000011</v>
      </c>
    </row>
    <row r="21" spans="1:7" x14ac:dyDescent="0.25">
      <c r="A21" s="9" t="s">
        <v>7</v>
      </c>
      <c r="B21" s="10">
        <v>45701</v>
      </c>
      <c r="C21" s="9" t="s">
        <v>40</v>
      </c>
      <c r="D21" s="11">
        <v>1575</v>
      </c>
      <c r="E21" s="12"/>
      <c r="F21" s="13"/>
      <c r="G21" s="14">
        <f t="shared" si="0"/>
        <v>34416.840000000011</v>
      </c>
    </row>
    <row r="22" spans="1:7" x14ac:dyDescent="0.25">
      <c r="A22" s="9" t="s">
        <v>7</v>
      </c>
      <c r="B22" s="10">
        <v>45701</v>
      </c>
      <c r="C22" s="9" t="s">
        <v>41</v>
      </c>
      <c r="D22" s="11">
        <v>3645</v>
      </c>
      <c r="E22" s="12"/>
      <c r="F22" s="13"/>
      <c r="G22" s="14">
        <f t="shared" si="0"/>
        <v>38061.840000000011</v>
      </c>
    </row>
    <row r="23" spans="1:7" x14ac:dyDescent="0.25">
      <c r="A23" s="9" t="s">
        <v>7</v>
      </c>
      <c r="B23" s="10">
        <v>45701</v>
      </c>
      <c r="C23" s="9" t="s">
        <v>42</v>
      </c>
      <c r="D23" s="11">
        <v>2745</v>
      </c>
      <c r="E23" s="12"/>
      <c r="F23" s="13"/>
      <c r="G23" s="14">
        <f t="shared" si="0"/>
        <v>40806.840000000011</v>
      </c>
    </row>
    <row r="24" spans="1:7" x14ac:dyDescent="0.25">
      <c r="A24" s="9" t="s">
        <v>7</v>
      </c>
      <c r="B24" s="10">
        <v>45701</v>
      </c>
      <c r="C24" s="9" t="s">
        <v>43</v>
      </c>
      <c r="D24" s="11">
        <v>1890</v>
      </c>
      <c r="E24" s="12"/>
      <c r="F24" s="13"/>
      <c r="G24" s="14">
        <f t="shared" si="0"/>
        <v>42696.840000000011</v>
      </c>
    </row>
    <row r="25" spans="1:7" x14ac:dyDescent="0.25">
      <c r="A25" s="9" t="s">
        <v>7</v>
      </c>
      <c r="B25" s="10">
        <v>45701</v>
      </c>
      <c r="C25" s="9" t="s">
        <v>44</v>
      </c>
      <c r="D25" s="11">
        <v>2115</v>
      </c>
      <c r="E25" s="12"/>
      <c r="F25" s="13">
        <v>44811.839999999997</v>
      </c>
      <c r="G25" s="14">
        <f t="shared" si="0"/>
        <v>44811.840000000011</v>
      </c>
    </row>
    <row r="26" spans="1:7" x14ac:dyDescent="0.25">
      <c r="A26" s="9" t="s">
        <v>7</v>
      </c>
      <c r="B26" s="10">
        <v>45724</v>
      </c>
      <c r="C26" s="9" t="s">
        <v>56</v>
      </c>
      <c r="D26" s="11">
        <v>3519</v>
      </c>
      <c r="E26" s="12"/>
      <c r="F26" s="13"/>
      <c r="G26" s="14">
        <f>IF(AND(D26="",E26=""),F26,G25+IF(D26="",0,D26)-IF(E26="",0,E26))</f>
        <v>48330.840000000011</v>
      </c>
    </row>
    <row r="27" spans="1:7" x14ac:dyDescent="0.25">
      <c r="A27" s="9" t="s">
        <v>7</v>
      </c>
      <c r="B27" s="10">
        <v>45724</v>
      </c>
      <c r="C27" s="9" t="s">
        <v>57</v>
      </c>
      <c r="D27" s="11">
        <v>3500</v>
      </c>
      <c r="E27" s="12"/>
      <c r="F27" s="13">
        <v>51830.84</v>
      </c>
      <c r="G27" s="14">
        <f>IF(AND(D27="",E27=""),F27,G26+IF(D27="",0,D27)-IF(E27="",0,E27))</f>
        <v>51830.840000000011</v>
      </c>
    </row>
    <row r="28" spans="1:7" x14ac:dyDescent="0.25">
      <c r="A28" s="9" t="s">
        <v>7</v>
      </c>
      <c r="B28" s="10">
        <v>45727</v>
      </c>
      <c r="C28" s="9" t="s">
        <v>58</v>
      </c>
      <c r="D28" s="11"/>
      <c r="E28" s="12">
        <v>1375.38</v>
      </c>
      <c r="F28" s="13">
        <v>50455.46</v>
      </c>
      <c r="G28" s="14">
        <f>IF(AND(D28="",E28=""),F28,G27+IF(D28="",0,D28)-IF(E28="",0,E28))</f>
        <v>50455.460000000014</v>
      </c>
    </row>
    <row r="29" spans="1:7" x14ac:dyDescent="0.25">
      <c r="A29" s="9" t="s">
        <v>7</v>
      </c>
      <c r="B29" s="10">
        <v>45741</v>
      </c>
      <c r="C29" s="9" t="s">
        <v>68</v>
      </c>
      <c r="D29" s="11"/>
      <c r="E29" s="12">
        <v>21600</v>
      </c>
      <c r="F29" s="13"/>
      <c r="G29" s="14">
        <f>IF(AND(D29="",E29=""),F29,G28+IF(D29="",0,D29)-IF(E29="",0,E29))</f>
        <v>28855.460000000014</v>
      </c>
    </row>
    <row r="30" spans="1:7" x14ac:dyDescent="0.25">
      <c r="A30" s="9" t="s">
        <v>7</v>
      </c>
      <c r="B30" s="10">
        <v>45741</v>
      </c>
      <c r="C30" s="9" t="s">
        <v>16</v>
      </c>
      <c r="D30" s="11"/>
      <c r="E30" s="12">
        <v>6496.38</v>
      </c>
      <c r="F30" s="13">
        <v>22359.08</v>
      </c>
      <c r="G30" s="14">
        <f>IF(AND(D30="",E30=""),F30,G29+IF(D30="",0,D30)-IF(E30="",0,E30))</f>
        <v>22359.080000000013</v>
      </c>
    </row>
    <row r="31" spans="1:7" x14ac:dyDescent="0.25">
      <c r="A31" s="9" t="s">
        <v>7</v>
      </c>
      <c r="B31" s="10">
        <v>45755</v>
      </c>
      <c r="C31" s="9" t="s">
        <v>16</v>
      </c>
      <c r="D31" s="11"/>
      <c r="E31" s="12">
        <v>8454</v>
      </c>
      <c r="F31" s="13">
        <v>13905.08</v>
      </c>
      <c r="G31" s="14">
        <f>IF(AND(D31="",E31=""),F31,G30+IF(D31="",0,D31)-IF(E31="",0,E31))</f>
        <v>13905.080000000013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8"/>
  <sheetViews>
    <sheetView tabSelected="1" workbookViewId="0">
      <pane ySplit="1" topLeftCell="A5" activePane="bottomLeft" state="frozen"/>
      <selection pane="bottomLeft" activeCell="I29" sqref="I29"/>
    </sheetView>
  </sheetViews>
  <sheetFormatPr defaultRowHeight="15.75" x14ac:dyDescent="0.25"/>
  <cols>
    <col min="1" max="1" width="28" customWidth="1"/>
    <col min="2" max="2" width="14" customWidth="1"/>
    <col min="3" max="3" width="54" customWidth="1"/>
    <col min="4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3" t="s">
        <v>19</v>
      </c>
      <c r="B2" s="4">
        <v>45644</v>
      </c>
      <c r="C2" s="3" t="s">
        <v>8</v>
      </c>
      <c r="D2" s="5"/>
      <c r="E2" s="6"/>
      <c r="F2" s="7">
        <v>182866.83</v>
      </c>
      <c r="G2" s="8">
        <f>IF(AND(D2="",E2=""),F2,IF(D2="",0,D2)-IF(E2="",0,E2))</f>
        <v>182866.83</v>
      </c>
    </row>
    <row r="3" spans="1:7" x14ac:dyDescent="0.25">
      <c r="A3" s="3" t="s">
        <v>19</v>
      </c>
      <c r="B3" s="4">
        <v>45647</v>
      </c>
      <c r="C3" s="3" t="s">
        <v>20</v>
      </c>
      <c r="D3" s="5">
        <v>300</v>
      </c>
      <c r="E3" s="6"/>
      <c r="F3" s="7">
        <v>183166.83</v>
      </c>
      <c r="G3" s="8">
        <f t="shared" ref="G3:G66" si="0">IF(AND(D3="",E3=""),F3,G2+IF(D3="",0,D3)-IF(E3="",0,E3))</f>
        <v>183166.83</v>
      </c>
    </row>
    <row r="4" spans="1:7" x14ac:dyDescent="0.25">
      <c r="A4" s="3" t="s">
        <v>19</v>
      </c>
      <c r="B4" s="4">
        <v>45649</v>
      </c>
      <c r="C4" s="3" t="s">
        <v>21</v>
      </c>
      <c r="D4" s="5">
        <v>7200</v>
      </c>
      <c r="E4" s="6"/>
      <c r="F4" s="7">
        <v>190366.83</v>
      </c>
      <c r="G4" s="8">
        <f t="shared" si="0"/>
        <v>190366.83</v>
      </c>
    </row>
    <row r="5" spans="1:7" x14ac:dyDescent="0.25">
      <c r="A5" s="3" t="s">
        <v>19</v>
      </c>
      <c r="B5" s="4">
        <v>45654</v>
      </c>
      <c r="C5" s="3" t="s">
        <v>22</v>
      </c>
      <c r="D5" s="5">
        <v>57.04</v>
      </c>
      <c r="E5" s="6"/>
      <c r="F5" s="7">
        <v>190423.87</v>
      </c>
      <c r="G5" s="8">
        <f t="shared" si="0"/>
        <v>190423.87</v>
      </c>
    </row>
    <row r="6" spans="1:7" x14ac:dyDescent="0.25">
      <c r="A6" s="3" t="s">
        <v>19</v>
      </c>
      <c r="B6" s="4">
        <v>45660</v>
      </c>
      <c r="C6" s="3" t="s">
        <v>23</v>
      </c>
      <c r="D6" s="5"/>
      <c r="E6" s="6">
        <v>20662.5</v>
      </c>
      <c r="F6" s="7"/>
      <c r="G6" s="8">
        <f t="shared" si="0"/>
        <v>169761.37</v>
      </c>
    </row>
    <row r="7" spans="1:7" x14ac:dyDescent="0.25">
      <c r="A7" s="3" t="s">
        <v>19</v>
      </c>
      <c r="B7" s="4">
        <v>45660</v>
      </c>
      <c r="C7" s="3" t="s">
        <v>23</v>
      </c>
      <c r="D7" s="5"/>
      <c r="E7" s="6">
        <v>50573</v>
      </c>
      <c r="F7" s="7">
        <v>119188.37</v>
      </c>
      <c r="G7" s="8">
        <f t="shared" si="0"/>
        <v>119188.37</v>
      </c>
    </row>
    <row r="8" spans="1:7" x14ac:dyDescent="0.25">
      <c r="A8" s="3" t="s">
        <v>19</v>
      </c>
      <c r="B8" s="4">
        <v>45663</v>
      </c>
      <c r="C8" s="3" t="s">
        <v>24</v>
      </c>
      <c r="D8" s="5"/>
      <c r="E8" s="6">
        <v>1</v>
      </c>
      <c r="F8" s="7"/>
      <c r="G8" s="8">
        <f t="shared" si="0"/>
        <v>119187.37</v>
      </c>
    </row>
    <row r="9" spans="1:7" x14ac:dyDescent="0.25">
      <c r="A9" s="3" t="s">
        <v>19</v>
      </c>
      <c r="B9" s="4">
        <v>45663</v>
      </c>
      <c r="C9" s="3" t="s">
        <v>25</v>
      </c>
      <c r="D9" s="5"/>
      <c r="E9" s="6">
        <v>3.5</v>
      </c>
      <c r="F9" s="7">
        <v>119183.87</v>
      </c>
      <c r="G9" s="8">
        <f t="shared" si="0"/>
        <v>119183.87</v>
      </c>
    </row>
    <row r="10" spans="1:7" x14ac:dyDescent="0.25">
      <c r="A10" s="3" t="s">
        <v>19</v>
      </c>
      <c r="B10" s="4">
        <v>45664</v>
      </c>
      <c r="C10" s="3" t="s">
        <v>26</v>
      </c>
      <c r="D10" s="5"/>
      <c r="E10" s="6">
        <v>5980</v>
      </c>
      <c r="F10" s="7"/>
      <c r="G10" s="8">
        <f t="shared" si="0"/>
        <v>113203.87</v>
      </c>
    </row>
    <row r="11" spans="1:7" x14ac:dyDescent="0.25">
      <c r="A11" s="3" t="s">
        <v>19</v>
      </c>
      <c r="B11" s="4">
        <v>45664</v>
      </c>
      <c r="C11" s="3" t="s">
        <v>27</v>
      </c>
      <c r="D11" s="5"/>
      <c r="E11" s="6">
        <v>50</v>
      </c>
      <c r="F11" s="7"/>
      <c r="G11" s="8">
        <f t="shared" si="0"/>
        <v>113153.87</v>
      </c>
    </row>
    <row r="12" spans="1:7" x14ac:dyDescent="0.25">
      <c r="A12" s="3" t="s">
        <v>19</v>
      </c>
      <c r="B12" s="4">
        <v>45664</v>
      </c>
      <c r="C12" s="3" t="s">
        <v>28</v>
      </c>
      <c r="D12" s="5">
        <v>4000</v>
      </c>
      <c r="E12" s="6"/>
      <c r="F12" s="7">
        <v>117153.87</v>
      </c>
      <c r="G12" s="8">
        <f t="shared" si="0"/>
        <v>117153.87</v>
      </c>
    </row>
    <row r="13" spans="1:7" x14ac:dyDescent="0.25">
      <c r="A13" s="3" t="s">
        <v>19</v>
      </c>
      <c r="B13" s="4">
        <v>45670</v>
      </c>
      <c r="C13" s="3" t="s">
        <v>29</v>
      </c>
      <c r="D13" s="5">
        <v>3600</v>
      </c>
      <c r="E13" s="6"/>
      <c r="F13" s="7">
        <v>120753.87</v>
      </c>
      <c r="G13" s="8">
        <f t="shared" si="0"/>
        <v>120753.87</v>
      </c>
    </row>
    <row r="14" spans="1:7" x14ac:dyDescent="0.25">
      <c r="A14" s="3" t="s">
        <v>19</v>
      </c>
      <c r="B14" s="4">
        <v>45671</v>
      </c>
      <c r="C14" s="3" t="s">
        <v>30</v>
      </c>
      <c r="D14" s="5">
        <v>8000</v>
      </c>
      <c r="E14" s="6"/>
      <c r="F14" s="7">
        <v>128753.87</v>
      </c>
      <c r="G14" s="8">
        <f t="shared" si="0"/>
        <v>128753.87</v>
      </c>
    </row>
    <row r="15" spans="1:7" x14ac:dyDescent="0.25">
      <c r="A15" s="3" t="s">
        <v>19</v>
      </c>
      <c r="B15" s="4">
        <v>45673</v>
      </c>
      <c r="C15" s="3" t="s">
        <v>31</v>
      </c>
      <c r="D15" s="5"/>
      <c r="E15" s="6">
        <v>760</v>
      </c>
      <c r="F15" s="7"/>
      <c r="G15" s="8">
        <f t="shared" si="0"/>
        <v>127993.87</v>
      </c>
    </row>
    <row r="16" spans="1:7" x14ac:dyDescent="0.25">
      <c r="A16" s="3" t="s">
        <v>19</v>
      </c>
      <c r="B16" s="4">
        <v>45673</v>
      </c>
      <c r="C16" s="3" t="s">
        <v>32</v>
      </c>
      <c r="D16" s="5">
        <v>14300</v>
      </c>
      <c r="E16" s="6"/>
      <c r="F16" s="7">
        <v>142293.87</v>
      </c>
      <c r="G16" s="8">
        <f t="shared" si="0"/>
        <v>142293.87</v>
      </c>
    </row>
    <row r="17" spans="1:7" x14ac:dyDescent="0.25">
      <c r="A17" s="3" t="s">
        <v>19</v>
      </c>
      <c r="B17" s="4">
        <v>45674</v>
      </c>
      <c r="C17" s="3" t="s">
        <v>23</v>
      </c>
      <c r="D17" s="5"/>
      <c r="E17" s="6">
        <v>54100</v>
      </c>
      <c r="F17" s="7">
        <v>88193.87</v>
      </c>
      <c r="G17" s="8">
        <f t="shared" si="0"/>
        <v>88193.87</v>
      </c>
    </row>
    <row r="18" spans="1:7" x14ac:dyDescent="0.25">
      <c r="A18" s="9" t="s">
        <v>19</v>
      </c>
      <c r="B18" s="10">
        <v>45677</v>
      </c>
      <c r="C18" s="9" t="s">
        <v>24</v>
      </c>
      <c r="D18" s="11"/>
      <c r="E18" s="12">
        <v>1</v>
      </c>
      <c r="F18" s="13">
        <v>88192.87</v>
      </c>
      <c r="G18" s="14">
        <f t="shared" si="0"/>
        <v>88192.87</v>
      </c>
    </row>
    <row r="19" spans="1:7" x14ac:dyDescent="0.25">
      <c r="A19" s="9" t="s">
        <v>19</v>
      </c>
      <c r="B19" s="10">
        <v>45684</v>
      </c>
      <c r="C19" s="9" t="s">
        <v>45</v>
      </c>
      <c r="D19" s="11"/>
      <c r="E19" s="12">
        <v>5980</v>
      </c>
      <c r="F19" s="13"/>
      <c r="G19" s="14">
        <f t="shared" si="0"/>
        <v>82212.87</v>
      </c>
    </row>
    <row r="20" spans="1:7" x14ac:dyDescent="0.25">
      <c r="A20" s="9" t="s">
        <v>19</v>
      </c>
      <c r="B20" s="10">
        <v>45684</v>
      </c>
      <c r="C20" s="9" t="s">
        <v>46</v>
      </c>
      <c r="D20" s="11"/>
      <c r="E20" s="12">
        <v>9975</v>
      </c>
      <c r="F20" s="13">
        <v>72237.87</v>
      </c>
      <c r="G20" s="14">
        <f t="shared" si="0"/>
        <v>72237.87</v>
      </c>
    </row>
    <row r="21" spans="1:7" x14ac:dyDescent="0.25">
      <c r="A21" s="9" t="s">
        <v>19</v>
      </c>
      <c r="B21" s="10">
        <v>45685</v>
      </c>
      <c r="C21" s="9" t="s">
        <v>22</v>
      </c>
      <c r="D21" s="11">
        <v>26</v>
      </c>
      <c r="E21" s="12"/>
      <c r="F21" s="13"/>
      <c r="G21" s="14">
        <f t="shared" si="0"/>
        <v>72263.87</v>
      </c>
    </row>
    <row r="22" spans="1:7" x14ac:dyDescent="0.25">
      <c r="A22" s="9" t="s">
        <v>19</v>
      </c>
      <c r="B22" s="10">
        <v>45685</v>
      </c>
      <c r="C22" s="9" t="s">
        <v>23</v>
      </c>
      <c r="D22" s="11"/>
      <c r="E22" s="12">
        <v>19013</v>
      </c>
      <c r="F22" s="13"/>
      <c r="G22" s="14">
        <f t="shared" si="0"/>
        <v>53250.869999999995</v>
      </c>
    </row>
    <row r="23" spans="1:7" x14ac:dyDescent="0.25">
      <c r="A23" s="9" t="s">
        <v>19</v>
      </c>
      <c r="B23" s="10">
        <v>45685</v>
      </c>
      <c r="C23" s="9" t="s">
        <v>23</v>
      </c>
      <c r="D23" s="11"/>
      <c r="E23" s="12">
        <v>21310</v>
      </c>
      <c r="F23" s="13">
        <v>31940.87</v>
      </c>
      <c r="G23" s="14">
        <f t="shared" si="0"/>
        <v>31940.869999999995</v>
      </c>
    </row>
    <row r="24" spans="1:7" x14ac:dyDescent="0.25">
      <c r="A24" s="9" t="s">
        <v>19</v>
      </c>
      <c r="B24" s="10">
        <v>45691</v>
      </c>
      <c r="C24" s="9" t="s">
        <v>24</v>
      </c>
      <c r="D24" s="11"/>
      <c r="E24" s="12">
        <v>0.5</v>
      </c>
      <c r="F24" s="13"/>
      <c r="G24" s="14">
        <f t="shared" si="0"/>
        <v>31940.369999999995</v>
      </c>
    </row>
    <row r="25" spans="1:7" x14ac:dyDescent="0.25">
      <c r="A25" s="9" t="s">
        <v>19</v>
      </c>
      <c r="B25" s="10">
        <v>45691</v>
      </c>
      <c r="C25" s="9" t="s">
        <v>25</v>
      </c>
      <c r="D25" s="11"/>
      <c r="E25" s="12">
        <v>1.5</v>
      </c>
      <c r="F25" s="13"/>
      <c r="G25" s="14">
        <f t="shared" si="0"/>
        <v>31938.869999999995</v>
      </c>
    </row>
    <row r="26" spans="1:7" x14ac:dyDescent="0.25">
      <c r="A26" s="9" t="s">
        <v>19</v>
      </c>
      <c r="B26" s="10">
        <v>45691</v>
      </c>
      <c r="C26" s="9" t="s">
        <v>47</v>
      </c>
      <c r="D26" s="11">
        <v>3500</v>
      </c>
      <c r="E26" s="12"/>
      <c r="F26" s="13">
        <v>35438.870000000003</v>
      </c>
      <c r="G26" s="14">
        <f t="shared" si="0"/>
        <v>35438.869999999995</v>
      </c>
    </row>
    <row r="27" spans="1:7" x14ac:dyDescent="0.25">
      <c r="A27" s="9" t="s">
        <v>19</v>
      </c>
      <c r="B27" s="10">
        <v>45692</v>
      </c>
      <c r="C27" s="9" t="s">
        <v>23</v>
      </c>
      <c r="D27" s="11"/>
      <c r="E27" s="12">
        <v>1785</v>
      </c>
      <c r="F27" s="13"/>
      <c r="G27" s="14">
        <f t="shared" si="0"/>
        <v>33653.869999999995</v>
      </c>
    </row>
    <row r="28" spans="1:7" x14ac:dyDescent="0.25">
      <c r="A28" s="9" t="s">
        <v>19</v>
      </c>
      <c r="B28" s="10">
        <v>45692</v>
      </c>
      <c r="C28" s="9" t="s">
        <v>23</v>
      </c>
      <c r="D28" s="11"/>
      <c r="E28" s="12">
        <v>4185</v>
      </c>
      <c r="F28" s="13">
        <v>29468.87</v>
      </c>
      <c r="G28" s="14">
        <f t="shared" si="0"/>
        <v>29468.869999999995</v>
      </c>
    </row>
    <row r="29" spans="1:7" x14ac:dyDescent="0.25">
      <c r="A29" s="9" t="s">
        <v>19</v>
      </c>
      <c r="B29" s="10">
        <v>45693</v>
      </c>
      <c r="C29" s="9" t="s">
        <v>24</v>
      </c>
      <c r="D29" s="11"/>
      <c r="E29" s="12">
        <v>0.5</v>
      </c>
      <c r="F29" s="13"/>
      <c r="G29" s="14">
        <f t="shared" si="0"/>
        <v>29468.369999999995</v>
      </c>
    </row>
    <row r="30" spans="1:7" x14ac:dyDescent="0.25">
      <c r="A30" s="9" t="s">
        <v>19</v>
      </c>
      <c r="B30" s="10">
        <v>45693</v>
      </c>
      <c r="C30" s="9" t="s">
        <v>25</v>
      </c>
      <c r="D30" s="11"/>
      <c r="E30" s="12">
        <v>2</v>
      </c>
      <c r="F30" s="13">
        <v>29466.37</v>
      </c>
      <c r="G30" s="14">
        <f t="shared" si="0"/>
        <v>29466.369999999995</v>
      </c>
    </row>
    <row r="31" spans="1:7" x14ac:dyDescent="0.25">
      <c r="A31" s="9" t="s">
        <v>19</v>
      </c>
      <c r="B31" s="10">
        <v>45694</v>
      </c>
      <c r="C31" s="9" t="s">
        <v>48</v>
      </c>
      <c r="D31" s="11"/>
      <c r="E31" s="12">
        <v>7624.49</v>
      </c>
      <c r="F31" s="13"/>
      <c r="G31" s="14">
        <f t="shared" si="0"/>
        <v>21841.879999999997</v>
      </c>
    </row>
    <row r="32" spans="1:7" x14ac:dyDescent="0.25">
      <c r="A32" s="9" t="s">
        <v>19</v>
      </c>
      <c r="B32" s="10">
        <v>45694</v>
      </c>
      <c r="C32" s="9" t="s">
        <v>49</v>
      </c>
      <c r="D32" s="11">
        <v>940000</v>
      </c>
      <c r="E32" s="12"/>
      <c r="F32" s="13"/>
      <c r="G32" s="14">
        <f t="shared" si="0"/>
        <v>961841.88</v>
      </c>
    </row>
    <row r="33" spans="1:7" x14ac:dyDescent="0.25">
      <c r="A33" s="9" t="s">
        <v>19</v>
      </c>
      <c r="B33" s="10">
        <v>45694</v>
      </c>
      <c r="C33" s="9" t="s">
        <v>50</v>
      </c>
      <c r="D33" s="11"/>
      <c r="E33" s="12">
        <v>23500</v>
      </c>
      <c r="F33" s="13">
        <v>938341.88</v>
      </c>
      <c r="G33" s="14">
        <f t="shared" si="0"/>
        <v>938341.88</v>
      </c>
    </row>
    <row r="34" spans="1:7" x14ac:dyDescent="0.25">
      <c r="A34" s="9" t="s">
        <v>19</v>
      </c>
      <c r="B34" s="10">
        <v>45695</v>
      </c>
      <c r="C34" s="9" t="s">
        <v>51</v>
      </c>
      <c r="D34" s="11"/>
      <c r="E34" s="12">
        <v>250</v>
      </c>
      <c r="F34" s="13"/>
      <c r="G34" s="14">
        <f t="shared" si="0"/>
        <v>938091.88</v>
      </c>
    </row>
    <row r="35" spans="1:7" x14ac:dyDescent="0.25">
      <c r="A35" s="9" t="s">
        <v>19</v>
      </c>
      <c r="B35" s="10">
        <v>45695</v>
      </c>
      <c r="C35" s="9" t="s">
        <v>52</v>
      </c>
      <c r="D35" s="11">
        <v>4000</v>
      </c>
      <c r="E35" s="12"/>
      <c r="F35" s="13">
        <v>942091.88</v>
      </c>
      <c r="G35" s="14">
        <f t="shared" si="0"/>
        <v>942091.88</v>
      </c>
    </row>
    <row r="36" spans="1:7" x14ac:dyDescent="0.25">
      <c r="A36" s="9" t="s">
        <v>19</v>
      </c>
      <c r="B36" s="10">
        <v>45706</v>
      </c>
      <c r="C36" s="9" t="s">
        <v>53</v>
      </c>
      <c r="D36" s="11"/>
      <c r="E36" s="12">
        <v>619.38</v>
      </c>
      <c r="F36" s="13"/>
      <c r="G36" s="14">
        <f t="shared" si="0"/>
        <v>941472.5</v>
      </c>
    </row>
    <row r="37" spans="1:7" x14ac:dyDescent="0.25">
      <c r="A37" s="9" t="s">
        <v>19</v>
      </c>
      <c r="B37" s="10">
        <v>45706</v>
      </c>
      <c r="C37" s="9" t="s">
        <v>54</v>
      </c>
      <c r="D37" s="11"/>
      <c r="E37" s="12">
        <v>138.62</v>
      </c>
      <c r="F37" s="13"/>
      <c r="G37" s="14">
        <f t="shared" si="0"/>
        <v>941333.88</v>
      </c>
    </row>
    <row r="38" spans="1:7" x14ac:dyDescent="0.25">
      <c r="A38" s="9" t="s">
        <v>19</v>
      </c>
      <c r="B38" s="10">
        <v>45706</v>
      </c>
      <c r="C38" s="9" t="s">
        <v>55</v>
      </c>
      <c r="D38" s="11">
        <v>3600</v>
      </c>
      <c r="E38" s="12"/>
      <c r="F38" s="13">
        <v>944933.88</v>
      </c>
      <c r="G38" s="14">
        <f t="shared" si="0"/>
        <v>944933.88</v>
      </c>
    </row>
    <row r="39" spans="1:7" x14ac:dyDescent="0.25">
      <c r="A39" s="9" t="s">
        <v>19</v>
      </c>
      <c r="B39" s="10">
        <v>45713</v>
      </c>
      <c r="C39" s="9" t="s">
        <v>59</v>
      </c>
      <c r="D39" s="11"/>
      <c r="E39" s="12">
        <v>9975</v>
      </c>
      <c r="F39" s="13">
        <v>934958.88</v>
      </c>
      <c r="G39" s="14">
        <f t="shared" si="0"/>
        <v>934958.88</v>
      </c>
    </row>
    <row r="40" spans="1:7" x14ac:dyDescent="0.25">
      <c r="A40" s="9" t="s">
        <v>19</v>
      </c>
      <c r="B40" s="10">
        <v>45716</v>
      </c>
      <c r="C40" s="9" t="s">
        <v>22</v>
      </c>
      <c r="D40" s="11">
        <v>143.88999999999999</v>
      </c>
      <c r="E40" s="12"/>
      <c r="F40" s="13"/>
      <c r="G40" s="14">
        <f t="shared" si="0"/>
        <v>935102.77</v>
      </c>
    </row>
    <row r="41" spans="1:7" x14ac:dyDescent="0.25">
      <c r="A41" s="9" t="s">
        <v>19</v>
      </c>
      <c r="B41" s="10">
        <v>45716</v>
      </c>
      <c r="C41" s="9" t="s">
        <v>60</v>
      </c>
      <c r="D41" s="11">
        <v>1200</v>
      </c>
      <c r="E41" s="12"/>
      <c r="F41" s="13">
        <v>936302.77</v>
      </c>
      <c r="G41" s="14">
        <f t="shared" si="0"/>
        <v>936302.77</v>
      </c>
    </row>
    <row r="42" spans="1:7" x14ac:dyDescent="0.25">
      <c r="A42" s="9" t="s">
        <v>19</v>
      </c>
      <c r="B42" s="10">
        <v>45721</v>
      </c>
      <c r="C42" s="9" t="s">
        <v>61</v>
      </c>
      <c r="D42" s="11"/>
      <c r="E42" s="12">
        <v>6280</v>
      </c>
      <c r="F42" s="13"/>
      <c r="G42" s="14">
        <f t="shared" si="0"/>
        <v>930022.77</v>
      </c>
    </row>
    <row r="43" spans="1:7" x14ac:dyDescent="0.25">
      <c r="A43" s="9" t="s">
        <v>19</v>
      </c>
      <c r="B43" s="10">
        <v>45721</v>
      </c>
      <c r="C43" s="9" t="s">
        <v>23</v>
      </c>
      <c r="D43" s="11"/>
      <c r="E43" s="12">
        <v>18657.5</v>
      </c>
      <c r="F43" s="13"/>
      <c r="G43" s="14">
        <f t="shared" si="0"/>
        <v>911365.27</v>
      </c>
    </row>
    <row r="44" spans="1:7" x14ac:dyDescent="0.25">
      <c r="A44" s="9" t="s">
        <v>19</v>
      </c>
      <c r="B44" s="10">
        <v>45721</v>
      </c>
      <c r="C44" s="9" t="s">
        <v>23</v>
      </c>
      <c r="D44" s="11"/>
      <c r="E44" s="12">
        <v>18885</v>
      </c>
      <c r="F44" s="13">
        <v>892480.27</v>
      </c>
      <c r="G44" s="14">
        <f t="shared" si="0"/>
        <v>892480.27</v>
      </c>
    </row>
    <row r="45" spans="1:7" x14ac:dyDescent="0.25">
      <c r="A45" s="9" t="s">
        <v>19</v>
      </c>
      <c r="B45" s="10">
        <v>45722</v>
      </c>
      <c r="C45" s="9" t="s">
        <v>24</v>
      </c>
      <c r="D45" s="11"/>
      <c r="E45" s="12">
        <v>1</v>
      </c>
      <c r="F45" s="13"/>
      <c r="G45" s="14">
        <f t="shared" si="0"/>
        <v>892479.27</v>
      </c>
    </row>
    <row r="46" spans="1:7" x14ac:dyDescent="0.25">
      <c r="A46" s="9" t="s">
        <v>19</v>
      </c>
      <c r="B46" s="10">
        <v>45722</v>
      </c>
      <c r="C46" s="9" t="s">
        <v>25</v>
      </c>
      <c r="D46" s="11"/>
      <c r="E46" s="12">
        <v>3.5</v>
      </c>
      <c r="F46" s="13"/>
      <c r="G46" s="14">
        <f t="shared" si="0"/>
        <v>892475.77</v>
      </c>
    </row>
    <row r="47" spans="1:7" x14ac:dyDescent="0.25">
      <c r="A47" s="9" t="s">
        <v>19</v>
      </c>
      <c r="B47" s="10">
        <v>45722</v>
      </c>
      <c r="C47" s="9" t="s">
        <v>62</v>
      </c>
      <c r="D47" s="11"/>
      <c r="E47" s="12">
        <v>2350</v>
      </c>
      <c r="F47" s="13"/>
      <c r="G47" s="14">
        <f t="shared" si="0"/>
        <v>890125.77</v>
      </c>
    </row>
    <row r="48" spans="1:7" x14ac:dyDescent="0.25">
      <c r="A48" s="9" t="s">
        <v>19</v>
      </c>
      <c r="B48" s="10">
        <v>45722</v>
      </c>
      <c r="C48" s="9" t="s">
        <v>23</v>
      </c>
      <c r="D48" s="11"/>
      <c r="E48" s="12">
        <v>38619</v>
      </c>
      <c r="F48" s="13"/>
      <c r="G48" s="14">
        <f t="shared" si="0"/>
        <v>851506.77</v>
      </c>
    </row>
    <row r="49" spans="1:7" x14ac:dyDescent="0.25">
      <c r="A49" s="9" t="s">
        <v>19</v>
      </c>
      <c r="B49" s="10">
        <v>45722</v>
      </c>
      <c r="C49" s="9" t="s">
        <v>63</v>
      </c>
      <c r="D49" s="11"/>
      <c r="E49" s="12">
        <v>1563.8</v>
      </c>
      <c r="F49" s="13">
        <v>849942.97</v>
      </c>
      <c r="G49" s="14">
        <f t="shared" si="0"/>
        <v>849942.97</v>
      </c>
    </row>
    <row r="50" spans="1:7" x14ac:dyDescent="0.25">
      <c r="A50" s="9" t="s">
        <v>19</v>
      </c>
      <c r="B50" s="10">
        <v>45723</v>
      </c>
      <c r="C50" s="9" t="s">
        <v>24</v>
      </c>
      <c r="D50" s="11"/>
      <c r="E50" s="12">
        <v>0.5</v>
      </c>
      <c r="F50" s="13"/>
      <c r="G50" s="14">
        <f t="shared" si="0"/>
        <v>849942.47</v>
      </c>
    </row>
    <row r="51" spans="1:7" x14ac:dyDescent="0.25">
      <c r="A51" s="9" t="s">
        <v>19</v>
      </c>
      <c r="B51" s="10">
        <v>45723</v>
      </c>
      <c r="C51" s="9" t="s">
        <v>64</v>
      </c>
      <c r="D51" s="11">
        <v>4000</v>
      </c>
      <c r="E51" s="12"/>
      <c r="F51" s="13">
        <v>853942.47</v>
      </c>
      <c r="G51" s="14">
        <f t="shared" si="0"/>
        <v>853942.47</v>
      </c>
    </row>
    <row r="52" spans="1:7" x14ac:dyDescent="0.25">
      <c r="A52" s="9" t="s">
        <v>19</v>
      </c>
      <c r="B52" s="10">
        <v>45727</v>
      </c>
      <c r="C52" s="9" t="s">
        <v>65</v>
      </c>
      <c r="D52" s="11"/>
      <c r="E52" s="12">
        <v>300000</v>
      </c>
      <c r="F52" s="13">
        <v>553942.47</v>
      </c>
      <c r="G52" s="14">
        <f t="shared" si="0"/>
        <v>553942.47</v>
      </c>
    </row>
    <row r="53" spans="1:7" x14ac:dyDescent="0.25">
      <c r="A53" s="9" t="s">
        <v>19</v>
      </c>
      <c r="B53" s="10">
        <v>45730</v>
      </c>
      <c r="C53" s="9" t="s">
        <v>66</v>
      </c>
      <c r="D53" s="11">
        <v>10800</v>
      </c>
      <c r="E53" s="12"/>
      <c r="F53" s="13"/>
      <c r="G53" s="14">
        <f t="shared" si="0"/>
        <v>564742.47</v>
      </c>
    </row>
    <row r="54" spans="1:7" x14ac:dyDescent="0.25">
      <c r="A54" s="9" t="s">
        <v>19</v>
      </c>
      <c r="B54" s="10">
        <v>45730</v>
      </c>
      <c r="C54" s="9" t="s">
        <v>67</v>
      </c>
      <c r="D54" s="11"/>
      <c r="E54" s="12">
        <v>141270</v>
      </c>
      <c r="F54" s="13">
        <v>423472.47</v>
      </c>
      <c r="G54" s="14">
        <f t="shared" si="0"/>
        <v>423472.47</v>
      </c>
    </row>
    <row r="55" spans="1:7" x14ac:dyDescent="0.25">
      <c r="A55" s="9" t="s">
        <v>19</v>
      </c>
      <c r="B55" s="10">
        <v>45744</v>
      </c>
      <c r="C55" s="9" t="s">
        <v>22</v>
      </c>
      <c r="D55" s="11">
        <v>119.4</v>
      </c>
      <c r="E55" s="12"/>
      <c r="F55" s="13">
        <v>423591.87</v>
      </c>
      <c r="G55" s="14">
        <f t="shared" si="0"/>
        <v>423591.87</v>
      </c>
    </row>
    <row r="56" spans="1:7" x14ac:dyDescent="0.25">
      <c r="A56" s="9" t="s">
        <v>19</v>
      </c>
      <c r="B56" s="10">
        <v>45747</v>
      </c>
      <c r="C56" s="9" t="s">
        <v>69</v>
      </c>
      <c r="D56" s="11"/>
      <c r="E56" s="12">
        <v>5</v>
      </c>
      <c r="F56" s="13"/>
      <c r="G56" s="14">
        <f t="shared" si="0"/>
        <v>423586.87</v>
      </c>
    </row>
    <row r="57" spans="1:7" x14ac:dyDescent="0.25">
      <c r="A57" s="9" t="s">
        <v>19</v>
      </c>
      <c r="B57" s="10">
        <v>45747</v>
      </c>
      <c r="C57" s="9" t="s">
        <v>70</v>
      </c>
      <c r="D57" s="11"/>
      <c r="E57" s="12">
        <v>4300</v>
      </c>
      <c r="F57" s="13">
        <v>419286.87</v>
      </c>
      <c r="G57" s="14">
        <f t="shared" si="0"/>
        <v>419286.87</v>
      </c>
    </row>
    <row r="58" spans="1:7" x14ac:dyDescent="0.25">
      <c r="A58" s="9" t="s">
        <v>19</v>
      </c>
      <c r="B58" s="10">
        <v>45750</v>
      </c>
      <c r="C58" s="9" t="s">
        <v>71</v>
      </c>
      <c r="D58" s="11"/>
      <c r="E58" s="12">
        <v>5980</v>
      </c>
      <c r="F58" s="13"/>
      <c r="G58" s="14">
        <f t="shared" si="0"/>
        <v>413306.87</v>
      </c>
    </row>
    <row r="59" spans="1:7" x14ac:dyDescent="0.25">
      <c r="A59" s="9" t="s">
        <v>19</v>
      </c>
      <c r="B59" s="10">
        <v>45750</v>
      </c>
      <c r="C59" s="9" t="s">
        <v>23</v>
      </c>
      <c r="D59" s="11"/>
      <c r="E59" s="12">
        <v>43500</v>
      </c>
      <c r="F59" s="13"/>
      <c r="G59" s="14">
        <f t="shared" si="0"/>
        <v>369806.87</v>
      </c>
    </row>
    <row r="60" spans="1:7" x14ac:dyDescent="0.25">
      <c r="A60" s="9" t="s">
        <v>19</v>
      </c>
      <c r="B60" s="10">
        <v>45750</v>
      </c>
      <c r="C60" s="9" t="s">
        <v>23</v>
      </c>
      <c r="D60" s="11"/>
      <c r="E60" s="12">
        <v>53365</v>
      </c>
      <c r="F60" s="13">
        <v>316441.87</v>
      </c>
      <c r="G60" s="14">
        <f t="shared" si="0"/>
        <v>316441.87</v>
      </c>
    </row>
    <row r="61" spans="1:7" x14ac:dyDescent="0.25">
      <c r="A61" s="9" t="s">
        <v>19</v>
      </c>
      <c r="B61" s="10">
        <v>45754</v>
      </c>
      <c r="C61" s="9" t="s">
        <v>24</v>
      </c>
      <c r="D61" s="11"/>
      <c r="E61" s="12">
        <v>1</v>
      </c>
      <c r="F61" s="13"/>
      <c r="G61" s="14">
        <f t="shared" si="0"/>
        <v>316440.87</v>
      </c>
    </row>
    <row r="62" spans="1:7" x14ac:dyDescent="0.25">
      <c r="A62" s="9" t="s">
        <v>19</v>
      </c>
      <c r="B62" s="10">
        <v>45754</v>
      </c>
      <c r="C62" s="9" t="s">
        <v>25</v>
      </c>
      <c r="D62" s="11"/>
      <c r="E62" s="12">
        <v>5.5</v>
      </c>
      <c r="F62" s="13"/>
      <c r="G62" s="14">
        <f t="shared" si="0"/>
        <v>316435.37</v>
      </c>
    </row>
    <row r="63" spans="1:7" x14ac:dyDescent="0.25">
      <c r="A63" s="9" t="s">
        <v>19</v>
      </c>
      <c r="B63" s="10">
        <v>45754</v>
      </c>
      <c r="C63" s="9" t="s">
        <v>62</v>
      </c>
      <c r="D63" s="11"/>
      <c r="E63" s="12">
        <v>2350</v>
      </c>
      <c r="F63" s="13">
        <v>314085.37</v>
      </c>
      <c r="G63" s="14">
        <f t="shared" si="0"/>
        <v>314085.37</v>
      </c>
    </row>
    <row r="64" spans="1:7" x14ac:dyDescent="0.25">
      <c r="A64" s="9" t="s">
        <v>19</v>
      </c>
      <c r="B64" s="10">
        <v>45755</v>
      </c>
      <c r="C64" s="9" t="s">
        <v>23</v>
      </c>
      <c r="D64" s="11"/>
      <c r="E64" s="12">
        <v>297.5</v>
      </c>
      <c r="F64" s="13">
        <v>313787.87</v>
      </c>
      <c r="G64" s="14">
        <f t="shared" si="0"/>
        <v>313787.87</v>
      </c>
    </row>
    <row r="65" spans="1:7" x14ac:dyDescent="0.25">
      <c r="A65" s="9" t="s">
        <v>19</v>
      </c>
      <c r="B65" s="10">
        <v>45756</v>
      </c>
      <c r="C65" s="9" t="s">
        <v>25</v>
      </c>
      <c r="D65" s="11"/>
      <c r="E65" s="12">
        <v>2.5</v>
      </c>
      <c r="F65" s="13">
        <v>313785.37</v>
      </c>
      <c r="G65" s="14">
        <f t="shared" si="0"/>
        <v>313785.37</v>
      </c>
    </row>
    <row r="66" spans="1:7" x14ac:dyDescent="0.25">
      <c r="A66" s="9" t="s">
        <v>19</v>
      </c>
      <c r="B66" s="10">
        <v>45761</v>
      </c>
      <c r="C66" s="9" t="s">
        <v>72</v>
      </c>
      <c r="D66" s="11">
        <v>14900</v>
      </c>
      <c r="E66" s="12"/>
      <c r="F66" s="13"/>
      <c r="G66" s="14">
        <f t="shared" si="0"/>
        <v>328685.37</v>
      </c>
    </row>
    <row r="67" spans="1:7" x14ac:dyDescent="0.25">
      <c r="A67" s="9" t="s">
        <v>19</v>
      </c>
      <c r="B67" s="10">
        <v>45761</v>
      </c>
      <c r="C67" s="9" t="s">
        <v>73</v>
      </c>
      <c r="D67" s="11">
        <v>14845</v>
      </c>
      <c r="E67" s="12"/>
      <c r="F67" s="13">
        <v>343530.37</v>
      </c>
      <c r="G67" s="14">
        <f t="shared" ref="G67:G68" si="1">IF(AND(D67="",E67=""),F67,G66+IF(D67="",0,D67)-IF(E67="",0,E67))</f>
        <v>343530.37</v>
      </c>
    </row>
    <row r="68" spans="1:7" x14ac:dyDescent="0.25">
      <c r="A68" s="9" t="s">
        <v>19</v>
      </c>
      <c r="B68" s="10">
        <v>45762</v>
      </c>
      <c r="C68" s="9" t="s">
        <v>74</v>
      </c>
      <c r="D68" s="11">
        <v>4000</v>
      </c>
      <c r="E68" s="12"/>
      <c r="F68" s="13">
        <v>347530.37</v>
      </c>
      <c r="G68" s="14">
        <f t="shared" si="1"/>
        <v>347530.37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HSBC HKD Current Account</vt:lpstr>
      <vt:lpstr>HSBC HKD Savings 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 Mak</cp:lastModifiedBy>
  <dcterms:created xsi:type="dcterms:W3CDTF">2026-06-23T02:02:31Z</dcterms:created>
  <dcterms:modified xsi:type="dcterms:W3CDTF">2026-06-23T02:34:52Z</dcterms:modified>
</cp:coreProperties>
</file>