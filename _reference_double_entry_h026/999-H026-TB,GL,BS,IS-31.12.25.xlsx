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\Desktop\"/>
    </mc:Choice>
  </mc:AlternateContent>
  <xr:revisionPtr revIDLastSave="0" documentId="13_ncr:1_{9E6A65D6-3898-4EF3-8D5C-9356950AC9F2}" xr6:coauthVersionLast="47" xr6:coauthVersionMax="47" xr10:uidLastSave="{00000000-0000-0000-0000-000000000000}"/>
  <bookViews>
    <workbookView xWindow="28680" yWindow="-2745" windowWidth="29040" windowHeight="15720" activeTab="3" xr2:uid="{FF5FB725-ACFB-41C3-B915-367A2B434DB8}"/>
  </bookViews>
  <sheets>
    <sheet name="TB-31.12.25" sheetId="1" r:id="rId1"/>
    <sheet name="GL-31.12.25" sheetId="2" r:id="rId2"/>
    <sheet name="BS-31.12.25" sheetId="3" r:id="rId3"/>
    <sheet name="IS-31.12.25" sheetId="4" r:id="rId4"/>
  </sheets>
  <definedNames>
    <definedName name="_xlnm.Print_Titles" localSheetId="2">'BS-31.12.25'!$1:$1</definedName>
    <definedName name="_xlnm.Print_Titles" localSheetId="1">'GL-31.12.25'!$1:$1</definedName>
    <definedName name="_xlnm.Print_Titles" localSheetId="3">'IS-31.12.25'!$1:$1</definedName>
    <definedName name="_xlnm.Print_Titles" localSheetId="0">'TB-31.12.25'!$1:$1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4" l="1"/>
  <c r="D26" i="4"/>
  <c r="C26" i="4"/>
  <c r="B26" i="4"/>
  <c r="E24" i="4"/>
  <c r="D24" i="4"/>
  <c r="C24" i="4"/>
  <c r="B24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3" i="4"/>
  <c r="D13" i="4"/>
  <c r="C13" i="4"/>
  <c r="B13" i="4"/>
  <c r="E11" i="4"/>
  <c r="D11" i="4"/>
  <c r="C11" i="4"/>
  <c r="B11" i="4"/>
  <c r="E6" i="4"/>
  <c r="D6" i="4"/>
  <c r="C6" i="4"/>
  <c r="B6" i="4"/>
  <c r="E4" i="4"/>
  <c r="C4" i="4"/>
  <c r="E3" i="4"/>
  <c r="C3" i="4"/>
  <c r="C44" i="3"/>
  <c r="C42" i="3"/>
  <c r="C35" i="3"/>
  <c r="C33" i="3"/>
  <c r="C29" i="3"/>
  <c r="C19" i="3"/>
  <c r="C17" i="3"/>
  <c r="C13" i="3"/>
  <c r="C9" i="3"/>
  <c r="I108" i="2"/>
  <c r="I107" i="2"/>
  <c r="I104" i="2"/>
  <c r="I103" i="2"/>
  <c r="I100" i="2"/>
  <c r="I99" i="2"/>
  <c r="I96" i="2"/>
  <c r="I95" i="2"/>
  <c r="I92" i="2"/>
  <c r="I91" i="2"/>
  <c r="I82" i="2"/>
  <c r="I81" i="2"/>
  <c r="I78" i="2"/>
  <c r="I77" i="2"/>
  <c r="I74" i="2"/>
  <c r="I73" i="2"/>
  <c r="I63" i="2"/>
  <c r="I62" i="2"/>
  <c r="I59" i="2"/>
  <c r="I57" i="2"/>
  <c r="I55" i="2"/>
  <c r="I51" i="2"/>
  <c r="I50" i="2"/>
  <c r="I45" i="2"/>
  <c r="I44" i="2"/>
  <c r="I39" i="2"/>
  <c r="I35" i="2"/>
  <c r="I34" i="2"/>
  <c r="I25" i="2"/>
  <c r="I24" i="2"/>
  <c r="I8" i="2"/>
  <c r="I7" i="2"/>
  <c r="D19" i="1"/>
  <c r="C19" i="1"/>
</calcChain>
</file>

<file path=xl/sharedStrings.xml><?xml version="1.0" encoding="utf-8"?>
<sst xmlns="http://schemas.openxmlformats.org/spreadsheetml/2006/main" count="699" uniqueCount="132">
  <si>
    <t>Account ID</t>
  </si>
  <si>
    <t>Account Description</t>
  </si>
  <si>
    <t>Debit Amt</t>
  </si>
  <si>
    <t>Credit Amt</t>
  </si>
  <si>
    <t>1010</t>
  </si>
  <si>
    <t>HSB USD SA</t>
  </si>
  <si>
    <t>1020</t>
  </si>
  <si>
    <t>HSBC HKD SA</t>
  </si>
  <si>
    <t>1030</t>
  </si>
  <si>
    <t>HSBC HKD CA</t>
  </si>
  <si>
    <t>2200</t>
  </si>
  <si>
    <t>Accruals</t>
  </si>
  <si>
    <t>2400</t>
  </si>
  <si>
    <t>Director's C/A</t>
  </si>
  <si>
    <t>3910</t>
  </si>
  <si>
    <t>Retained Earnings</t>
  </si>
  <si>
    <t>3920</t>
  </si>
  <si>
    <t>Share capital</t>
  </si>
  <si>
    <t>4000</t>
  </si>
  <si>
    <t>Sales</t>
  </si>
  <si>
    <t>4100</t>
  </si>
  <si>
    <t>Bank interest income</t>
  </si>
  <si>
    <t>6000</t>
  </si>
  <si>
    <t>Accounting fee</t>
  </si>
  <si>
    <t>6100</t>
  </si>
  <si>
    <t>Auditor's remuneration</t>
  </si>
  <si>
    <t>6200</t>
  </si>
  <si>
    <t>Bank charges</t>
  </si>
  <si>
    <t>6250</t>
  </si>
  <si>
    <t>Business registration fee</t>
  </si>
  <si>
    <t>6300</t>
  </si>
  <si>
    <t>Company secretarial fee</t>
  </si>
  <si>
    <t>6580</t>
  </si>
  <si>
    <t>Exchange losses/(gains), net</t>
  </si>
  <si>
    <t>9000</t>
  </si>
  <si>
    <t>Income tax expenses</t>
  </si>
  <si>
    <t/>
  </si>
  <si>
    <t>Total:</t>
  </si>
  <si>
    <t>Date</t>
  </si>
  <si>
    <t>Reference</t>
  </si>
  <si>
    <t>Jrnl</t>
  </si>
  <si>
    <t>Trans Description</t>
  </si>
  <si>
    <t>Balance</t>
  </si>
  <si>
    <t>Beginning Balance</t>
  </si>
  <si>
    <t>28/6/25</t>
  </si>
  <si>
    <t>HSBC USD SA-2501-001</t>
  </si>
  <si>
    <t>GENJ</t>
  </si>
  <si>
    <t>CREDIT INTEREST:</t>
  </si>
  <si>
    <t>HSBC USD SA-2501-002</t>
  </si>
  <si>
    <t>121-891824-838:</t>
  </si>
  <si>
    <t>HSBC USD SA-2501-003</t>
  </si>
  <si>
    <t>DEPOSIT:</t>
  </si>
  <si>
    <t>31/12/25</t>
  </si>
  <si>
    <t>HSBC USD SA-2501-004</t>
  </si>
  <si>
    <t>Change</t>
  </si>
  <si>
    <t>Ending Balance</t>
  </si>
  <si>
    <t>28/2/25</t>
  </si>
  <si>
    <t>HSBC HKD SA-2501-001</t>
  </si>
  <si>
    <t>Bank interest income:CREDIT INTEREST</t>
  </si>
  <si>
    <t>13/5/25</t>
  </si>
  <si>
    <t>HSBC HKD SA-2501-002</t>
  </si>
  <si>
    <t>Bank charges:CHG FOR AUDIT CONF O</t>
  </si>
  <si>
    <t>30/5/25</t>
  </si>
  <si>
    <t>HSBC HKD SA-2501-003</t>
  </si>
  <si>
    <t>Bank charges:ACCT MAINT FEE</t>
  </si>
  <si>
    <t>HSBC HKD SA-2501-004</t>
  </si>
  <si>
    <t>HSBC HKD SA-2501-005</t>
  </si>
  <si>
    <t>Interbank:FROM HESEN (HK) TDG</t>
  </si>
  <si>
    <t>Exchange losses/(gains), net:FROM HESEN (HK) TDG</t>
  </si>
  <si>
    <t>HSBC HKD SA-2501-006</t>
  </si>
  <si>
    <t>Director's C/A:ATM WITHDRAWAL</t>
  </si>
  <si>
    <t>23/7/25</t>
  </si>
  <si>
    <t>HSBC HKD SA-2501-007</t>
  </si>
  <si>
    <t>Bank charges:175-220185-833</t>
  </si>
  <si>
    <t>28/7/25</t>
  </si>
  <si>
    <t>HSBC HKD SA-2501-008</t>
  </si>
  <si>
    <t>28/8/25</t>
  </si>
  <si>
    <t>HSBC HKD SA-2501-009</t>
  </si>
  <si>
    <t>27/9/25</t>
  </si>
  <si>
    <t>HSBC HKD SA-2501-010</t>
  </si>
  <si>
    <t>27/10/25</t>
  </si>
  <si>
    <t>HSBC HKD SA-2501-011</t>
  </si>
  <si>
    <t>28/10/25</t>
  </si>
  <si>
    <t>HSBC HKD SA-2501-012</t>
  </si>
  <si>
    <t>HSBC HKD SA-2502-001</t>
  </si>
  <si>
    <t>HSBC HKD CA-2501-001</t>
  </si>
  <si>
    <t>Bank charges:CHARGES</t>
  </si>
  <si>
    <t>HSBC HKD CA-2501-002</t>
  </si>
  <si>
    <t>Accruals:DENNIS MAK CPA LIMITED</t>
  </si>
  <si>
    <t>HSBC HKD CA-2501-003</t>
  </si>
  <si>
    <t>HSBC HKD CA-2501-004</t>
  </si>
  <si>
    <t>Accruals:DM SECRETARY LIMITED</t>
  </si>
  <si>
    <t>HSBC HKD CA-2501-005</t>
  </si>
  <si>
    <t>Company secretarial fee:DM SECRETARY LIMITED</t>
  </si>
  <si>
    <t>Business registration fee:DM SECRETARY LIMITED</t>
  </si>
  <si>
    <t>HSBC HKD CA-2501-006</t>
  </si>
  <si>
    <t>1090</t>
  </si>
  <si>
    <t>Interbank</t>
  </si>
  <si>
    <t>JV2512001</t>
  </si>
  <si>
    <t>Being provision of Accounting and audit fee for the year</t>
  </si>
  <si>
    <t>JV2512005</t>
  </si>
  <si>
    <t>Being adjustment of tax repayables for the year</t>
  </si>
  <si>
    <t>2900</t>
  </si>
  <si>
    <t>Tax payable</t>
  </si>
  <si>
    <t>Being recognized the overprovision of tax expense for the previous year</t>
  </si>
  <si>
    <t>ASSETS</t>
  </si>
  <si>
    <t>Current Assets</t>
  </si>
  <si>
    <t>Total Current Assets</t>
  </si>
  <si>
    <t>Property and Equipment</t>
  </si>
  <si>
    <t>Total Property and Equipment</t>
  </si>
  <si>
    <t>Other Assets</t>
  </si>
  <si>
    <t>Total Other Assets</t>
  </si>
  <si>
    <t>Total Assets</t>
  </si>
  <si>
    <t>LIABILITIES AND CAPITAL</t>
  </si>
  <si>
    <t>Current Liabilities</t>
  </si>
  <si>
    <t>Total Current Liabilities</t>
  </si>
  <si>
    <t>Long-Term Liabilities</t>
  </si>
  <si>
    <t>Total Long-Term Liabilities</t>
  </si>
  <si>
    <t>Total Liabilities</t>
  </si>
  <si>
    <t>Capital</t>
  </si>
  <si>
    <t>Net Income</t>
  </si>
  <si>
    <t>Total Capital</t>
  </si>
  <si>
    <t>Total Liabilities &amp; Capital</t>
  </si>
  <si>
    <t>Current Month</t>
  </si>
  <si>
    <t>Year to Date</t>
  </si>
  <si>
    <t>Revenues</t>
  </si>
  <si>
    <t>Total Revenues</t>
  </si>
  <si>
    <t>Cost of Sales</t>
  </si>
  <si>
    <t>Total Cost of Sales</t>
  </si>
  <si>
    <t>Gross Profit</t>
  </si>
  <si>
    <t>Expenses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</si>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</sst>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;\-#,##0.00;* ??"/>
    <numFmt numFmtId="177" formatCode="\$* #,##0.00;\(\$* #,##0.00\)"/>
    <numFmt numFmtId="178" formatCode="#,##0.00;\(#,##0.00\)"/>
  </numFmts>
  <fonts count="5" x14ac:knownFonts="1">
    <font>
      <sz val="12"/>
      <color theme="1"/>
      <name val="新細明體"/>
      <family val="2"/>
      <charset val="136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新細明體"/>
      <family val="2"/>
      <charset val="136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0" fontId="2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30" fontId="2" fillId="0" borderId="0" xfId="0" applyNumberFormat="1" applyFont="1" applyAlignment="1">
      <alignment horizontal="left" vertical="center"/>
    </xf>
    <xf numFmtId="30" fontId="1" fillId="0" borderId="0" xfId="0" applyNumberFormat="1" applyFont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30" fontId="2" fillId="0" borderId="4" xfId="0" applyNumberFormat="1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49" fontId="0" fillId="0" borderId="4" xfId="0" applyNumberFormat="1" applyBorder="1" applyAlignment="1">
      <alignment horizontal="left" vertical="center"/>
    </xf>
    <xf numFmtId="178" fontId="0" fillId="0" borderId="5" xfId="0" applyNumberForma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3F1F-8468-4B37-9638-3BE5E19DE743}">
  <dimension ref="A1:D20"/>
  <sheetViews>
    <sheetView workbookViewId="0">
      <pane ySplit="1" topLeftCell="A2" activePane="bottomLeft" state="frozenSplit"/>
      <selection pane="bottomLeft" activeCell="H30" sqref="H30"/>
    </sheetView>
  </sheetViews>
  <sheetFormatPr defaultRowHeight="12" x14ac:dyDescent="0.25"/>
  <cols>
    <col min="1" max="1" width="10.625" style="2" customWidth="1"/>
    <col min="2" max="2" width="19.625" style="2" customWidth="1"/>
    <col min="3" max="4" width="10.625" style="6" customWidth="1"/>
    <col min="5" max="16384" width="9" style="1"/>
  </cols>
  <sheetData>
    <row r="1" spans="1:4" s="9" customFormat="1" x14ac:dyDescent="0.25">
      <c r="A1" s="7" t="s">
        <v>0</v>
      </c>
      <c r="B1" s="7" t="s">
        <v>1</v>
      </c>
      <c r="C1" s="8" t="s">
        <v>2</v>
      </c>
      <c r="D1" s="8" t="s">
        <v>3</v>
      </c>
    </row>
    <row r="2" spans="1:4" x14ac:dyDescent="0.25">
      <c r="A2" s="2" t="s">
        <v>4</v>
      </c>
      <c r="B2" s="2" t="s">
        <v>5</v>
      </c>
      <c r="C2" s="6">
        <v>86954.46</v>
      </c>
    </row>
    <row r="3" spans="1:4" x14ac:dyDescent="0.25">
      <c r="A3" s="2" t="s">
        <v>6</v>
      </c>
      <c r="B3" s="2" t="s">
        <v>7</v>
      </c>
      <c r="C3" s="6">
        <v>583.09</v>
      </c>
    </row>
    <row r="4" spans="1:4" x14ac:dyDescent="0.25">
      <c r="A4" s="2" t="s">
        <v>8</v>
      </c>
      <c r="B4" s="2" t="s">
        <v>9</v>
      </c>
      <c r="C4" s="6">
        <v>434.38</v>
      </c>
    </row>
    <row r="5" spans="1:4" x14ac:dyDescent="0.25">
      <c r="A5" s="2" t="s">
        <v>10</v>
      </c>
      <c r="B5" s="2" t="s">
        <v>11</v>
      </c>
      <c r="D5" s="6">
        <v>10200</v>
      </c>
    </row>
    <row r="6" spans="1:4" x14ac:dyDescent="0.25">
      <c r="A6" s="2" t="s">
        <v>12</v>
      </c>
      <c r="B6" s="2" t="s">
        <v>13</v>
      </c>
      <c r="C6" s="6">
        <v>1377166.84</v>
      </c>
    </row>
    <row r="7" spans="1:4" x14ac:dyDescent="0.25">
      <c r="A7" s="2" t="s">
        <v>14</v>
      </c>
      <c r="B7" s="2" t="s">
        <v>15</v>
      </c>
      <c r="D7" s="6">
        <v>1403007.79</v>
      </c>
    </row>
    <row r="8" spans="1:4" x14ac:dyDescent="0.25">
      <c r="A8" s="2" t="s">
        <v>16</v>
      </c>
      <c r="B8" s="2" t="s">
        <v>17</v>
      </c>
      <c r="D8" s="6">
        <v>1</v>
      </c>
    </row>
    <row r="9" spans="1:4" x14ac:dyDescent="0.25">
      <c r="A9" s="2" t="s">
        <v>18</v>
      </c>
      <c r="B9" s="2" t="s">
        <v>19</v>
      </c>
      <c r="D9" s="6">
        <v>64331.199999999997</v>
      </c>
    </row>
    <row r="10" spans="1:4" x14ac:dyDescent="0.25">
      <c r="A10" s="2" t="s">
        <v>20</v>
      </c>
      <c r="B10" s="2" t="s">
        <v>21</v>
      </c>
      <c r="D10" s="6">
        <v>177.38</v>
      </c>
    </row>
    <row r="11" spans="1:4" x14ac:dyDescent="0.25">
      <c r="A11" s="2" t="s">
        <v>22</v>
      </c>
      <c r="B11" s="2" t="s">
        <v>23</v>
      </c>
      <c r="C11" s="6">
        <v>4000</v>
      </c>
    </row>
    <row r="12" spans="1:4" x14ac:dyDescent="0.25">
      <c r="A12" s="2" t="s">
        <v>24</v>
      </c>
      <c r="B12" s="2" t="s">
        <v>25</v>
      </c>
      <c r="C12" s="6">
        <v>6200</v>
      </c>
    </row>
    <row r="13" spans="1:4" x14ac:dyDescent="0.25">
      <c r="A13" s="2" t="s">
        <v>26</v>
      </c>
      <c r="B13" s="2" t="s">
        <v>27</v>
      </c>
      <c r="C13" s="6">
        <v>1175</v>
      </c>
    </row>
    <row r="14" spans="1:4" x14ac:dyDescent="0.25">
      <c r="A14" s="2" t="s">
        <v>28</v>
      </c>
      <c r="B14" s="2" t="s">
        <v>29</v>
      </c>
      <c r="C14" s="6">
        <v>2200</v>
      </c>
    </row>
    <row r="15" spans="1:4" x14ac:dyDescent="0.25">
      <c r="A15" s="2" t="s">
        <v>30</v>
      </c>
      <c r="B15" s="2" t="s">
        <v>31</v>
      </c>
      <c r="C15" s="6">
        <v>5105</v>
      </c>
    </row>
    <row r="16" spans="1:4" x14ac:dyDescent="0.25">
      <c r="A16" s="2" t="s">
        <v>32</v>
      </c>
      <c r="B16" s="2" t="s">
        <v>33</v>
      </c>
      <c r="D16" s="6">
        <v>101.4</v>
      </c>
    </row>
    <row r="17" spans="1:4" x14ac:dyDescent="0.25">
      <c r="A17" s="2" t="s">
        <v>34</v>
      </c>
      <c r="B17" s="2" t="s">
        <v>35</v>
      </c>
      <c r="D17" s="6">
        <v>6000</v>
      </c>
    </row>
    <row r="18" spans="1:4" customFormat="1" ht="16.5" x14ac:dyDescent="0.25">
      <c r="C18" s="10"/>
      <c r="D18" s="10"/>
    </row>
    <row r="19" spans="1:4" s="4" customFormat="1" ht="12.75" thickBot="1" x14ac:dyDescent="0.3">
      <c r="A19" s="3" t="s">
        <v>36</v>
      </c>
      <c r="B19" s="3" t="s">
        <v>37</v>
      </c>
      <c r="C19" s="5">
        <f>SUBTOTAL(9, C2:C18)</f>
        <v>1483818.77</v>
      </c>
      <c r="D19" s="5">
        <f>SUBTOTAL(9, D2:D18)</f>
        <v>1483818.7699999998</v>
      </c>
    </row>
    <row r="20" spans="1:4" customFormat="1" ht="18" thickTop="1" thickBot="1" x14ac:dyDescent="0.3">
      <c r="A20" s="11"/>
      <c r="B20" s="11"/>
      <c r="C20" s="12"/>
      <c r="D20" s="12"/>
    </row>
  </sheetData>
  <phoneticPr fontId="3" type="noConversion"/>
  <pageMargins left="0.7" right="0.7" top="1.25" bottom="0.65277777777777779" header="0.3" footer="0.3"/>
  <pageSetup paperSize="9" orientation="landscape" r:id="rId1"/>
  <headerFooter>
    <oddHeader xml:space="preserve">&amp;C&amp;"Arial"&amp;12&amp;B Hesen (Hong Kong) Trading Limited&amp;B
&amp;11&amp;B General Ledger Trial Balance&amp;B
&amp;B As of 31 Dec 2025&amp;B&amp;L&amp;"Arial"&amp;12
&amp;11
&amp;"Arial"&amp;8 Filter Criteria includes: Report order is by ID. Report is printed in Detail Format. </oddHeader>
    <oddFooter>&amp;L&amp;9&amp;"Arial"&amp;B&amp;D at &amp;T&amp;R&amp;9&amp;"Arial"&amp;BPage: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464-190B-48D0-B075-D3E774BEFBA9}">
  <dimension ref="A1:I108"/>
  <sheetViews>
    <sheetView workbookViewId="0">
      <pane ySplit="1" topLeftCell="A2" activePane="bottomLeft" state="frozenSplit"/>
      <selection pane="bottomLeft"/>
    </sheetView>
  </sheetViews>
  <sheetFormatPr defaultRowHeight="12" x14ac:dyDescent="0.25"/>
  <cols>
    <col min="1" max="2" width="16.625" style="2" customWidth="1"/>
    <col min="3" max="3" width="7.625" style="14" customWidth="1"/>
    <col min="4" max="4" width="8.625" style="2" customWidth="1"/>
    <col min="5" max="5" width="4.625" style="2" customWidth="1"/>
    <col min="6" max="6" width="14.625" style="2" customWidth="1"/>
    <col min="7" max="8" width="11.625" style="6" customWidth="1"/>
    <col min="9" max="9" width="10.625" style="6" customWidth="1"/>
    <col min="10" max="16384" width="9" style="1"/>
  </cols>
  <sheetData>
    <row r="1" spans="1:9" s="9" customFormat="1" x14ac:dyDescent="0.25">
      <c r="A1" s="7" t="s">
        <v>0</v>
      </c>
      <c r="B1" s="7" t="s">
        <v>1</v>
      </c>
      <c r="C1" s="7" t="s">
        <v>38</v>
      </c>
      <c r="D1" s="7" t="s">
        <v>39</v>
      </c>
      <c r="E1" s="7" t="s">
        <v>40</v>
      </c>
      <c r="F1" s="7" t="s">
        <v>41</v>
      </c>
      <c r="G1" s="8" t="s">
        <v>2</v>
      </c>
      <c r="H1" s="8" t="s">
        <v>3</v>
      </c>
      <c r="I1" s="8" t="s">
        <v>42</v>
      </c>
    </row>
    <row r="2" spans="1:9" x14ac:dyDescent="0.25">
      <c r="A2" s="2" t="s">
        <v>4</v>
      </c>
      <c r="B2" s="2" t="s">
        <v>5</v>
      </c>
      <c r="C2" s="14">
        <v>45658</v>
      </c>
      <c r="D2" s="2" t="s">
        <v>36</v>
      </c>
      <c r="E2" s="2" t="s">
        <v>36</v>
      </c>
      <c r="F2" s="2" t="s">
        <v>43</v>
      </c>
      <c r="I2" s="6">
        <v>45849.95</v>
      </c>
    </row>
    <row r="3" spans="1:9" x14ac:dyDescent="0.25">
      <c r="A3" s="2" t="s">
        <v>4</v>
      </c>
      <c r="B3" s="2" t="s">
        <v>5</v>
      </c>
      <c r="C3" s="14" t="s">
        <v>44</v>
      </c>
      <c r="D3" s="2" t="s">
        <v>45</v>
      </c>
      <c r="E3" s="2" t="s">
        <v>46</v>
      </c>
      <c r="F3" s="2" t="s">
        <v>47</v>
      </c>
      <c r="G3" s="6">
        <v>86.89</v>
      </c>
    </row>
    <row r="4" spans="1:9" x14ac:dyDescent="0.25">
      <c r="A4" s="2" t="s">
        <v>4</v>
      </c>
      <c r="B4" s="2" t="s">
        <v>5</v>
      </c>
      <c r="C4" s="14">
        <v>45695</v>
      </c>
      <c r="D4" s="2" t="s">
        <v>48</v>
      </c>
      <c r="E4" s="2" t="s">
        <v>46</v>
      </c>
      <c r="F4" s="2" t="s">
        <v>49</v>
      </c>
      <c r="H4" s="6">
        <v>23400</v>
      </c>
    </row>
    <row r="5" spans="1:9" x14ac:dyDescent="0.25">
      <c r="A5" s="2" t="s">
        <v>4</v>
      </c>
      <c r="B5" s="2" t="s">
        <v>5</v>
      </c>
      <c r="C5" s="14">
        <v>45877</v>
      </c>
      <c r="D5" s="2" t="s">
        <v>50</v>
      </c>
      <c r="E5" s="2" t="s">
        <v>46</v>
      </c>
      <c r="F5" s="2" t="s">
        <v>51</v>
      </c>
      <c r="G5" s="6">
        <v>64331.199999999997</v>
      </c>
    </row>
    <row r="6" spans="1:9" x14ac:dyDescent="0.25">
      <c r="A6" s="2" t="s">
        <v>4</v>
      </c>
      <c r="B6" s="2" t="s">
        <v>5</v>
      </c>
      <c r="C6" s="14" t="s">
        <v>52</v>
      </c>
      <c r="D6" s="2" t="s">
        <v>53</v>
      </c>
      <c r="E6" s="2" t="s">
        <v>46</v>
      </c>
      <c r="F6" s="2" t="s">
        <v>47</v>
      </c>
      <c r="G6" s="6">
        <v>86.42</v>
      </c>
    </row>
    <row r="7" spans="1:9" x14ac:dyDescent="0.25">
      <c r="A7" s="2" t="s">
        <v>4</v>
      </c>
      <c r="B7" s="2" t="s">
        <v>5</v>
      </c>
      <c r="D7" s="2" t="s">
        <v>36</v>
      </c>
      <c r="E7" s="2" t="s">
        <v>36</v>
      </c>
      <c r="F7" s="2" t="s">
        <v>54</v>
      </c>
      <c r="G7" s="6">
        <v>64504.51</v>
      </c>
      <c r="H7" s="6">
        <v>23400</v>
      </c>
      <c r="I7" s="6">
        <f>G7-H7</f>
        <v>41104.51</v>
      </c>
    </row>
    <row r="8" spans="1:9" s="4" customFormat="1" x14ac:dyDescent="0.25">
      <c r="A8" s="3" t="s">
        <v>36</v>
      </c>
      <c r="B8" s="3" t="s">
        <v>36</v>
      </c>
      <c r="C8" s="13" t="s">
        <v>52</v>
      </c>
      <c r="D8" s="3" t="s">
        <v>36</v>
      </c>
      <c r="E8" s="3" t="s">
        <v>36</v>
      </c>
      <c r="F8" s="3" t="s">
        <v>55</v>
      </c>
      <c r="G8" s="5"/>
      <c r="H8" s="5"/>
      <c r="I8" s="5">
        <f>SUBTOTAL(9, I2:I7)</f>
        <v>86954.459999999992</v>
      </c>
    </row>
    <row r="9" spans="1:9" x14ac:dyDescent="0.25">
      <c r="A9" s="2" t="s">
        <v>6</v>
      </c>
      <c r="B9" s="2" t="s">
        <v>7</v>
      </c>
      <c r="C9" s="14">
        <v>45658</v>
      </c>
      <c r="D9" s="2" t="s">
        <v>36</v>
      </c>
      <c r="E9" s="2" t="s">
        <v>36</v>
      </c>
      <c r="F9" s="2" t="s">
        <v>43</v>
      </c>
      <c r="I9" s="6">
        <v>3237.62</v>
      </c>
    </row>
    <row r="10" spans="1:9" x14ac:dyDescent="0.25">
      <c r="A10" s="2" t="s">
        <v>6</v>
      </c>
      <c r="B10" s="2" t="s">
        <v>7</v>
      </c>
      <c r="C10" s="14" t="s">
        <v>56</v>
      </c>
      <c r="D10" s="2" t="s">
        <v>57</v>
      </c>
      <c r="E10" s="2" t="s">
        <v>46</v>
      </c>
      <c r="F10" s="2" t="s">
        <v>58</v>
      </c>
      <c r="G10" s="6">
        <v>0.01</v>
      </c>
    </row>
    <row r="11" spans="1:9" x14ac:dyDescent="0.25">
      <c r="A11" s="2" t="s">
        <v>6</v>
      </c>
      <c r="B11" s="2" t="s">
        <v>7</v>
      </c>
      <c r="C11" s="14" t="s">
        <v>59</v>
      </c>
      <c r="D11" s="2" t="s">
        <v>60</v>
      </c>
      <c r="E11" s="2" t="s">
        <v>46</v>
      </c>
      <c r="F11" s="2" t="s">
        <v>61</v>
      </c>
      <c r="H11" s="6">
        <v>760</v>
      </c>
    </row>
    <row r="12" spans="1:9" x14ac:dyDescent="0.25">
      <c r="A12" s="2" t="s">
        <v>6</v>
      </c>
      <c r="B12" s="2" t="s">
        <v>7</v>
      </c>
      <c r="C12" s="14" t="s">
        <v>62</v>
      </c>
      <c r="D12" s="2" t="s">
        <v>63</v>
      </c>
      <c r="E12" s="2" t="s">
        <v>46</v>
      </c>
      <c r="F12" s="2" t="s">
        <v>64</v>
      </c>
      <c r="H12" s="6">
        <v>150</v>
      </c>
    </row>
    <row r="13" spans="1:9" x14ac:dyDescent="0.25">
      <c r="A13" s="2" t="s">
        <v>6</v>
      </c>
      <c r="B13" s="2" t="s">
        <v>7</v>
      </c>
      <c r="C13" s="14" t="s">
        <v>44</v>
      </c>
      <c r="D13" s="2" t="s">
        <v>65</v>
      </c>
      <c r="E13" s="2" t="s">
        <v>46</v>
      </c>
      <c r="F13" s="2" t="s">
        <v>58</v>
      </c>
      <c r="G13" s="6">
        <v>0.01</v>
      </c>
    </row>
    <row r="14" spans="1:9" x14ac:dyDescent="0.25">
      <c r="A14" s="2" t="s">
        <v>6</v>
      </c>
      <c r="B14" s="2" t="s">
        <v>7</v>
      </c>
      <c r="C14" s="14">
        <v>45695</v>
      </c>
      <c r="D14" s="2" t="s">
        <v>66</v>
      </c>
      <c r="E14" s="2" t="s">
        <v>46</v>
      </c>
      <c r="F14" s="2" t="s">
        <v>67</v>
      </c>
      <c r="G14" s="6">
        <v>23400</v>
      </c>
    </row>
    <row r="15" spans="1:9" x14ac:dyDescent="0.25">
      <c r="A15" s="2" t="s">
        <v>6</v>
      </c>
      <c r="B15" s="2" t="s">
        <v>7</v>
      </c>
      <c r="C15" s="14">
        <v>45695</v>
      </c>
      <c r="D15" s="2" t="s">
        <v>66</v>
      </c>
      <c r="E15" s="2" t="s">
        <v>46</v>
      </c>
      <c r="F15" s="2" t="s">
        <v>68</v>
      </c>
      <c r="G15" s="6">
        <v>101.4</v>
      </c>
    </row>
    <row r="16" spans="1:9" x14ac:dyDescent="0.25">
      <c r="A16" s="2" t="s">
        <v>6</v>
      </c>
      <c r="B16" s="2" t="s">
        <v>7</v>
      </c>
      <c r="C16" s="14">
        <v>45695</v>
      </c>
      <c r="D16" s="2" t="s">
        <v>69</v>
      </c>
      <c r="E16" s="2" t="s">
        <v>46</v>
      </c>
      <c r="F16" s="2" t="s">
        <v>70</v>
      </c>
      <c r="H16" s="6">
        <v>20000</v>
      </c>
    </row>
    <row r="17" spans="1:9" x14ac:dyDescent="0.25">
      <c r="A17" s="2" t="s">
        <v>6</v>
      </c>
      <c r="B17" s="2" t="s">
        <v>7</v>
      </c>
      <c r="C17" s="14" t="s">
        <v>71</v>
      </c>
      <c r="D17" s="2" t="s">
        <v>72</v>
      </c>
      <c r="E17" s="2" t="s">
        <v>46</v>
      </c>
      <c r="F17" s="2" t="s">
        <v>73</v>
      </c>
      <c r="H17" s="6">
        <v>100</v>
      </c>
    </row>
    <row r="18" spans="1:9" x14ac:dyDescent="0.25">
      <c r="A18" s="2" t="s">
        <v>6</v>
      </c>
      <c r="B18" s="2" t="s">
        <v>7</v>
      </c>
      <c r="C18" s="14" t="s">
        <v>74</v>
      </c>
      <c r="D18" s="2" t="s">
        <v>75</v>
      </c>
      <c r="E18" s="2" t="s">
        <v>46</v>
      </c>
      <c r="F18" s="2" t="s">
        <v>58</v>
      </c>
      <c r="G18" s="6">
        <v>1.21</v>
      </c>
    </row>
    <row r="19" spans="1:9" x14ac:dyDescent="0.25">
      <c r="A19" s="2" t="s">
        <v>6</v>
      </c>
      <c r="B19" s="2" t="s">
        <v>7</v>
      </c>
      <c r="C19" s="14" t="s">
        <v>76</v>
      </c>
      <c r="D19" s="2" t="s">
        <v>77</v>
      </c>
      <c r="E19" s="2" t="s">
        <v>46</v>
      </c>
      <c r="F19" s="2" t="s">
        <v>58</v>
      </c>
      <c r="G19" s="6">
        <v>1.22</v>
      </c>
    </row>
    <row r="20" spans="1:9" x14ac:dyDescent="0.25">
      <c r="A20" s="2" t="s">
        <v>6</v>
      </c>
      <c r="B20" s="2" t="s">
        <v>7</v>
      </c>
      <c r="C20" s="14" t="s">
        <v>78</v>
      </c>
      <c r="D20" s="2" t="s">
        <v>79</v>
      </c>
      <c r="E20" s="2" t="s">
        <v>46</v>
      </c>
      <c r="F20" s="2" t="s">
        <v>58</v>
      </c>
      <c r="G20" s="6">
        <v>1.03</v>
      </c>
    </row>
    <row r="21" spans="1:9" x14ac:dyDescent="0.25">
      <c r="A21" s="2" t="s">
        <v>6</v>
      </c>
      <c r="B21" s="2" t="s">
        <v>7</v>
      </c>
      <c r="C21" s="14" t="s">
        <v>80</v>
      </c>
      <c r="D21" s="2" t="s">
        <v>81</v>
      </c>
      <c r="E21" s="2" t="s">
        <v>46</v>
      </c>
      <c r="F21" s="2" t="s">
        <v>70</v>
      </c>
      <c r="H21" s="6">
        <v>5000</v>
      </c>
    </row>
    <row r="22" spans="1:9" x14ac:dyDescent="0.25">
      <c r="A22" s="2" t="s">
        <v>6</v>
      </c>
      <c r="B22" s="2" t="s">
        <v>7</v>
      </c>
      <c r="C22" s="14" t="s">
        <v>82</v>
      </c>
      <c r="D22" s="2" t="s">
        <v>83</v>
      </c>
      <c r="E22" s="2" t="s">
        <v>46</v>
      </c>
      <c r="F22" s="2" t="s">
        <v>58</v>
      </c>
      <c r="G22" s="6">
        <v>0.59</v>
      </c>
    </row>
    <row r="23" spans="1:9" x14ac:dyDescent="0.25">
      <c r="A23" s="2" t="s">
        <v>6</v>
      </c>
      <c r="B23" s="2" t="s">
        <v>7</v>
      </c>
      <c r="C23" s="14">
        <v>45669</v>
      </c>
      <c r="D23" s="2" t="s">
        <v>84</v>
      </c>
      <c r="E23" s="2" t="s">
        <v>46</v>
      </c>
      <c r="F23" s="2" t="s">
        <v>64</v>
      </c>
      <c r="H23" s="6">
        <v>150</v>
      </c>
    </row>
    <row r="24" spans="1:9" x14ac:dyDescent="0.25">
      <c r="A24" s="2" t="s">
        <v>6</v>
      </c>
      <c r="B24" s="2" t="s">
        <v>7</v>
      </c>
      <c r="D24" s="2" t="s">
        <v>36</v>
      </c>
      <c r="E24" s="2" t="s">
        <v>36</v>
      </c>
      <c r="F24" s="2" t="s">
        <v>54</v>
      </c>
      <c r="G24" s="6">
        <v>23505.47</v>
      </c>
      <c r="H24" s="6">
        <v>26160</v>
      </c>
      <c r="I24" s="6">
        <f>G24-H24</f>
        <v>-2654.5299999999988</v>
      </c>
    </row>
    <row r="25" spans="1:9" s="4" customFormat="1" x14ac:dyDescent="0.25">
      <c r="A25" s="3" t="s">
        <v>36</v>
      </c>
      <c r="B25" s="3" t="s">
        <v>36</v>
      </c>
      <c r="C25" s="13" t="s">
        <v>52</v>
      </c>
      <c r="D25" s="3" t="s">
        <v>36</v>
      </c>
      <c r="E25" s="3" t="s">
        <v>36</v>
      </c>
      <c r="F25" s="3" t="s">
        <v>55</v>
      </c>
      <c r="G25" s="5"/>
      <c r="H25" s="5"/>
      <c r="I25" s="5">
        <f>SUBTOTAL(9, I9:I24)</f>
        <v>583.09000000000106</v>
      </c>
    </row>
    <row r="26" spans="1:9" x14ac:dyDescent="0.25">
      <c r="A26" s="2" t="s">
        <v>8</v>
      </c>
      <c r="B26" s="2" t="s">
        <v>9</v>
      </c>
      <c r="C26" s="14">
        <v>45658</v>
      </c>
      <c r="D26" s="2" t="s">
        <v>36</v>
      </c>
      <c r="E26" s="2" t="s">
        <v>36</v>
      </c>
      <c r="F26" s="2" t="s">
        <v>43</v>
      </c>
      <c r="I26" s="6">
        <v>17954.38</v>
      </c>
    </row>
    <row r="27" spans="1:9" x14ac:dyDescent="0.25">
      <c r="A27" s="2" t="s">
        <v>8</v>
      </c>
      <c r="B27" s="2" t="s">
        <v>9</v>
      </c>
      <c r="C27" s="14">
        <v>45814</v>
      </c>
      <c r="D27" s="2" t="s">
        <v>85</v>
      </c>
      <c r="E27" s="2" t="s">
        <v>46</v>
      </c>
      <c r="F27" s="2" t="s">
        <v>86</v>
      </c>
      <c r="H27" s="6">
        <v>5</v>
      </c>
    </row>
    <row r="28" spans="1:9" x14ac:dyDescent="0.25">
      <c r="A28" s="2" t="s">
        <v>8</v>
      </c>
      <c r="B28" s="2" t="s">
        <v>9</v>
      </c>
      <c r="C28" s="14">
        <v>45814</v>
      </c>
      <c r="D28" s="2" t="s">
        <v>87</v>
      </c>
      <c r="E28" s="2" t="s">
        <v>46</v>
      </c>
      <c r="F28" s="2" t="s">
        <v>88</v>
      </c>
      <c r="H28" s="6">
        <v>6200</v>
      </c>
    </row>
    <row r="29" spans="1:9" x14ac:dyDescent="0.25">
      <c r="A29" s="2" t="s">
        <v>8</v>
      </c>
      <c r="B29" s="2" t="s">
        <v>9</v>
      </c>
      <c r="C29" s="14">
        <v>45814</v>
      </c>
      <c r="D29" s="2" t="s">
        <v>89</v>
      </c>
      <c r="E29" s="2" t="s">
        <v>46</v>
      </c>
      <c r="F29" s="2" t="s">
        <v>86</v>
      </c>
      <c r="H29" s="6">
        <v>5</v>
      </c>
    </row>
    <row r="30" spans="1:9" x14ac:dyDescent="0.25">
      <c r="A30" s="2" t="s">
        <v>8</v>
      </c>
      <c r="B30" s="2" t="s">
        <v>9</v>
      </c>
      <c r="C30" s="14">
        <v>45814</v>
      </c>
      <c r="D30" s="2" t="s">
        <v>90</v>
      </c>
      <c r="E30" s="2" t="s">
        <v>46</v>
      </c>
      <c r="F30" s="2" t="s">
        <v>91</v>
      </c>
      <c r="H30" s="6">
        <v>4000</v>
      </c>
    </row>
    <row r="31" spans="1:9" x14ac:dyDescent="0.25">
      <c r="A31" s="2" t="s">
        <v>8</v>
      </c>
      <c r="B31" s="2" t="s">
        <v>9</v>
      </c>
      <c r="C31" s="14">
        <v>45968</v>
      </c>
      <c r="D31" s="2" t="s">
        <v>92</v>
      </c>
      <c r="E31" s="2" t="s">
        <v>46</v>
      </c>
      <c r="F31" s="2" t="s">
        <v>93</v>
      </c>
      <c r="H31" s="6">
        <v>5105</v>
      </c>
    </row>
    <row r="32" spans="1:9" x14ac:dyDescent="0.25">
      <c r="A32" s="2" t="s">
        <v>8</v>
      </c>
      <c r="B32" s="2" t="s">
        <v>9</v>
      </c>
      <c r="C32" s="14">
        <v>45968</v>
      </c>
      <c r="D32" s="2" t="s">
        <v>92</v>
      </c>
      <c r="E32" s="2" t="s">
        <v>46</v>
      </c>
      <c r="F32" s="2" t="s">
        <v>94</v>
      </c>
      <c r="H32" s="6">
        <v>2200</v>
      </c>
    </row>
    <row r="33" spans="1:9" x14ac:dyDescent="0.25">
      <c r="A33" s="2" t="s">
        <v>8</v>
      </c>
      <c r="B33" s="2" t="s">
        <v>9</v>
      </c>
      <c r="C33" s="14">
        <v>45968</v>
      </c>
      <c r="D33" s="2" t="s">
        <v>95</v>
      </c>
      <c r="E33" s="2" t="s">
        <v>46</v>
      </c>
      <c r="F33" s="2" t="s">
        <v>86</v>
      </c>
      <c r="H33" s="6">
        <v>5</v>
      </c>
    </row>
    <row r="34" spans="1:9" x14ac:dyDescent="0.25">
      <c r="A34" s="2" t="s">
        <v>8</v>
      </c>
      <c r="B34" s="2" t="s">
        <v>9</v>
      </c>
      <c r="D34" s="2" t="s">
        <v>36</v>
      </c>
      <c r="E34" s="2" t="s">
        <v>36</v>
      </c>
      <c r="F34" s="2" t="s">
        <v>54</v>
      </c>
      <c r="H34" s="6">
        <v>17520</v>
      </c>
      <c r="I34" s="6">
        <f>G34-H34</f>
        <v>-17520</v>
      </c>
    </row>
    <row r="35" spans="1:9" s="4" customFormat="1" x14ac:dyDescent="0.25">
      <c r="A35" s="3" t="s">
        <v>36</v>
      </c>
      <c r="B35" s="3" t="s">
        <v>36</v>
      </c>
      <c r="C35" s="13" t="s">
        <v>52</v>
      </c>
      <c r="D35" s="3" t="s">
        <v>36</v>
      </c>
      <c r="E35" s="3" t="s">
        <v>36</v>
      </c>
      <c r="F35" s="3" t="s">
        <v>55</v>
      </c>
      <c r="G35" s="5"/>
      <c r="H35" s="5"/>
      <c r="I35" s="5">
        <f>SUBTOTAL(9, I26:I34)</f>
        <v>434.38000000000102</v>
      </c>
    </row>
    <row r="36" spans="1:9" x14ac:dyDescent="0.25">
      <c r="A36" s="2" t="s">
        <v>96</v>
      </c>
      <c r="B36" s="2" t="s">
        <v>97</v>
      </c>
      <c r="C36" s="14">
        <v>45664</v>
      </c>
      <c r="D36" s="2" t="s">
        <v>36</v>
      </c>
      <c r="E36" s="2" t="s">
        <v>36</v>
      </c>
      <c r="F36" s="2" t="s">
        <v>43</v>
      </c>
    </row>
    <row r="37" spans="1:9" x14ac:dyDescent="0.25">
      <c r="A37" s="2" t="s">
        <v>96</v>
      </c>
      <c r="B37" s="2" t="s">
        <v>97</v>
      </c>
      <c r="C37" s="14">
        <v>45695</v>
      </c>
      <c r="D37" s="2" t="s">
        <v>66</v>
      </c>
      <c r="E37" s="2" t="s">
        <v>46</v>
      </c>
      <c r="F37" s="2" t="s">
        <v>67</v>
      </c>
      <c r="H37" s="6">
        <v>23400</v>
      </c>
    </row>
    <row r="38" spans="1:9" x14ac:dyDescent="0.25">
      <c r="A38" s="2" t="s">
        <v>96</v>
      </c>
      <c r="B38" s="2" t="s">
        <v>97</v>
      </c>
      <c r="C38" s="14">
        <v>45695</v>
      </c>
      <c r="D38" s="2" t="s">
        <v>48</v>
      </c>
      <c r="E38" s="2" t="s">
        <v>46</v>
      </c>
      <c r="F38" s="2" t="s">
        <v>49</v>
      </c>
      <c r="G38" s="6">
        <v>23400</v>
      </c>
    </row>
    <row r="39" spans="1:9" x14ac:dyDescent="0.25">
      <c r="A39" s="2" t="s">
        <v>96</v>
      </c>
      <c r="B39" s="2" t="s">
        <v>97</v>
      </c>
      <c r="D39" s="2" t="s">
        <v>36</v>
      </c>
      <c r="E39" s="2" t="s">
        <v>36</v>
      </c>
      <c r="F39" s="2" t="s">
        <v>54</v>
      </c>
      <c r="G39" s="6">
        <v>23400</v>
      </c>
      <c r="H39" s="6">
        <v>23400</v>
      </c>
      <c r="I39" s="6">
        <f>G39-H39</f>
        <v>0</v>
      </c>
    </row>
    <row r="40" spans="1:9" x14ac:dyDescent="0.25">
      <c r="A40" s="2" t="s">
        <v>10</v>
      </c>
      <c r="B40" s="2" t="s">
        <v>11</v>
      </c>
      <c r="C40" s="14">
        <v>45658</v>
      </c>
      <c r="D40" s="2" t="s">
        <v>36</v>
      </c>
      <c r="E40" s="2" t="s">
        <v>36</v>
      </c>
      <c r="F40" s="2" t="s">
        <v>43</v>
      </c>
      <c r="I40" s="6">
        <v>-10200</v>
      </c>
    </row>
    <row r="41" spans="1:9" x14ac:dyDescent="0.25">
      <c r="A41" s="2" t="s">
        <v>10</v>
      </c>
      <c r="B41" s="2" t="s">
        <v>11</v>
      </c>
      <c r="C41" s="14">
        <v>45814</v>
      </c>
      <c r="D41" s="2" t="s">
        <v>87</v>
      </c>
      <c r="E41" s="2" t="s">
        <v>46</v>
      </c>
      <c r="F41" s="2" t="s">
        <v>88</v>
      </c>
      <c r="G41" s="6">
        <v>6200</v>
      </c>
    </row>
    <row r="42" spans="1:9" x14ac:dyDescent="0.25">
      <c r="A42" s="2" t="s">
        <v>10</v>
      </c>
      <c r="B42" s="2" t="s">
        <v>11</v>
      </c>
      <c r="C42" s="14">
        <v>45814</v>
      </c>
      <c r="D42" s="2" t="s">
        <v>90</v>
      </c>
      <c r="E42" s="2" t="s">
        <v>46</v>
      </c>
      <c r="F42" s="2" t="s">
        <v>91</v>
      </c>
      <c r="G42" s="6">
        <v>4000</v>
      </c>
    </row>
    <row r="43" spans="1:9" x14ac:dyDescent="0.25">
      <c r="A43" s="2" t="s">
        <v>10</v>
      </c>
      <c r="B43" s="2" t="s">
        <v>11</v>
      </c>
      <c r="C43" s="14" t="s">
        <v>52</v>
      </c>
      <c r="D43" s="2" t="s">
        <v>98</v>
      </c>
      <c r="E43" s="2" t="s">
        <v>46</v>
      </c>
      <c r="F43" s="2" t="s">
        <v>99</v>
      </c>
      <c r="H43" s="6">
        <v>10200</v>
      </c>
    </row>
    <row r="44" spans="1:9" x14ac:dyDescent="0.25">
      <c r="A44" s="2" t="s">
        <v>10</v>
      </c>
      <c r="B44" s="2" t="s">
        <v>11</v>
      </c>
      <c r="D44" s="2" t="s">
        <v>36</v>
      </c>
      <c r="E44" s="2" t="s">
        <v>36</v>
      </c>
      <c r="F44" s="2" t="s">
        <v>54</v>
      </c>
      <c r="G44" s="6">
        <v>10200</v>
      </c>
      <c r="H44" s="6">
        <v>10200</v>
      </c>
      <c r="I44" s="6">
        <f>G44-H44</f>
        <v>0</v>
      </c>
    </row>
    <row r="45" spans="1:9" s="4" customFormat="1" x14ac:dyDescent="0.25">
      <c r="A45" s="3" t="s">
        <v>36</v>
      </c>
      <c r="B45" s="3" t="s">
        <v>36</v>
      </c>
      <c r="C45" s="13" t="s">
        <v>52</v>
      </c>
      <c r="D45" s="3" t="s">
        <v>36</v>
      </c>
      <c r="E45" s="3" t="s">
        <v>36</v>
      </c>
      <c r="F45" s="3" t="s">
        <v>55</v>
      </c>
      <c r="G45" s="5"/>
      <c r="H45" s="5"/>
      <c r="I45" s="5">
        <f>SUBTOTAL(9, I36:I44)</f>
        <v>-10200</v>
      </c>
    </row>
    <row r="46" spans="1:9" x14ac:dyDescent="0.25">
      <c r="A46" s="2" t="s">
        <v>12</v>
      </c>
      <c r="B46" s="2" t="s">
        <v>13</v>
      </c>
      <c r="C46" s="14">
        <v>45658</v>
      </c>
      <c r="D46" s="2" t="s">
        <v>36</v>
      </c>
      <c r="E46" s="2" t="s">
        <v>36</v>
      </c>
      <c r="F46" s="2" t="s">
        <v>43</v>
      </c>
      <c r="I46" s="6">
        <v>1338789.8400000001</v>
      </c>
    </row>
    <row r="47" spans="1:9" x14ac:dyDescent="0.25">
      <c r="A47" s="2" t="s">
        <v>12</v>
      </c>
      <c r="B47" s="2" t="s">
        <v>13</v>
      </c>
      <c r="C47" s="14">
        <v>45695</v>
      </c>
      <c r="D47" s="2" t="s">
        <v>69</v>
      </c>
      <c r="E47" s="2" t="s">
        <v>46</v>
      </c>
      <c r="F47" s="2" t="s">
        <v>70</v>
      </c>
      <c r="G47" s="6">
        <v>20000</v>
      </c>
    </row>
    <row r="48" spans="1:9" x14ac:dyDescent="0.25">
      <c r="A48" s="2" t="s">
        <v>12</v>
      </c>
      <c r="B48" s="2" t="s">
        <v>13</v>
      </c>
      <c r="C48" s="14" t="s">
        <v>80</v>
      </c>
      <c r="D48" s="2" t="s">
        <v>81</v>
      </c>
      <c r="E48" s="2" t="s">
        <v>46</v>
      </c>
      <c r="F48" s="2" t="s">
        <v>70</v>
      </c>
      <c r="G48" s="6">
        <v>5000</v>
      </c>
    </row>
    <row r="49" spans="1:9" x14ac:dyDescent="0.25">
      <c r="A49" s="2" t="s">
        <v>12</v>
      </c>
      <c r="B49" s="2" t="s">
        <v>13</v>
      </c>
      <c r="C49" s="14" t="s">
        <v>52</v>
      </c>
      <c r="D49" s="2" t="s">
        <v>100</v>
      </c>
      <c r="E49" s="2" t="s">
        <v>46</v>
      </c>
      <c r="F49" s="2" t="s">
        <v>101</v>
      </c>
      <c r="G49" s="6">
        <v>13377</v>
      </c>
    </row>
    <row r="50" spans="1:9" x14ac:dyDescent="0.25">
      <c r="A50" s="2" t="s">
        <v>12</v>
      </c>
      <c r="B50" s="2" t="s">
        <v>13</v>
      </c>
      <c r="D50" s="2" t="s">
        <v>36</v>
      </c>
      <c r="E50" s="2" t="s">
        <v>36</v>
      </c>
      <c r="F50" s="2" t="s">
        <v>54</v>
      </c>
      <c r="G50" s="6">
        <v>38377</v>
      </c>
      <c r="I50" s="6">
        <f>G50-H50</f>
        <v>38377</v>
      </c>
    </row>
    <row r="51" spans="1:9" s="4" customFormat="1" x14ac:dyDescent="0.25">
      <c r="A51" s="3" t="s">
        <v>36</v>
      </c>
      <c r="B51" s="3" t="s">
        <v>36</v>
      </c>
      <c r="C51" s="13" t="s">
        <v>52</v>
      </c>
      <c r="D51" s="3" t="s">
        <v>36</v>
      </c>
      <c r="E51" s="3" t="s">
        <v>36</v>
      </c>
      <c r="F51" s="3" t="s">
        <v>55</v>
      </c>
      <c r="G51" s="5"/>
      <c r="H51" s="5"/>
      <c r="I51" s="5">
        <f>SUBTOTAL(9, I46:I50)</f>
        <v>1377166.84</v>
      </c>
    </row>
    <row r="52" spans="1:9" x14ac:dyDescent="0.25">
      <c r="A52" s="2" t="s">
        <v>102</v>
      </c>
      <c r="B52" s="2" t="s">
        <v>103</v>
      </c>
      <c r="C52" s="14">
        <v>45658</v>
      </c>
      <c r="D52" s="2" t="s">
        <v>36</v>
      </c>
      <c r="E52" s="2" t="s">
        <v>36</v>
      </c>
      <c r="F52" s="2" t="s">
        <v>43</v>
      </c>
      <c r="I52" s="6">
        <v>7377</v>
      </c>
    </row>
    <row r="53" spans="1:9" x14ac:dyDescent="0.25">
      <c r="A53" s="2" t="s">
        <v>102</v>
      </c>
      <c r="B53" s="2" t="s">
        <v>103</v>
      </c>
      <c r="C53" s="14" t="s">
        <v>52</v>
      </c>
      <c r="D53" s="2" t="s">
        <v>100</v>
      </c>
      <c r="E53" s="2" t="s">
        <v>46</v>
      </c>
      <c r="F53" s="2" t="s">
        <v>101</v>
      </c>
      <c r="H53" s="6">
        <v>13377</v>
      </c>
    </row>
    <row r="54" spans="1:9" x14ac:dyDescent="0.25">
      <c r="A54" s="2" t="s">
        <v>102</v>
      </c>
      <c r="B54" s="2" t="s">
        <v>103</v>
      </c>
      <c r="C54" s="14" t="s">
        <v>52</v>
      </c>
      <c r="D54" s="2" t="s">
        <v>100</v>
      </c>
      <c r="E54" s="2" t="s">
        <v>46</v>
      </c>
      <c r="F54" s="2" t="s">
        <v>104</v>
      </c>
      <c r="G54" s="6">
        <v>6000</v>
      </c>
    </row>
    <row r="55" spans="1:9" x14ac:dyDescent="0.25">
      <c r="A55" s="2" t="s">
        <v>102</v>
      </c>
      <c r="B55" s="2" t="s">
        <v>103</v>
      </c>
      <c r="D55" s="2" t="s">
        <v>36</v>
      </c>
      <c r="E55" s="2" t="s">
        <v>36</v>
      </c>
      <c r="F55" s="2" t="s">
        <v>54</v>
      </c>
      <c r="G55" s="6">
        <v>6000</v>
      </c>
      <c r="H55" s="6">
        <v>13377</v>
      </c>
      <c r="I55" s="6">
        <f>G55-H55</f>
        <v>-7377</v>
      </c>
    </row>
    <row r="56" spans="1:9" x14ac:dyDescent="0.25">
      <c r="A56" s="2" t="s">
        <v>14</v>
      </c>
      <c r="B56" s="2" t="s">
        <v>15</v>
      </c>
      <c r="C56" s="14">
        <v>45658</v>
      </c>
      <c r="D56" s="2" t="s">
        <v>36</v>
      </c>
      <c r="E56" s="2" t="s">
        <v>36</v>
      </c>
      <c r="F56" s="2" t="s">
        <v>43</v>
      </c>
      <c r="I56" s="6">
        <v>-1403007.79</v>
      </c>
    </row>
    <row r="57" spans="1:9" s="4" customFormat="1" x14ac:dyDescent="0.25">
      <c r="A57" s="3" t="s">
        <v>36</v>
      </c>
      <c r="B57" s="3" t="s">
        <v>36</v>
      </c>
      <c r="C57" s="13" t="s">
        <v>52</v>
      </c>
      <c r="D57" s="3" t="s">
        <v>36</v>
      </c>
      <c r="E57" s="3" t="s">
        <v>36</v>
      </c>
      <c r="F57" s="3" t="s">
        <v>55</v>
      </c>
      <c r="G57" s="5"/>
      <c r="H57" s="5"/>
      <c r="I57" s="5">
        <f>SUBTOTAL(9, I52:I56)</f>
        <v>-1403007.79</v>
      </c>
    </row>
    <row r="58" spans="1:9" x14ac:dyDescent="0.25">
      <c r="A58" s="2" t="s">
        <v>16</v>
      </c>
      <c r="B58" s="2" t="s">
        <v>17</v>
      </c>
      <c r="C58" s="14">
        <v>45658</v>
      </c>
      <c r="D58" s="2" t="s">
        <v>36</v>
      </c>
      <c r="E58" s="2" t="s">
        <v>36</v>
      </c>
      <c r="F58" s="2" t="s">
        <v>43</v>
      </c>
      <c r="I58" s="6">
        <v>-1</v>
      </c>
    </row>
    <row r="59" spans="1:9" s="4" customFormat="1" x14ac:dyDescent="0.25">
      <c r="A59" s="3" t="s">
        <v>36</v>
      </c>
      <c r="B59" s="3" t="s">
        <v>36</v>
      </c>
      <c r="C59" s="13" t="s">
        <v>52</v>
      </c>
      <c r="D59" s="3" t="s">
        <v>36</v>
      </c>
      <c r="E59" s="3" t="s">
        <v>36</v>
      </c>
      <c r="F59" s="3" t="s">
        <v>55</v>
      </c>
      <c r="G59" s="5"/>
      <c r="H59" s="5"/>
      <c r="I59" s="5">
        <f>SUBTOTAL(9, I58:I58)</f>
        <v>-1</v>
      </c>
    </row>
    <row r="60" spans="1:9" x14ac:dyDescent="0.25">
      <c r="A60" s="2" t="s">
        <v>18</v>
      </c>
      <c r="B60" s="2" t="s">
        <v>19</v>
      </c>
      <c r="C60" s="14">
        <v>45658</v>
      </c>
      <c r="D60" s="2" t="s">
        <v>36</v>
      </c>
      <c r="E60" s="2" t="s">
        <v>36</v>
      </c>
      <c r="F60" s="2" t="s">
        <v>43</v>
      </c>
    </row>
    <row r="61" spans="1:9" x14ac:dyDescent="0.25">
      <c r="A61" s="2" t="s">
        <v>18</v>
      </c>
      <c r="B61" s="2" t="s">
        <v>19</v>
      </c>
      <c r="C61" s="14">
        <v>45877</v>
      </c>
      <c r="D61" s="2" t="s">
        <v>50</v>
      </c>
      <c r="E61" s="2" t="s">
        <v>46</v>
      </c>
      <c r="F61" s="2" t="s">
        <v>51</v>
      </c>
      <c r="H61" s="6">
        <v>64331.199999999997</v>
      </c>
    </row>
    <row r="62" spans="1:9" x14ac:dyDescent="0.25">
      <c r="A62" s="2" t="s">
        <v>18</v>
      </c>
      <c r="B62" s="2" t="s">
        <v>19</v>
      </c>
      <c r="D62" s="2" t="s">
        <v>36</v>
      </c>
      <c r="E62" s="2" t="s">
        <v>36</v>
      </c>
      <c r="F62" s="2" t="s">
        <v>54</v>
      </c>
      <c r="H62" s="6">
        <v>64331.199999999997</v>
      </c>
      <c r="I62" s="6">
        <f>G62-H62</f>
        <v>-64331.199999999997</v>
      </c>
    </row>
    <row r="63" spans="1:9" s="4" customFormat="1" x14ac:dyDescent="0.25">
      <c r="A63" s="3" t="s">
        <v>36</v>
      </c>
      <c r="B63" s="3" t="s">
        <v>36</v>
      </c>
      <c r="C63" s="13" t="s">
        <v>52</v>
      </c>
      <c r="D63" s="3" t="s">
        <v>36</v>
      </c>
      <c r="E63" s="3" t="s">
        <v>36</v>
      </c>
      <c r="F63" s="3" t="s">
        <v>55</v>
      </c>
      <c r="G63" s="5"/>
      <c r="H63" s="5"/>
      <c r="I63" s="5">
        <f>SUBTOTAL(9, I60:I62)</f>
        <v>-64331.199999999997</v>
      </c>
    </row>
    <row r="64" spans="1:9" x14ac:dyDescent="0.25">
      <c r="A64" s="2" t="s">
        <v>20</v>
      </c>
      <c r="B64" s="2" t="s">
        <v>21</v>
      </c>
      <c r="C64" s="14">
        <v>45658</v>
      </c>
      <c r="D64" s="2" t="s">
        <v>36</v>
      </c>
      <c r="E64" s="2" t="s">
        <v>36</v>
      </c>
      <c r="F64" s="2" t="s">
        <v>43</v>
      </c>
    </row>
    <row r="65" spans="1:9" x14ac:dyDescent="0.25">
      <c r="A65" s="2" t="s">
        <v>20</v>
      </c>
      <c r="B65" s="2" t="s">
        <v>21</v>
      </c>
      <c r="C65" s="14" t="s">
        <v>56</v>
      </c>
      <c r="D65" s="2" t="s">
        <v>57</v>
      </c>
      <c r="E65" s="2" t="s">
        <v>46</v>
      </c>
      <c r="F65" s="2" t="s">
        <v>58</v>
      </c>
      <c r="H65" s="6">
        <v>0.01</v>
      </c>
    </row>
    <row r="66" spans="1:9" x14ac:dyDescent="0.25">
      <c r="A66" s="2" t="s">
        <v>20</v>
      </c>
      <c r="B66" s="2" t="s">
        <v>21</v>
      </c>
      <c r="C66" s="14" t="s">
        <v>44</v>
      </c>
      <c r="D66" s="2" t="s">
        <v>65</v>
      </c>
      <c r="E66" s="2" t="s">
        <v>46</v>
      </c>
      <c r="F66" s="2" t="s">
        <v>58</v>
      </c>
      <c r="H66" s="6">
        <v>0.01</v>
      </c>
    </row>
    <row r="67" spans="1:9" x14ac:dyDescent="0.25">
      <c r="A67" s="2" t="s">
        <v>20</v>
      </c>
      <c r="B67" s="2" t="s">
        <v>21</v>
      </c>
      <c r="C67" s="14" t="s">
        <v>44</v>
      </c>
      <c r="D67" s="2" t="s">
        <v>45</v>
      </c>
      <c r="E67" s="2" t="s">
        <v>46</v>
      </c>
      <c r="F67" s="2" t="s">
        <v>47</v>
      </c>
      <c r="H67" s="6">
        <v>86.89</v>
      </c>
    </row>
    <row r="68" spans="1:9" x14ac:dyDescent="0.25">
      <c r="A68" s="2" t="s">
        <v>20</v>
      </c>
      <c r="B68" s="2" t="s">
        <v>21</v>
      </c>
      <c r="C68" s="14" t="s">
        <v>74</v>
      </c>
      <c r="D68" s="2" t="s">
        <v>75</v>
      </c>
      <c r="E68" s="2" t="s">
        <v>46</v>
      </c>
      <c r="F68" s="2" t="s">
        <v>58</v>
      </c>
      <c r="H68" s="6">
        <v>1.21</v>
      </c>
    </row>
    <row r="69" spans="1:9" x14ac:dyDescent="0.25">
      <c r="A69" s="2" t="s">
        <v>20</v>
      </c>
      <c r="B69" s="2" t="s">
        <v>21</v>
      </c>
      <c r="C69" s="14" t="s">
        <v>76</v>
      </c>
      <c r="D69" s="2" t="s">
        <v>77</v>
      </c>
      <c r="E69" s="2" t="s">
        <v>46</v>
      </c>
      <c r="F69" s="2" t="s">
        <v>58</v>
      </c>
      <c r="H69" s="6">
        <v>1.22</v>
      </c>
    </row>
    <row r="70" spans="1:9" x14ac:dyDescent="0.25">
      <c r="A70" s="2" t="s">
        <v>20</v>
      </c>
      <c r="B70" s="2" t="s">
        <v>21</v>
      </c>
      <c r="C70" s="14" t="s">
        <v>78</v>
      </c>
      <c r="D70" s="2" t="s">
        <v>79</v>
      </c>
      <c r="E70" s="2" t="s">
        <v>46</v>
      </c>
      <c r="F70" s="2" t="s">
        <v>58</v>
      </c>
      <c r="H70" s="6">
        <v>1.03</v>
      </c>
    </row>
    <row r="71" spans="1:9" x14ac:dyDescent="0.25">
      <c r="A71" s="2" t="s">
        <v>20</v>
      </c>
      <c r="B71" s="2" t="s">
        <v>21</v>
      </c>
      <c r="C71" s="14" t="s">
        <v>82</v>
      </c>
      <c r="D71" s="2" t="s">
        <v>83</v>
      </c>
      <c r="E71" s="2" t="s">
        <v>46</v>
      </c>
      <c r="F71" s="2" t="s">
        <v>58</v>
      </c>
      <c r="H71" s="6">
        <v>0.59</v>
      </c>
    </row>
    <row r="72" spans="1:9" x14ac:dyDescent="0.25">
      <c r="A72" s="2" t="s">
        <v>20</v>
      </c>
      <c r="B72" s="2" t="s">
        <v>21</v>
      </c>
      <c r="C72" s="14" t="s">
        <v>52</v>
      </c>
      <c r="D72" s="2" t="s">
        <v>53</v>
      </c>
      <c r="E72" s="2" t="s">
        <v>46</v>
      </c>
      <c r="F72" s="2" t="s">
        <v>47</v>
      </c>
      <c r="H72" s="6">
        <v>86.42</v>
      </c>
    </row>
    <row r="73" spans="1:9" x14ac:dyDescent="0.25">
      <c r="A73" s="2" t="s">
        <v>20</v>
      </c>
      <c r="B73" s="2" t="s">
        <v>21</v>
      </c>
      <c r="D73" s="2" t="s">
        <v>36</v>
      </c>
      <c r="E73" s="2" t="s">
        <v>36</v>
      </c>
      <c r="F73" s="2" t="s">
        <v>54</v>
      </c>
      <c r="H73" s="6">
        <v>177.38</v>
      </c>
      <c r="I73" s="6">
        <f>G73-H73</f>
        <v>-177.38</v>
      </c>
    </row>
    <row r="74" spans="1:9" s="4" customFormat="1" x14ac:dyDescent="0.25">
      <c r="A74" s="3" t="s">
        <v>36</v>
      </c>
      <c r="B74" s="3" t="s">
        <v>36</v>
      </c>
      <c r="C74" s="13" t="s">
        <v>52</v>
      </c>
      <c r="D74" s="3" t="s">
        <v>36</v>
      </c>
      <c r="E74" s="3" t="s">
        <v>36</v>
      </c>
      <c r="F74" s="3" t="s">
        <v>55</v>
      </c>
      <c r="G74" s="5"/>
      <c r="H74" s="5"/>
      <c r="I74" s="5">
        <f>SUBTOTAL(9, I64:I73)</f>
        <v>-177.38</v>
      </c>
    </row>
    <row r="75" spans="1:9" x14ac:dyDescent="0.25">
      <c r="A75" s="2" t="s">
        <v>22</v>
      </c>
      <c r="B75" s="2" t="s">
        <v>23</v>
      </c>
      <c r="C75" s="14">
        <v>45658</v>
      </c>
      <c r="D75" s="2" t="s">
        <v>36</v>
      </c>
      <c r="E75" s="2" t="s">
        <v>36</v>
      </c>
      <c r="F75" s="2" t="s">
        <v>43</v>
      </c>
    </row>
    <row r="76" spans="1:9" x14ac:dyDescent="0.25">
      <c r="A76" s="2" t="s">
        <v>22</v>
      </c>
      <c r="B76" s="2" t="s">
        <v>23</v>
      </c>
      <c r="C76" s="14" t="s">
        <v>52</v>
      </c>
      <c r="D76" s="2" t="s">
        <v>98</v>
      </c>
      <c r="E76" s="2" t="s">
        <v>46</v>
      </c>
      <c r="F76" s="2" t="s">
        <v>99</v>
      </c>
      <c r="G76" s="6">
        <v>4000</v>
      </c>
    </row>
    <row r="77" spans="1:9" x14ac:dyDescent="0.25">
      <c r="A77" s="2" t="s">
        <v>22</v>
      </c>
      <c r="B77" s="2" t="s">
        <v>23</v>
      </c>
      <c r="D77" s="2" t="s">
        <v>36</v>
      </c>
      <c r="E77" s="2" t="s">
        <v>36</v>
      </c>
      <c r="F77" s="2" t="s">
        <v>54</v>
      </c>
      <c r="G77" s="6">
        <v>4000</v>
      </c>
      <c r="I77" s="6">
        <f>G77-H77</f>
        <v>4000</v>
      </c>
    </row>
    <row r="78" spans="1:9" s="4" customFormat="1" x14ac:dyDescent="0.25">
      <c r="A78" s="3" t="s">
        <v>36</v>
      </c>
      <c r="B78" s="3" t="s">
        <v>36</v>
      </c>
      <c r="C78" s="13" t="s">
        <v>52</v>
      </c>
      <c r="D78" s="3" t="s">
        <v>36</v>
      </c>
      <c r="E78" s="3" t="s">
        <v>36</v>
      </c>
      <c r="F78" s="3" t="s">
        <v>55</v>
      </c>
      <c r="G78" s="5"/>
      <c r="H78" s="5"/>
      <c r="I78" s="5">
        <f>SUBTOTAL(9, I75:I77)</f>
        <v>4000</v>
      </c>
    </row>
    <row r="79" spans="1:9" x14ac:dyDescent="0.25">
      <c r="A79" s="2" t="s">
        <v>24</v>
      </c>
      <c r="B79" s="2" t="s">
        <v>25</v>
      </c>
      <c r="C79" s="14">
        <v>45658</v>
      </c>
      <c r="D79" s="2" t="s">
        <v>36</v>
      </c>
      <c r="E79" s="2" t="s">
        <v>36</v>
      </c>
      <c r="F79" s="2" t="s">
        <v>43</v>
      </c>
    </row>
    <row r="80" spans="1:9" x14ac:dyDescent="0.25">
      <c r="A80" s="2" t="s">
        <v>24</v>
      </c>
      <c r="B80" s="2" t="s">
        <v>25</v>
      </c>
      <c r="C80" s="14" t="s">
        <v>52</v>
      </c>
      <c r="D80" s="2" t="s">
        <v>98</v>
      </c>
      <c r="E80" s="2" t="s">
        <v>46</v>
      </c>
      <c r="F80" s="2" t="s">
        <v>99</v>
      </c>
      <c r="G80" s="6">
        <v>6200</v>
      </c>
    </row>
    <row r="81" spans="1:9" x14ac:dyDescent="0.25">
      <c r="A81" s="2" t="s">
        <v>24</v>
      </c>
      <c r="B81" s="2" t="s">
        <v>25</v>
      </c>
      <c r="D81" s="2" t="s">
        <v>36</v>
      </c>
      <c r="E81" s="2" t="s">
        <v>36</v>
      </c>
      <c r="F81" s="2" t="s">
        <v>54</v>
      </c>
      <c r="G81" s="6">
        <v>6200</v>
      </c>
      <c r="I81" s="6">
        <f>G81-H81</f>
        <v>6200</v>
      </c>
    </row>
    <row r="82" spans="1:9" s="4" customFormat="1" x14ac:dyDescent="0.25">
      <c r="A82" s="3" t="s">
        <v>36</v>
      </c>
      <c r="B82" s="3" t="s">
        <v>36</v>
      </c>
      <c r="C82" s="13" t="s">
        <v>52</v>
      </c>
      <c r="D82" s="3" t="s">
        <v>36</v>
      </c>
      <c r="E82" s="3" t="s">
        <v>36</v>
      </c>
      <c r="F82" s="3" t="s">
        <v>55</v>
      </c>
      <c r="G82" s="5"/>
      <c r="H82" s="5"/>
      <c r="I82" s="5">
        <f>SUBTOTAL(9, I79:I81)</f>
        <v>6200</v>
      </c>
    </row>
    <row r="83" spans="1:9" x14ac:dyDescent="0.25">
      <c r="A83" s="2" t="s">
        <v>26</v>
      </c>
      <c r="B83" s="2" t="s">
        <v>27</v>
      </c>
      <c r="C83" s="14">
        <v>45658</v>
      </c>
      <c r="D83" s="2" t="s">
        <v>36</v>
      </c>
      <c r="E83" s="2" t="s">
        <v>36</v>
      </c>
      <c r="F83" s="2" t="s">
        <v>43</v>
      </c>
    </row>
    <row r="84" spans="1:9" x14ac:dyDescent="0.25">
      <c r="A84" s="2" t="s">
        <v>26</v>
      </c>
      <c r="B84" s="2" t="s">
        <v>27</v>
      </c>
      <c r="C84" s="14" t="s">
        <v>59</v>
      </c>
      <c r="D84" s="2" t="s">
        <v>60</v>
      </c>
      <c r="E84" s="2" t="s">
        <v>46</v>
      </c>
      <c r="F84" s="2" t="s">
        <v>61</v>
      </c>
      <c r="G84" s="6">
        <v>760</v>
      </c>
    </row>
    <row r="85" spans="1:9" x14ac:dyDescent="0.25">
      <c r="A85" s="2" t="s">
        <v>26</v>
      </c>
      <c r="B85" s="2" t="s">
        <v>27</v>
      </c>
      <c r="C85" s="14" t="s">
        <v>62</v>
      </c>
      <c r="D85" s="2" t="s">
        <v>63</v>
      </c>
      <c r="E85" s="2" t="s">
        <v>46</v>
      </c>
      <c r="F85" s="2" t="s">
        <v>64</v>
      </c>
      <c r="G85" s="6">
        <v>150</v>
      </c>
    </row>
    <row r="86" spans="1:9" x14ac:dyDescent="0.25">
      <c r="A86" s="2" t="s">
        <v>26</v>
      </c>
      <c r="B86" s="2" t="s">
        <v>27</v>
      </c>
      <c r="C86" s="14">
        <v>45814</v>
      </c>
      <c r="D86" s="2" t="s">
        <v>85</v>
      </c>
      <c r="E86" s="2" t="s">
        <v>46</v>
      </c>
      <c r="F86" s="2" t="s">
        <v>86</v>
      </c>
      <c r="G86" s="6">
        <v>5</v>
      </c>
    </row>
    <row r="87" spans="1:9" x14ac:dyDescent="0.25">
      <c r="A87" s="2" t="s">
        <v>26</v>
      </c>
      <c r="B87" s="2" t="s">
        <v>27</v>
      </c>
      <c r="C87" s="14">
        <v>45814</v>
      </c>
      <c r="D87" s="2" t="s">
        <v>89</v>
      </c>
      <c r="E87" s="2" t="s">
        <v>46</v>
      </c>
      <c r="F87" s="2" t="s">
        <v>86</v>
      </c>
      <c r="G87" s="6">
        <v>5</v>
      </c>
    </row>
    <row r="88" spans="1:9" x14ac:dyDescent="0.25">
      <c r="A88" s="2" t="s">
        <v>26</v>
      </c>
      <c r="B88" s="2" t="s">
        <v>27</v>
      </c>
      <c r="C88" s="14">
        <v>45968</v>
      </c>
      <c r="D88" s="2" t="s">
        <v>95</v>
      </c>
      <c r="E88" s="2" t="s">
        <v>46</v>
      </c>
      <c r="F88" s="2" t="s">
        <v>86</v>
      </c>
      <c r="G88" s="6">
        <v>5</v>
      </c>
    </row>
    <row r="89" spans="1:9" x14ac:dyDescent="0.25">
      <c r="A89" s="2" t="s">
        <v>26</v>
      </c>
      <c r="B89" s="2" t="s">
        <v>27</v>
      </c>
      <c r="C89" s="14" t="s">
        <v>71</v>
      </c>
      <c r="D89" s="2" t="s">
        <v>72</v>
      </c>
      <c r="E89" s="2" t="s">
        <v>46</v>
      </c>
      <c r="F89" s="2" t="s">
        <v>73</v>
      </c>
      <c r="G89" s="6">
        <v>100</v>
      </c>
    </row>
    <row r="90" spans="1:9" x14ac:dyDescent="0.25">
      <c r="A90" s="2" t="s">
        <v>26</v>
      </c>
      <c r="B90" s="2" t="s">
        <v>27</v>
      </c>
      <c r="C90" s="14">
        <v>45669</v>
      </c>
      <c r="D90" s="2" t="s">
        <v>84</v>
      </c>
      <c r="E90" s="2" t="s">
        <v>46</v>
      </c>
      <c r="F90" s="2" t="s">
        <v>64</v>
      </c>
      <c r="G90" s="6">
        <v>150</v>
      </c>
    </row>
    <row r="91" spans="1:9" x14ac:dyDescent="0.25">
      <c r="A91" s="2" t="s">
        <v>26</v>
      </c>
      <c r="B91" s="2" t="s">
        <v>27</v>
      </c>
      <c r="D91" s="2" t="s">
        <v>36</v>
      </c>
      <c r="E91" s="2" t="s">
        <v>36</v>
      </c>
      <c r="F91" s="2" t="s">
        <v>54</v>
      </c>
      <c r="G91" s="6">
        <v>1175</v>
      </c>
      <c r="I91" s="6">
        <f>G91-H91</f>
        <v>1175</v>
      </c>
    </row>
    <row r="92" spans="1:9" s="4" customFormat="1" x14ac:dyDescent="0.25">
      <c r="A92" s="3" t="s">
        <v>36</v>
      </c>
      <c r="B92" s="3" t="s">
        <v>36</v>
      </c>
      <c r="C92" s="13" t="s">
        <v>52</v>
      </c>
      <c r="D92" s="3" t="s">
        <v>36</v>
      </c>
      <c r="E92" s="3" t="s">
        <v>36</v>
      </c>
      <c r="F92" s="3" t="s">
        <v>55</v>
      </c>
      <c r="G92" s="5"/>
      <c r="H92" s="5"/>
      <c r="I92" s="5">
        <f>SUBTOTAL(9, I83:I91)</f>
        <v>1175</v>
      </c>
    </row>
    <row r="93" spans="1:9" x14ac:dyDescent="0.25">
      <c r="A93" s="2" t="s">
        <v>28</v>
      </c>
      <c r="B93" s="2" t="s">
        <v>29</v>
      </c>
      <c r="C93" s="14">
        <v>45658</v>
      </c>
      <c r="D93" s="2" t="s">
        <v>36</v>
      </c>
      <c r="E93" s="2" t="s">
        <v>36</v>
      </c>
      <c r="F93" s="2" t="s">
        <v>43</v>
      </c>
    </row>
    <row r="94" spans="1:9" x14ac:dyDescent="0.25">
      <c r="A94" s="2" t="s">
        <v>28</v>
      </c>
      <c r="B94" s="2" t="s">
        <v>29</v>
      </c>
      <c r="C94" s="14">
        <v>45968</v>
      </c>
      <c r="D94" s="2" t="s">
        <v>92</v>
      </c>
      <c r="E94" s="2" t="s">
        <v>46</v>
      </c>
      <c r="F94" s="2" t="s">
        <v>94</v>
      </c>
      <c r="G94" s="6">
        <v>2200</v>
      </c>
    </row>
    <row r="95" spans="1:9" x14ac:dyDescent="0.25">
      <c r="A95" s="2" t="s">
        <v>28</v>
      </c>
      <c r="B95" s="2" t="s">
        <v>29</v>
      </c>
      <c r="D95" s="2" t="s">
        <v>36</v>
      </c>
      <c r="E95" s="2" t="s">
        <v>36</v>
      </c>
      <c r="F95" s="2" t="s">
        <v>54</v>
      </c>
      <c r="G95" s="6">
        <v>2200</v>
      </c>
      <c r="I95" s="6">
        <f>G95-H95</f>
        <v>2200</v>
      </c>
    </row>
    <row r="96" spans="1:9" s="4" customFormat="1" x14ac:dyDescent="0.25">
      <c r="A96" s="3" t="s">
        <v>36</v>
      </c>
      <c r="B96" s="3" t="s">
        <v>36</v>
      </c>
      <c r="C96" s="13" t="s">
        <v>52</v>
      </c>
      <c r="D96" s="3" t="s">
        <v>36</v>
      </c>
      <c r="E96" s="3" t="s">
        <v>36</v>
      </c>
      <c r="F96" s="3" t="s">
        <v>55</v>
      </c>
      <c r="G96" s="5"/>
      <c r="H96" s="5"/>
      <c r="I96" s="5">
        <f>SUBTOTAL(9, I93:I95)</f>
        <v>2200</v>
      </c>
    </row>
    <row r="97" spans="1:9" x14ac:dyDescent="0.25">
      <c r="A97" s="2" t="s">
        <v>30</v>
      </c>
      <c r="B97" s="2" t="s">
        <v>31</v>
      </c>
      <c r="C97" s="14">
        <v>45658</v>
      </c>
      <c r="D97" s="2" t="s">
        <v>36</v>
      </c>
      <c r="E97" s="2" t="s">
        <v>36</v>
      </c>
      <c r="F97" s="2" t="s">
        <v>43</v>
      </c>
    </row>
    <row r="98" spans="1:9" x14ac:dyDescent="0.25">
      <c r="A98" s="2" t="s">
        <v>30</v>
      </c>
      <c r="B98" s="2" t="s">
        <v>31</v>
      </c>
      <c r="C98" s="14">
        <v>45968</v>
      </c>
      <c r="D98" s="2" t="s">
        <v>92</v>
      </c>
      <c r="E98" s="2" t="s">
        <v>46</v>
      </c>
      <c r="F98" s="2" t="s">
        <v>93</v>
      </c>
      <c r="G98" s="6">
        <v>5105</v>
      </c>
    </row>
    <row r="99" spans="1:9" x14ac:dyDescent="0.25">
      <c r="A99" s="2" t="s">
        <v>30</v>
      </c>
      <c r="B99" s="2" t="s">
        <v>31</v>
      </c>
      <c r="D99" s="2" t="s">
        <v>36</v>
      </c>
      <c r="E99" s="2" t="s">
        <v>36</v>
      </c>
      <c r="F99" s="2" t="s">
        <v>54</v>
      </c>
      <c r="G99" s="6">
        <v>5105</v>
      </c>
      <c r="I99" s="6">
        <f>G99-H99</f>
        <v>5105</v>
      </c>
    </row>
    <row r="100" spans="1:9" s="4" customFormat="1" x14ac:dyDescent="0.25">
      <c r="A100" s="3" t="s">
        <v>36</v>
      </c>
      <c r="B100" s="3" t="s">
        <v>36</v>
      </c>
      <c r="C100" s="13" t="s">
        <v>52</v>
      </c>
      <c r="D100" s="3" t="s">
        <v>36</v>
      </c>
      <c r="E100" s="3" t="s">
        <v>36</v>
      </c>
      <c r="F100" s="3" t="s">
        <v>55</v>
      </c>
      <c r="G100" s="5"/>
      <c r="H100" s="5"/>
      <c r="I100" s="5">
        <f>SUBTOTAL(9, I97:I99)</f>
        <v>5105</v>
      </c>
    </row>
    <row r="101" spans="1:9" x14ac:dyDescent="0.25">
      <c r="A101" s="2" t="s">
        <v>32</v>
      </c>
      <c r="B101" s="2" t="s">
        <v>33</v>
      </c>
      <c r="C101" s="14">
        <v>45658</v>
      </c>
      <c r="D101" s="2" t="s">
        <v>36</v>
      </c>
      <c r="E101" s="2" t="s">
        <v>36</v>
      </c>
      <c r="F101" s="2" t="s">
        <v>43</v>
      </c>
    </row>
    <row r="102" spans="1:9" x14ac:dyDescent="0.25">
      <c r="A102" s="2" t="s">
        <v>32</v>
      </c>
      <c r="B102" s="2" t="s">
        <v>33</v>
      </c>
      <c r="C102" s="14">
        <v>45695</v>
      </c>
      <c r="D102" s="2" t="s">
        <v>66</v>
      </c>
      <c r="E102" s="2" t="s">
        <v>46</v>
      </c>
      <c r="F102" s="2" t="s">
        <v>68</v>
      </c>
      <c r="H102" s="6">
        <v>101.4</v>
      </c>
    </row>
    <row r="103" spans="1:9" x14ac:dyDescent="0.25">
      <c r="A103" s="2" t="s">
        <v>32</v>
      </c>
      <c r="B103" s="2" t="s">
        <v>33</v>
      </c>
      <c r="D103" s="2" t="s">
        <v>36</v>
      </c>
      <c r="E103" s="2" t="s">
        <v>36</v>
      </c>
      <c r="F103" s="2" t="s">
        <v>54</v>
      </c>
      <c r="H103" s="6">
        <v>101.4</v>
      </c>
      <c r="I103" s="6">
        <f>G103-H103</f>
        <v>-101.4</v>
      </c>
    </row>
    <row r="104" spans="1:9" s="4" customFormat="1" x14ac:dyDescent="0.25">
      <c r="A104" s="3" t="s">
        <v>36</v>
      </c>
      <c r="B104" s="3" t="s">
        <v>36</v>
      </c>
      <c r="C104" s="13" t="s">
        <v>52</v>
      </c>
      <c r="D104" s="3" t="s">
        <v>36</v>
      </c>
      <c r="E104" s="3" t="s">
        <v>36</v>
      </c>
      <c r="F104" s="3" t="s">
        <v>55</v>
      </c>
      <c r="G104" s="5"/>
      <c r="H104" s="5"/>
      <c r="I104" s="5">
        <f>SUBTOTAL(9, I101:I103)</f>
        <v>-101.4</v>
      </c>
    </row>
    <row r="105" spans="1:9" x14ac:dyDescent="0.25">
      <c r="A105" s="2" t="s">
        <v>34</v>
      </c>
      <c r="B105" s="2" t="s">
        <v>35</v>
      </c>
      <c r="C105" s="14">
        <v>45658</v>
      </c>
      <c r="D105" s="2" t="s">
        <v>36</v>
      </c>
      <c r="E105" s="2" t="s">
        <v>36</v>
      </c>
      <c r="F105" s="2" t="s">
        <v>43</v>
      </c>
    </row>
    <row r="106" spans="1:9" x14ac:dyDescent="0.25">
      <c r="A106" s="2" t="s">
        <v>34</v>
      </c>
      <c r="B106" s="2" t="s">
        <v>35</v>
      </c>
      <c r="C106" s="14" t="s">
        <v>52</v>
      </c>
      <c r="D106" s="2" t="s">
        <v>100</v>
      </c>
      <c r="E106" s="2" t="s">
        <v>46</v>
      </c>
      <c r="F106" s="2" t="s">
        <v>104</v>
      </c>
      <c r="H106" s="6">
        <v>6000</v>
      </c>
    </row>
    <row r="107" spans="1:9" x14ac:dyDescent="0.25">
      <c r="A107" s="2" t="s">
        <v>34</v>
      </c>
      <c r="B107" s="2" t="s">
        <v>35</v>
      </c>
      <c r="D107" s="2" t="s">
        <v>36</v>
      </c>
      <c r="E107" s="2" t="s">
        <v>36</v>
      </c>
      <c r="F107" s="2" t="s">
        <v>54</v>
      </c>
      <c r="H107" s="6">
        <v>6000</v>
      </c>
      <c r="I107" s="6">
        <f>G107-H107</f>
        <v>-6000</v>
      </c>
    </row>
    <row r="108" spans="1:9" s="4" customFormat="1" ht="12.75" thickBot="1" x14ac:dyDescent="0.3">
      <c r="A108" s="15" t="s">
        <v>36</v>
      </c>
      <c r="B108" s="15" t="s">
        <v>36</v>
      </c>
      <c r="C108" s="16" t="s">
        <v>52</v>
      </c>
      <c r="D108" s="15" t="s">
        <v>36</v>
      </c>
      <c r="E108" s="15" t="s">
        <v>36</v>
      </c>
      <c r="F108" s="15" t="s">
        <v>55</v>
      </c>
      <c r="G108" s="17"/>
      <c r="H108" s="17"/>
      <c r="I108" s="17">
        <f>SUBTOTAL(9, I105:I107)</f>
        <v>-6000</v>
      </c>
    </row>
  </sheetData>
  <phoneticPr fontId="3" type="noConversion"/>
  <pageMargins left="0.7" right="0.7" top="1.25" bottom="0.65277777777777779" header="0.3" footer="0.3"/>
  <pageSetup paperSize="9" orientation="landscape" r:id="rId1"/>
  <headerFooter>
    <oddHeader>&amp;C&amp;"Arial"&amp;12&amp;B Hesen (Hong Kong) Trading Limited&amp;B
&amp;11&amp;B General Ledger&amp;B
&amp;B For the Period From 1 Jan 2025 to 31 Dec 2025&amp;B&amp;L&amp;"Arial"&amp;12
&amp;11
&amp;"Arial"&amp;8 Filter Criteria includes: Report order is by ID. Report is printed with shortened descriptions and</oddHeader>
    <oddFooter>&amp;L&amp;9&amp;"Arial"&amp;B&amp;D at &amp;T&amp;R&amp;9&amp;"Arial"&amp;BPage: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7D36-1447-4439-8C7D-0B38D41E1B48}">
  <dimension ref="A1:C45"/>
  <sheetViews>
    <sheetView workbookViewId="0">
      <pane ySplit="1" topLeftCell="A2" activePane="bottomLeft" state="frozenSplit"/>
      <selection pane="bottomLeft"/>
    </sheetView>
  </sheetViews>
  <sheetFormatPr defaultRowHeight="12.75" x14ac:dyDescent="0.25"/>
  <cols>
    <col min="1" max="1" width="31.625" style="18" customWidth="1"/>
    <col min="2" max="3" width="13.625" style="18" customWidth="1"/>
    <col min="4" max="16384" width="9" style="18"/>
  </cols>
  <sheetData>
    <row r="1" spans="1:3" x14ac:dyDescent="0.25">
      <c r="A1" s="19"/>
      <c r="B1" s="19"/>
      <c r="C1" s="19"/>
    </row>
    <row r="2" spans="1:3" x14ac:dyDescent="0.25">
      <c r="A2" s="20" t="s">
        <v>105</v>
      </c>
    </row>
    <row r="3" spans="1:3" x14ac:dyDescent="0.25">
      <c r="A3" s="20" t="s">
        <v>36</v>
      </c>
    </row>
    <row r="4" spans="1:3" x14ac:dyDescent="0.25">
      <c r="A4" s="21" t="s">
        <v>106</v>
      </c>
    </row>
    <row r="5" spans="1:3" x14ac:dyDescent="0.25">
      <c r="A5" s="21" t="s">
        <v>5</v>
      </c>
      <c r="B5" s="22">
        <v>86954.46</v>
      </c>
      <c r="C5" s="21" t="s">
        <v>36</v>
      </c>
    </row>
    <row r="6" spans="1:3" x14ac:dyDescent="0.25">
      <c r="A6" s="21" t="s">
        <v>7</v>
      </c>
      <c r="B6" s="23">
        <v>583.09</v>
      </c>
      <c r="C6" s="21" t="s">
        <v>36</v>
      </c>
    </row>
    <row r="7" spans="1:3" x14ac:dyDescent="0.25">
      <c r="A7" s="21" t="s">
        <v>9</v>
      </c>
      <c r="B7" s="23">
        <v>434.38</v>
      </c>
      <c r="C7" s="21" t="s">
        <v>36</v>
      </c>
    </row>
    <row r="8" spans="1:3" customFormat="1" ht="16.5" x14ac:dyDescent="0.25">
      <c r="A8" s="24"/>
      <c r="B8" s="25"/>
      <c r="C8" s="26"/>
    </row>
    <row r="9" spans="1:3" x14ac:dyDescent="0.25">
      <c r="A9" s="21" t="s">
        <v>107</v>
      </c>
      <c r="B9" s="21" t="s">
        <v>36</v>
      </c>
      <c r="C9" s="23">
        <f>ROUND(SUBTOTAL(9, B2:B8), 5)</f>
        <v>87971.93</v>
      </c>
    </row>
    <row r="10" spans="1:3" x14ac:dyDescent="0.25">
      <c r="A10" s="20" t="s">
        <v>36</v>
      </c>
    </row>
    <row r="11" spans="1:3" x14ac:dyDescent="0.25">
      <c r="A11" s="21" t="s">
        <v>108</v>
      </c>
    </row>
    <row r="12" spans="1:3" customFormat="1" ht="16.5" x14ac:dyDescent="0.25">
      <c r="A12" s="24"/>
      <c r="B12" s="25"/>
      <c r="C12" s="26"/>
    </row>
    <row r="13" spans="1:3" x14ac:dyDescent="0.25">
      <c r="A13" s="21" t="s">
        <v>109</v>
      </c>
      <c r="B13" s="21" t="s">
        <v>36</v>
      </c>
      <c r="C13" s="23">
        <f>ROUND(SUBTOTAL(9, C10:C12), 5)</f>
        <v>0</v>
      </c>
    </row>
    <row r="14" spans="1:3" x14ac:dyDescent="0.25">
      <c r="A14" s="20" t="s">
        <v>36</v>
      </c>
    </row>
    <row r="15" spans="1:3" x14ac:dyDescent="0.25">
      <c r="A15" s="21" t="s">
        <v>110</v>
      </c>
    </row>
    <row r="16" spans="1:3" customFormat="1" ht="16.5" x14ac:dyDescent="0.25">
      <c r="A16" s="24"/>
      <c r="B16" s="25"/>
      <c r="C16" s="26"/>
    </row>
    <row r="17" spans="1:3" x14ac:dyDescent="0.25">
      <c r="A17" s="21" t="s">
        <v>111</v>
      </c>
      <c r="B17" s="21" t="s">
        <v>36</v>
      </c>
      <c r="C17" s="23">
        <f>ROUND(SUBTOTAL(9, C14:C16), 5)</f>
        <v>0</v>
      </c>
    </row>
    <row r="18" spans="1:3" customFormat="1" ht="16.5" x14ac:dyDescent="0.25">
      <c r="A18" s="24"/>
      <c r="B18" s="24"/>
      <c r="C18" s="27"/>
    </row>
    <row r="19" spans="1:3" ht="13.5" thickBot="1" x14ac:dyDescent="0.3">
      <c r="A19" s="21" t="s">
        <v>112</v>
      </c>
      <c r="B19" s="21" t="s">
        <v>36</v>
      </c>
      <c r="C19" s="22">
        <f>ROUND(C9+C13+C17, 5)</f>
        <v>87971.93</v>
      </c>
    </row>
    <row r="20" spans="1:3" customFormat="1" ht="17.25" thickTop="1" x14ac:dyDescent="0.25">
      <c r="A20" s="24"/>
      <c r="B20" s="24"/>
      <c r="C20" s="28"/>
    </row>
    <row r="21" spans="1:3" x14ac:dyDescent="0.25">
      <c r="A21" s="20" t="s">
        <v>36</v>
      </c>
    </row>
    <row r="22" spans="1:3" x14ac:dyDescent="0.25">
      <c r="A22" s="20" t="s">
        <v>36</v>
      </c>
    </row>
    <row r="23" spans="1:3" x14ac:dyDescent="0.25">
      <c r="A23" s="20" t="s">
        <v>113</v>
      </c>
    </row>
    <row r="24" spans="1:3" x14ac:dyDescent="0.25">
      <c r="A24" s="20" t="s">
        <v>36</v>
      </c>
    </row>
    <row r="25" spans="1:3" x14ac:dyDescent="0.25">
      <c r="A25" s="21" t="s">
        <v>114</v>
      </c>
    </row>
    <row r="26" spans="1:3" x14ac:dyDescent="0.25">
      <c r="A26" s="21" t="s">
        <v>11</v>
      </c>
      <c r="B26" s="22">
        <v>10200</v>
      </c>
      <c r="C26" s="21" t="s">
        <v>36</v>
      </c>
    </row>
    <row r="27" spans="1:3" x14ac:dyDescent="0.25">
      <c r="A27" s="21" t="s">
        <v>13</v>
      </c>
      <c r="B27" s="23">
        <v>-1377166.84</v>
      </c>
      <c r="C27" s="21" t="s">
        <v>36</v>
      </c>
    </row>
    <row r="28" spans="1:3" customFormat="1" ht="16.5" x14ac:dyDescent="0.25">
      <c r="A28" s="24"/>
      <c r="B28" s="25"/>
      <c r="C28" s="26"/>
    </row>
    <row r="29" spans="1:3" x14ac:dyDescent="0.25">
      <c r="A29" s="21" t="s">
        <v>115</v>
      </c>
      <c r="B29" s="21" t="s">
        <v>36</v>
      </c>
      <c r="C29" s="23">
        <f>ROUND(SUBTOTAL(9, B21:B28), 5)</f>
        <v>-1366966.84</v>
      </c>
    </row>
    <row r="30" spans="1:3" x14ac:dyDescent="0.25">
      <c r="A30" s="20" t="s">
        <v>36</v>
      </c>
    </row>
    <row r="31" spans="1:3" x14ac:dyDescent="0.25">
      <c r="A31" s="21" t="s">
        <v>116</v>
      </c>
    </row>
    <row r="32" spans="1:3" customFormat="1" ht="16.5" x14ac:dyDescent="0.25">
      <c r="A32" s="24"/>
      <c r="B32" s="25"/>
      <c r="C32" s="26"/>
    </row>
    <row r="33" spans="1:3" x14ac:dyDescent="0.25">
      <c r="A33" s="21" t="s">
        <v>117</v>
      </c>
      <c r="B33" s="21" t="s">
        <v>36</v>
      </c>
      <c r="C33" s="23">
        <f>ROUND(SUBTOTAL(9, C30:C32), 5)</f>
        <v>0</v>
      </c>
    </row>
    <row r="34" spans="1:3" customFormat="1" ht="16.5" x14ac:dyDescent="0.25">
      <c r="A34" s="24"/>
      <c r="B34" s="24"/>
      <c r="C34" s="27"/>
    </row>
    <row r="35" spans="1:3" x14ac:dyDescent="0.25">
      <c r="A35" s="21" t="s">
        <v>118</v>
      </c>
      <c r="B35" s="21" t="s">
        <v>36</v>
      </c>
      <c r="C35" s="23">
        <f>-(ROUND(-C29+-C33, 5))</f>
        <v>-1366966.84</v>
      </c>
    </row>
    <row r="36" spans="1:3" x14ac:dyDescent="0.25">
      <c r="A36" s="20" t="s">
        <v>36</v>
      </c>
    </row>
    <row r="37" spans="1:3" x14ac:dyDescent="0.25">
      <c r="A37" s="21" t="s">
        <v>119</v>
      </c>
    </row>
    <row r="38" spans="1:3" x14ac:dyDescent="0.25">
      <c r="A38" s="21" t="s">
        <v>15</v>
      </c>
      <c r="B38" s="23">
        <v>1403007.79</v>
      </c>
      <c r="C38" s="21" t="s">
        <v>36</v>
      </c>
    </row>
    <row r="39" spans="1:3" x14ac:dyDescent="0.25">
      <c r="A39" s="21" t="s">
        <v>17</v>
      </c>
      <c r="B39" s="23">
        <v>1</v>
      </c>
      <c r="C39" s="21" t="s">
        <v>36</v>
      </c>
    </row>
    <row r="40" spans="1:3" x14ac:dyDescent="0.25">
      <c r="A40" s="21" t="s">
        <v>120</v>
      </c>
      <c r="B40" s="23">
        <v>51929.98</v>
      </c>
      <c r="C40" s="21" t="s">
        <v>36</v>
      </c>
    </row>
    <row r="41" spans="1:3" customFormat="1" ht="16.5" x14ac:dyDescent="0.25">
      <c r="A41" s="24"/>
      <c r="B41" s="25"/>
      <c r="C41" s="26"/>
    </row>
    <row r="42" spans="1:3" x14ac:dyDescent="0.25">
      <c r="A42" s="21" t="s">
        <v>121</v>
      </c>
      <c r="B42" s="21" t="s">
        <v>36</v>
      </c>
      <c r="C42" s="23">
        <f>ROUND(SUBTOTAL(9, B36:B41), 5)</f>
        <v>1454938.77</v>
      </c>
    </row>
    <row r="43" spans="1:3" customFormat="1" ht="16.5" x14ac:dyDescent="0.25">
      <c r="A43" s="24"/>
      <c r="B43" s="24"/>
      <c r="C43" s="27"/>
    </row>
    <row r="44" spans="1:3" ht="13.5" thickBot="1" x14ac:dyDescent="0.3">
      <c r="A44" s="21" t="s">
        <v>122</v>
      </c>
      <c r="B44" s="21" t="s">
        <v>36</v>
      </c>
      <c r="C44" s="22">
        <f>-(ROUND(-C35+-C42, 5))</f>
        <v>87971.93</v>
      </c>
    </row>
    <row r="45" spans="1:3" customFormat="1" ht="18" thickTop="1" thickBot="1" x14ac:dyDescent="0.3">
      <c r="A45" s="29"/>
      <c r="B45" s="29"/>
      <c r="C45" s="30"/>
    </row>
  </sheetData>
  <phoneticPr fontId="3" type="noConversion"/>
  <pageMargins left="0.7" right="0.7" top="1.2222222222222223" bottom="0.65277777777777779" header="0.3" footer="0.3"/>
  <pageSetup paperSize="9" orientation="landscape" r:id="rId1"/>
  <headerFooter>
    <oddHeader xml:space="preserve">&amp;C&amp;"Times New Roman"&amp;10 Hesen (Hong Kong) Trading Limited
 Balance Sheet
 31 December 2025
 &amp;L&amp;"Times New Roman"&amp;10
</oddHeader>
    <oddFooter>&amp;L&amp;10&amp;"Times New Roman"&amp;D at &amp;T&amp;C&amp;10&amp;"Times New Roman"Unaudited - For Management Purposes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48F5-152F-41F7-8F31-D07E2C979746}">
  <dimension ref="A1:E27"/>
  <sheetViews>
    <sheetView tabSelected="1" workbookViewId="0">
      <pane ySplit="1" topLeftCell="A2" activePane="bottomLeft" state="frozenSplit"/>
      <selection pane="bottomLeft" activeCell="G25" sqref="G25"/>
    </sheetView>
  </sheetViews>
  <sheetFormatPr defaultRowHeight="12.75" x14ac:dyDescent="0.25"/>
  <cols>
    <col min="1" max="1" width="30.625" style="18" customWidth="1"/>
    <col min="2" max="2" width="13.625" style="18" customWidth="1"/>
    <col min="3" max="3" width="8.625" style="18" customWidth="1"/>
    <col min="4" max="4" width="14.625" style="18" customWidth="1"/>
    <col min="5" max="5" width="8.625" style="18" customWidth="1"/>
    <col min="6" max="16384" width="9" style="18"/>
  </cols>
  <sheetData>
    <row r="1" spans="1:5" x14ac:dyDescent="0.25">
      <c r="A1" s="20"/>
      <c r="B1" s="31" t="s">
        <v>123</v>
      </c>
      <c r="C1" s="20"/>
      <c r="D1" s="31" t="s">
        <v>124</v>
      </c>
      <c r="E1" s="20"/>
    </row>
    <row r="2" spans="1:5" x14ac:dyDescent="0.25">
      <c r="A2" s="21" t="s">
        <v>125</v>
      </c>
    </row>
    <row r="3" spans="1:5" x14ac:dyDescent="0.25">
      <c r="A3" s="21" t="s">
        <v>19</v>
      </c>
      <c r="B3" s="22">
        <v>64331.199999999997</v>
      </c>
      <c r="C3" s="23">
        <f>IF(64508.58&lt;&gt;0, (B3/64508.58)*100, 0)</f>
        <v>99.725028825622871</v>
      </c>
      <c r="D3" s="22">
        <v>64331.199999999997</v>
      </c>
      <c r="E3" s="23">
        <f>IF(64508.58&lt;&gt;0, (D3/64508.58)*100, 0)</f>
        <v>99.725028825622871</v>
      </c>
    </row>
    <row r="4" spans="1:5" x14ac:dyDescent="0.25">
      <c r="A4" s="21" t="s">
        <v>21</v>
      </c>
      <c r="B4" s="23">
        <v>177.38</v>
      </c>
      <c r="C4" s="23">
        <f>IF(64508.58&lt;&gt;0, (B4/64508.58)*100, 0)</f>
        <v>0.27497117437711388</v>
      </c>
      <c r="D4" s="23">
        <v>177.38</v>
      </c>
      <c r="E4" s="23">
        <f>IF(64508.58&lt;&gt;0, (D4/64508.58)*100, 0)</f>
        <v>0.27497117437711388</v>
      </c>
    </row>
    <row r="5" spans="1:5" customFormat="1" ht="16.5" x14ac:dyDescent="0.25">
      <c r="A5" s="24"/>
      <c r="B5" s="27"/>
      <c r="C5" s="26"/>
      <c r="D5" s="27"/>
      <c r="E5" s="26"/>
    </row>
    <row r="6" spans="1:5" x14ac:dyDescent="0.25">
      <c r="A6" s="21" t="s">
        <v>126</v>
      </c>
      <c r="B6" s="23">
        <f>ROUND(SUBTOTAL(9, B2:B5), 5)</f>
        <v>64508.58</v>
      </c>
      <c r="C6" s="23">
        <f>ROUND(SUBTOTAL(9, C2:C5), 5)</f>
        <v>100</v>
      </c>
      <c r="D6" s="23">
        <f>ROUND(SUBTOTAL(9, D2:D5), 5)</f>
        <v>64508.58</v>
      </c>
      <c r="E6" s="23">
        <f>ROUND(SUBTOTAL(9, E2:E5), 5)</f>
        <v>100</v>
      </c>
    </row>
    <row r="7" spans="1:5" customFormat="1" ht="16.5" x14ac:dyDescent="0.25">
      <c r="A7" s="24"/>
      <c r="B7" s="27"/>
      <c r="C7" s="26"/>
      <c r="D7" s="27"/>
      <c r="E7" s="26"/>
    </row>
    <row r="8" spans="1:5" x14ac:dyDescent="0.25">
      <c r="A8" s="20" t="s">
        <v>36</v>
      </c>
    </row>
    <row r="9" spans="1:5" x14ac:dyDescent="0.25">
      <c r="A9" s="21" t="s">
        <v>127</v>
      </c>
    </row>
    <row r="10" spans="1:5" customFormat="1" ht="16.5" x14ac:dyDescent="0.25">
      <c r="A10" s="24"/>
      <c r="B10" s="27"/>
      <c r="C10" s="26"/>
      <c r="D10" s="27"/>
      <c r="E10" s="26"/>
    </row>
    <row r="11" spans="1:5" x14ac:dyDescent="0.25">
      <c r="A11" s="21" t="s">
        <v>128</v>
      </c>
      <c r="B11" s="23">
        <f>ROUND(SUBTOTAL(9, B8:B10), 5)</f>
        <v>0</v>
      </c>
      <c r="C11" s="23">
        <f>ROUND(SUBTOTAL(9, C8:C10), 5)</f>
        <v>0</v>
      </c>
      <c r="D11" s="23">
        <f>ROUND(SUBTOTAL(9, D8:D10), 5)</f>
        <v>0</v>
      </c>
      <c r="E11" s="23">
        <f>ROUND(SUBTOTAL(9, E8:E10), 5)</f>
        <v>0</v>
      </c>
    </row>
    <row r="12" spans="1:5" customFormat="1" ht="16.5" x14ac:dyDescent="0.25">
      <c r="A12" s="24"/>
      <c r="B12" s="27"/>
      <c r="C12" s="26"/>
      <c r="D12" s="27"/>
      <c r="E12" s="26"/>
    </row>
    <row r="13" spans="1:5" x14ac:dyDescent="0.25">
      <c r="A13" s="21" t="s">
        <v>129</v>
      </c>
      <c r="B13" s="23">
        <f>-(ROUND(-B6+B11, 5))</f>
        <v>64508.58</v>
      </c>
      <c r="C13" s="23">
        <f>-(ROUND(-C6+C11, 5))</f>
        <v>100</v>
      </c>
      <c r="D13" s="23">
        <f>-(ROUND(-D6+D11, 5))</f>
        <v>64508.58</v>
      </c>
      <c r="E13" s="23">
        <f>-(ROUND(-E6+E11, 5))</f>
        <v>100</v>
      </c>
    </row>
    <row r="14" spans="1:5" customFormat="1" ht="16.5" x14ac:dyDescent="0.25">
      <c r="A14" s="24"/>
      <c r="B14" s="27"/>
      <c r="C14" s="26"/>
      <c r="D14" s="27"/>
      <c r="E14" s="26"/>
    </row>
    <row r="15" spans="1:5" x14ac:dyDescent="0.25">
      <c r="A15" s="21" t="s">
        <v>130</v>
      </c>
    </row>
    <row r="16" spans="1:5" x14ac:dyDescent="0.25">
      <c r="A16" s="21" t="s">
        <v>23</v>
      </c>
      <c r="B16" s="23">
        <v>4000</v>
      </c>
      <c r="C16" s="23">
        <f>IF(64508.58&lt;&gt;0, (B16/64508.58)*100, 0)</f>
        <v>6.2007255468962423</v>
      </c>
      <c r="D16" s="23">
        <v>4000</v>
      </c>
      <c r="E16" s="23">
        <f>IF(64508.58&lt;&gt;0, (D16/64508.58)*100, 0)</f>
        <v>6.2007255468962423</v>
      </c>
    </row>
    <row r="17" spans="1:5" x14ac:dyDescent="0.25">
      <c r="A17" s="21" t="s">
        <v>25</v>
      </c>
      <c r="B17" s="23">
        <v>6200</v>
      </c>
      <c r="C17" s="23">
        <f>IF(64508.58&lt;&gt;0, (B17/64508.58)*100, 0)</f>
        <v>9.6111245976891766</v>
      </c>
      <c r="D17" s="23">
        <v>6200</v>
      </c>
      <c r="E17" s="23">
        <f>IF(64508.58&lt;&gt;0, (D17/64508.58)*100, 0)</f>
        <v>9.6111245976891766</v>
      </c>
    </row>
    <row r="18" spans="1:5" x14ac:dyDescent="0.25">
      <c r="A18" s="21" t="s">
        <v>27</v>
      </c>
      <c r="B18" s="23">
        <v>1175</v>
      </c>
      <c r="C18" s="23">
        <f>IF(64508.58&lt;&gt;0, (B18/64508.58)*100, 0)</f>
        <v>1.8214631294007713</v>
      </c>
      <c r="D18" s="23">
        <v>1175</v>
      </c>
      <c r="E18" s="23">
        <f>IF(64508.58&lt;&gt;0, (D18/64508.58)*100, 0)</f>
        <v>1.8214631294007713</v>
      </c>
    </row>
    <row r="19" spans="1:5" x14ac:dyDescent="0.25">
      <c r="A19" s="21" t="s">
        <v>29</v>
      </c>
      <c r="B19" s="23">
        <v>2200</v>
      </c>
      <c r="C19" s="23">
        <f>IF(64508.58&lt;&gt;0, (B19/64508.58)*100, 0)</f>
        <v>3.4103990507929329</v>
      </c>
      <c r="D19" s="23">
        <v>2200</v>
      </c>
      <c r="E19" s="23">
        <f>IF(64508.58&lt;&gt;0, (D19/64508.58)*100, 0)</f>
        <v>3.4103990507929329</v>
      </c>
    </row>
    <row r="20" spans="1:5" x14ac:dyDescent="0.25">
      <c r="A20" s="21" t="s">
        <v>31</v>
      </c>
      <c r="B20" s="23">
        <v>5105</v>
      </c>
      <c r="C20" s="23">
        <f>IF(64508.58&lt;&gt;0, (B20/64508.58)*100, 0)</f>
        <v>7.913675979226328</v>
      </c>
      <c r="D20" s="23">
        <v>5105</v>
      </c>
      <c r="E20" s="23">
        <f>IF(64508.58&lt;&gt;0, (D20/64508.58)*100, 0)</f>
        <v>7.913675979226328</v>
      </c>
    </row>
    <row r="21" spans="1:5" x14ac:dyDescent="0.25">
      <c r="A21" s="21" t="s">
        <v>33</v>
      </c>
      <c r="B21" s="23">
        <v>-101.4</v>
      </c>
      <c r="C21" s="23">
        <f>IF(64508.58&lt;&gt;0, (B21/64508.58)*100, 0)</f>
        <v>-0.15718839261381976</v>
      </c>
      <c r="D21" s="23">
        <v>-101.4</v>
      </c>
      <c r="E21" s="23">
        <f>IF(64508.58&lt;&gt;0, (D21/64508.58)*100, 0)</f>
        <v>-0.15718839261381976</v>
      </c>
    </row>
    <row r="22" spans="1:5" x14ac:dyDescent="0.25">
      <c r="A22" s="21" t="s">
        <v>35</v>
      </c>
      <c r="B22" s="23">
        <v>-6000</v>
      </c>
      <c r="C22" s="23">
        <f>IF(64508.58&lt;&gt;0, (B22/64508.58)*100, 0)</f>
        <v>-9.3010883203443626</v>
      </c>
      <c r="D22" s="23">
        <v>-6000</v>
      </c>
      <c r="E22" s="23">
        <f>IF(64508.58&lt;&gt;0, (D22/64508.58)*100, 0)</f>
        <v>-9.3010883203443626</v>
      </c>
    </row>
    <row r="23" spans="1:5" customFormat="1" ht="16.5" x14ac:dyDescent="0.25">
      <c r="A23" s="24"/>
      <c r="B23" s="27"/>
      <c r="C23" s="26"/>
      <c r="D23" s="27"/>
      <c r="E23" s="26"/>
    </row>
    <row r="24" spans="1:5" x14ac:dyDescent="0.25">
      <c r="A24" s="21" t="s">
        <v>131</v>
      </c>
      <c r="B24" s="23">
        <f>ROUND(SUBTOTAL(9, B15:B23), 5)</f>
        <v>12578.6</v>
      </c>
      <c r="C24" s="23">
        <f>ROUND(SUBTOTAL(9, C15:C23), 5)</f>
        <v>19.499110000000002</v>
      </c>
      <c r="D24" s="23">
        <f>ROUND(SUBTOTAL(9, D15:D23), 5)</f>
        <v>12578.6</v>
      </c>
      <c r="E24" s="23">
        <f>ROUND(SUBTOTAL(9, E15:E23), 5)</f>
        <v>19.499110000000002</v>
      </c>
    </row>
    <row r="25" spans="1:5" customFormat="1" ht="16.5" x14ac:dyDescent="0.25">
      <c r="A25" s="24"/>
      <c r="B25" s="27"/>
      <c r="C25" s="26"/>
      <c r="D25" s="27"/>
      <c r="E25" s="26"/>
    </row>
    <row r="26" spans="1:5" ht="13.5" thickBot="1" x14ac:dyDescent="0.3">
      <c r="A26" s="21" t="s">
        <v>120</v>
      </c>
      <c r="B26" s="22">
        <f>-(ROUND(-B13+B24, 5))</f>
        <v>51929.98</v>
      </c>
      <c r="C26" s="23">
        <f>-(ROUND(-C13+C24, 5))</f>
        <v>80.500889999999998</v>
      </c>
      <c r="D26" s="22">
        <f>-(ROUND(-D13+D24, 5))</f>
        <v>51929.98</v>
      </c>
      <c r="E26" s="23">
        <f>-(ROUND(-E13+E24, 5))</f>
        <v>80.500889999999998</v>
      </c>
    </row>
    <row r="27" spans="1:5" customFormat="1" ht="18" thickTop="1" thickBot="1" x14ac:dyDescent="0.3">
      <c r="A27" s="29"/>
      <c r="B27" s="30"/>
      <c r="C27" s="32"/>
      <c r="D27" s="30"/>
      <c r="E27" s="32"/>
    </row>
  </sheetData>
  <phoneticPr fontId="3" type="noConversion"/>
  <pageMargins left="0.7" right="0.7" top="1.375" bottom="0.65277777777777779" header="0.3" footer="0.3"/>
  <pageSetup paperSize="9" orientation="landscape" r:id="rId1"/>
  <headerFooter>
    <oddHeader xml:space="preserve">&amp;C&amp;"Times New Roman"&amp;8 
&amp;10 Hesen (Hong Kong) Trading Limited
 Income Statement
 For the Twelve Months Ending 31 December 2025
 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TB-31.12.25</vt:lpstr>
      <vt:lpstr>GL-31.12.25</vt:lpstr>
      <vt:lpstr>BS-31.12.25</vt:lpstr>
      <vt:lpstr>IS-31.12.25</vt:lpstr>
      <vt:lpstr>'BS-31.12.25'!Print_Titles</vt:lpstr>
      <vt:lpstr>'GL-31.12.25'!Print_Titles</vt:lpstr>
      <vt:lpstr>'IS-31.12.25'!Print_Titles</vt:lpstr>
      <vt:lpstr>'TB-31.12.25'!Print_Titles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</dc:creator>
  <cp:lastModifiedBy>Dennis Mak</cp:lastModifiedBy>
  <dcterms:created xsi:type="dcterms:W3CDTF">2026-06-22T11:09:30Z</dcterms:created>
  <dcterms:modified xsi:type="dcterms:W3CDTF">2026-06-22T11:10:47Z</dcterms:modified>
</cp:coreProperties>
</file>