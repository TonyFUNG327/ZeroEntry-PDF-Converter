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666.28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87062.46000000001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45191</v>
      </c>
      <c r="C3" s="3" t="inlineStr">
        <is>
          <t>轉賬交易 TRANSFER</t>
        </is>
      </c>
      <c r="D3" s="5" t="n"/>
      <c r="E3" s="6" t="n">
        <v>86500</v>
      </c>
      <c r="F3" s="7" t="n">
        <v>562.46</v>
      </c>
      <c r="G3" s="8">
        <f>IF(AND(D3="",E3=""),F3,G2+IF(D3="",0,D3)-IF(E3="",0,E3))</f>
        <v/>
      </c>
    </row>
    <row r="4">
      <c r="A4" s="3" t="inlineStr">
        <is>
          <t>Bank of Communications USD Savings</t>
        </is>
      </c>
      <c r="B4" s="4" t="n">
        <v>45198</v>
      </c>
      <c r="C4" s="3" t="inlineStr">
        <is>
          <t>利息 INTEREST</t>
        </is>
      </c>
      <c r="D4" s="5" t="n">
        <v>0.27</v>
      </c>
      <c r="E4" s="6" t="n"/>
      <c r="F4" s="7" t="n">
        <v>562.73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271064.13</v>
      </c>
      <c r="G2" s="8">
        <f>IF(AND(D2="",E2=""),F2,IF(D2="",0,D2)-IF(E2="",0,E2))</f>
        <v/>
      </c>
    </row>
    <row r="3">
      <c r="A3" s="3" t="inlineStr">
        <is>
          <t>Bank of Communications HKD Current</t>
        </is>
      </c>
      <c r="B3" s="4" t="n">
        <v>45191</v>
      </c>
      <c r="C3" s="3" t="inlineStr">
        <is>
          <t>轉賬交易 TRANSFER 交換票 CHEQUE</t>
        </is>
      </c>
      <c r="D3" s="5" t="n">
        <v>675046.52</v>
      </c>
      <c r="E3" s="6" t="n"/>
      <c r="F3" s="7" t="n">
        <v>946110.65</v>
      </c>
      <c r="G3" s="8">
        <f>IF(AND(D3="",E3=""),F3,G2+IF(D3="",0,D3)-IF(E3="",0,E3))</f>
        <v/>
      </c>
    </row>
    <row r="4">
      <c r="A4" s="3" t="inlineStr">
        <is>
          <t>Bank of Communications HKD Current</t>
        </is>
      </c>
      <c r="B4" s="4" t="n">
        <v>45196</v>
      </c>
      <c r="C4" s="3" t="inlineStr">
        <is>
          <t>BALANCE 000059</t>
        </is>
      </c>
      <c r="D4" s="5" t="n"/>
      <c r="E4" s="6" t="n">
        <v>950000</v>
      </c>
      <c r="F4" s="7" t="n"/>
      <c r="G4" s="8">
        <f>IF(AND(D4="",E4=""),F4,G3+IF(D4="",0,D4)-IF(E4="",0,E4))</f>
        <v/>
      </c>
    </row>
    <row r="5">
      <c r="A5" s="3" t="inlineStr">
        <is>
          <t>Bank of Communications HKD Current</t>
        </is>
      </c>
      <c r="B5" s="4" t="n">
        <v>45197</v>
      </c>
      <c r="C5" s="3" t="inlineStr">
        <is>
          <t>現金交易 CASH 銀行費用 BANK CHARGES</t>
        </is>
      </c>
      <c r="D5" s="5" t="n">
        <v>5000</v>
      </c>
      <c r="E5" s="6" t="n"/>
      <c r="F5" s="7" t="n">
        <v>1110.65</v>
      </c>
      <c r="G5" s="8">
        <f>IF(AND(D5="",E5=""),F5,G4+IF(D5="",0,D5)-IF(E5="",0,E5))</f>
        <v/>
      </c>
    </row>
    <row r="6">
      <c r="A6" s="3" t="inlineStr">
        <is>
          <t>Bank of Communications HKD Current</t>
        </is>
      </c>
      <c r="B6" s="4" t="n">
        <v>45197</v>
      </c>
      <c r="C6" s="3" t="inlineStr">
        <is>
          <t>BALANCE 臨時透支 (港幣)/CQ#000059</t>
        </is>
      </c>
      <c r="D6" s="5" t="n"/>
      <c r="E6" s="6" t="n">
        <v>120</v>
      </c>
      <c r="F6" s="7" t="n">
        <v>990.65</v>
      </c>
      <c r="G6" s="8">
        <f>IF(AND(D6="",E6=""),F6,G5+IF(D6="",0,D6)-IF(E6="",0,E6))</f>
        <v/>
      </c>
    </row>
    <row r="7">
      <c r="A7" s="3" t="inlineStr">
        <is>
          <t>Bank of Communications HKD Current</t>
        </is>
      </c>
      <c r="B7" s="4" t="n">
        <v>45198</v>
      </c>
      <c r="C7" s="3" t="inlineStr">
        <is>
          <t>利息 INTEREST</t>
        </is>
      </c>
      <c r="D7" s="5" t="n"/>
      <c r="E7" s="6" t="n">
        <v>1.61</v>
      </c>
      <c r="F7" s="7" t="n">
        <v>989.04</v>
      </c>
      <c r="G7" s="8">
        <f>IF(AND(D7="",E7=""),F7,G6+IF(D7="",0,D7)-IF(E7="",0,E7))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2026-06-23T05:50:07Z</dcterms:created>
  <dcterms:modified xmlns:dcterms="http://purl.org/dc/terms/" xmlns:xsi="http://www.w3.org/2001/XMLSchema-instance" xsi:type="dcterms:W3CDTF">2026-06-23T05:50:07Z</dcterms:modified>
</cp:coreProperties>
</file>