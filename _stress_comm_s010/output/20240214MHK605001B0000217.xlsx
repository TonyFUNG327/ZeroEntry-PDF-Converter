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 HKD Savings" sheetId="1" state="visible" r:id="rId1"/>
    <sheet xmlns:r="http://schemas.openxmlformats.org/officeDocument/2006/relationships" name="COMM USD Savings" sheetId="2" state="visible" r:id="rId2"/>
    <sheet xmlns:r="http://schemas.openxmlformats.org/officeDocument/2006/relationships" name="COMM HKD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Savings</t>
        </is>
      </c>
      <c r="B2" s="4" t="n"/>
      <c r="C2" s="3" t="inlineStr">
        <is>
          <t>BAL B/F</t>
        </is>
      </c>
      <c r="D2" s="5" t="n"/>
      <c r="E2" s="6" t="n"/>
      <c r="F2" s="7" t="n">
        <v>566.28</v>
      </c>
      <c r="G2" s="8">
        <f>IF(AND(D2="",E2=""),F2,IF(D2="",0,D2)-IF(E2="",0,E2))</f>
        <v/>
      </c>
    </row>
    <row r="3">
      <c r="A3" s="3" t="inlineStr">
        <is>
          <t>Bank of Communications HKD Savings</t>
        </is>
      </c>
      <c r="B3" s="4" t="n">
        <v>45316</v>
      </c>
      <c r="C3" s="3" t="inlineStr">
        <is>
          <t>轉賬交易 TRANSFER</t>
        </is>
      </c>
      <c r="D3" s="5" t="n"/>
      <c r="E3" s="6" t="n">
        <v>100</v>
      </c>
      <c r="F3" s="7" t="n">
        <v>466.28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USD Savings</t>
        </is>
      </c>
      <c r="B2" s="4" t="n"/>
      <c r="C2" s="3" t="inlineStr">
        <is>
          <t>BAL B/F</t>
        </is>
      </c>
      <c r="D2" s="5" t="n"/>
      <c r="E2" s="6" t="n"/>
      <c r="F2" s="7" t="n">
        <v>172556.82</v>
      </c>
      <c r="G2" s="8">
        <f>IF(AND(D2="",E2=""),F2,IF(D2="",0,D2)-IF(E2="",0,E2))</f>
        <v/>
      </c>
    </row>
    <row r="3">
      <c r="A3" s="3" t="inlineStr">
        <is>
          <t>Bank of Communications USD Savings</t>
        </is>
      </c>
      <c r="B3" s="4" t="n">
        <v>45322</v>
      </c>
      <c r="C3" s="3" t="inlineStr">
        <is>
          <t>轉賬交易 TRANSFER</t>
        </is>
      </c>
      <c r="D3" s="5" t="n"/>
      <c r="E3" s="6" t="n">
        <v>2000</v>
      </c>
      <c r="F3" s="7" t="n">
        <v>170556.82</v>
      </c>
      <c r="G3" s="8">
        <f>IF(AND(D3="",E3=""),F3,G2+IF(D3="",0,D3)-IF(E3="",0,E3))</f>
        <v/>
      </c>
    </row>
    <row r="4">
      <c r="A4" s="3" t="inlineStr">
        <is>
          <t>Bank of Communications USD Savings</t>
        </is>
      </c>
      <c r="B4" s="4" t="n">
        <v>45322</v>
      </c>
      <c r="C4" s="3" t="inlineStr">
        <is>
          <t>利息 INTEREST</t>
        </is>
      </c>
      <c r="D4" s="5" t="n">
        <v>1.53</v>
      </c>
      <c r="E4" s="6" t="n"/>
      <c r="F4" s="7" t="n">
        <v>170558.35</v>
      </c>
      <c r="G4" s="8">
        <f>IF(AND(D4="",E4=""),F4,G3+IF(D4="",0,D4)-IF(E4="",0,E4))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Current</t>
        </is>
      </c>
      <c r="B2" s="4" t="n"/>
      <c r="C2" s="3" t="inlineStr">
        <is>
          <t>BAL B/F</t>
        </is>
      </c>
      <c r="D2" s="5" t="n"/>
      <c r="E2" s="6" t="n"/>
      <c r="F2" s="7" t="n">
        <v>1089.04</v>
      </c>
      <c r="G2" s="8">
        <f>IF(AND(D2="",E2=""),F2,IF(D2="",0,D2)-IF(E2="",0,E2))</f>
        <v/>
      </c>
    </row>
    <row r="3">
      <c r="A3" s="3" t="inlineStr">
        <is>
          <t>Bank of Communications HKD Current</t>
        </is>
      </c>
      <c r="B3" s="4" t="n">
        <v>45316</v>
      </c>
      <c r="C3" s="3" t="inlineStr">
        <is>
          <t>轉賬交易 TRANSFER</t>
        </is>
      </c>
      <c r="D3" s="5" t="n">
        <v>100</v>
      </c>
      <c r="E3" s="6" t="n"/>
      <c r="F3" s="7" t="n">
        <v>1189.04</v>
      </c>
      <c r="G3" s="8">
        <f>IF(AND(D3="",E3=""),F3,G2+IF(D3="",0,D3)-IF(E3="",0,E3))</f>
        <v/>
      </c>
    </row>
    <row r="4">
      <c r="A4" s="3" t="inlineStr">
        <is>
          <t>Bank of Communications HKD Current</t>
        </is>
      </c>
      <c r="B4" s="4" t="n">
        <v>45320</v>
      </c>
      <c r="C4" s="3" t="inlineStr">
        <is>
          <t>現金交易 CASH</t>
        </is>
      </c>
      <c r="D4" s="5" t="n">
        <v>1000</v>
      </c>
      <c r="E4" s="6" t="n"/>
      <c r="F4" s="7" t="n">
        <v>2189.04</v>
      </c>
      <c r="G4" s="8">
        <f>IF(AND(D4="",E4=""),F4,G3+IF(D4="",0,D4)-IF(E4="",0,E4))</f>
        <v/>
      </c>
    </row>
    <row r="5">
      <c r="A5" s="3" t="inlineStr">
        <is>
          <t>Bank of Communications HKD Current</t>
        </is>
      </c>
      <c r="B5" s="4" t="n">
        <v>45322</v>
      </c>
      <c r="C5" s="3" t="inlineStr">
        <is>
          <t>轉賬交易 TRANSFER</t>
        </is>
      </c>
      <c r="D5" s="5" t="n">
        <v>15604.29</v>
      </c>
      <c r="E5" s="6" t="n"/>
      <c r="F5" s="7" t="n">
        <v>17793.33</v>
      </c>
      <c r="G5" s="8">
        <f>IF(AND(D5="",E5=""),F5,G4+IF(D5="",0,D5)-IF(E5="",0,E5))</f>
        <v/>
      </c>
    </row>
    <row r="6">
      <c r="A6" s="3" t="inlineStr">
        <is>
          <t>Bank of Communications HKD Current</t>
        </is>
      </c>
      <c r="B6" s="4" t="n">
        <v>45322</v>
      </c>
      <c r="C6" s="3" t="inlineStr">
        <is>
          <t>銀行費用 BANK CHARGES 交換票 CHEQUE</t>
        </is>
      </c>
      <c r="D6" s="5" t="n"/>
      <c r="E6" s="6" t="n">
        <v>450</v>
      </c>
      <c r="F6" s="7" t="n">
        <v>17343.33</v>
      </c>
      <c r="G6" s="8">
        <f>IF(AND(D6="",E6=""),F6,G5+IF(D6="",0,D6)-IF(E6="",0,E6))</f>
        <v/>
      </c>
    </row>
    <row r="7">
      <c r="A7" s="3" t="inlineStr">
        <is>
          <t>Bank of Communications HKD Current</t>
        </is>
      </c>
      <c r="B7" s="4" t="n">
        <v>45329</v>
      </c>
      <c r="C7" s="3" t="inlineStr">
        <is>
          <t>BALANCE 000060</t>
        </is>
      </c>
      <c r="D7" s="5" t="n"/>
      <c r="E7" s="6" t="n">
        <v>2160</v>
      </c>
      <c r="F7" s="7" t="n">
        <v>15183.33</v>
      </c>
      <c r="G7" s="8">
        <f>IF(AND(D7="",E7=""),F7,G6+IF(D7="",0,D7)-IF(E7="",0,E7))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2026-06-23T05:50:14Z</dcterms:created>
  <dcterms:modified xmlns:dcterms="http://purl.org/dc/terms/" xmlns:xsi="http://www.w3.org/2001/XMLSchema-instance" xsi:type="dcterms:W3CDTF">2026-06-23T05:50:14Z</dcterms:modified>
</cp:coreProperties>
</file>