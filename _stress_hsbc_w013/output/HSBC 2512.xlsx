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45979</v>
      </c>
      <c r="C2" s="3" t="inlineStr">
        <is>
          <t>B/F BALANCE</t>
        </is>
      </c>
      <c r="D2" s="5" t="n"/>
      <c r="E2" s="6" t="n"/>
      <c r="F2" s="7" t="n">
        <v>7500.57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45980</v>
      </c>
      <c r="C3" s="3" t="inlineStr">
        <is>
          <t>MR LEUNG KIN SHUN HC125B1963098467 19NOV</t>
        </is>
      </c>
      <c r="D3" s="5" t="n">
        <v>3600</v>
      </c>
      <c r="E3" s="6" t="n"/>
      <c r="F3" s="7" t="n">
        <v>11100.57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45981</v>
      </c>
      <c r="C4" s="3" t="inlineStr">
        <is>
          <t>SENTO AUTO TECH LIMI HC125B2067298785 20NOV</t>
        </is>
      </c>
      <c r="D4" s="5" t="n">
        <v>8075</v>
      </c>
      <c r="E4" s="6" t="n"/>
      <c r="F4" s="7" t="n">
        <v>19175.57</v>
      </c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45989</v>
      </c>
      <c r="C5" s="3" t="inlineStr">
        <is>
          <t>28OCT25 TO 27NOV25 DEBIT INTEREST</t>
        </is>
      </c>
      <c r="D5" s="5" t="n"/>
      <c r="E5" s="6" t="n">
        <v>14.22</v>
      </c>
      <c r="F5" s="7" t="n">
        <v>19161.35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45995</v>
      </c>
      <c r="C6" s="3" t="inlineStr">
        <is>
          <t>CR TO 121-866131-838 NC0451520698(04DEC25)</t>
        </is>
      </c>
      <c r="D6" s="5" t="n"/>
      <c r="E6" s="6" t="n">
        <v>9000</v>
      </c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45995</v>
      </c>
      <c r="C7" s="3" t="inlineStr">
        <is>
          <t>CR TO 129-496493-001 NC0451528543(04DEC25)</t>
        </is>
      </c>
      <c r="D7" s="5" t="n"/>
      <c r="E7" s="6" t="n">
        <v>5980</v>
      </c>
      <c r="F7" s="7" t="n">
        <v>4181.35</v>
      </c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46000</v>
      </c>
      <c r="C8" s="3" t="inlineStr">
        <is>
          <t>LEAPBUD MANAGEMENT L HC125C0927733231 09DEC</t>
        </is>
      </c>
      <c r="D8" s="5" t="n">
        <v>4365.5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46000</v>
      </c>
      <c r="C9" s="3" t="inlineStr">
        <is>
          <t>LEAPSING COMPANY LIM HC125C0927737162 09DEC</t>
        </is>
      </c>
      <c r="D9" s="5" t="n">
        <v>3690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46000</v>
      </c>
      <c r="C10" s="3" t="inlineStr">
        <is>
          <t>LEAPHUA COMPANY LIMI HC125C0927740111 09DEC</t>
        </is>
      </c>
      <c r="D10" s="5" t="n">
        <v>3105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46000</v>
      </c>
      <c r="C11" s="3" t="inlineStr">
        <is>
          <t>LEAPCHUN COMPANY LIM HC125C0927743020 09DEC</t>
        </is>
      </c>
      <c r="D11" s="5" t="n">
        <v>3189.5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46000</v>
      </c>
      <c r="C12" s="3" t="inlineStr">
        <is>
          <t>LEAPBUD COMPANY LIMI HC125C0927745659 09DEC</t>
        </is>
      </c>
      <c r="D12" s="5" t="n">
        <v>1665</v>
      </c>
      <c r="E12" s="6" t="n"/>
      <c r="F12" s="7" t="n">
        <v>20196.35</v>
      </c>
      <c r="G12" s="8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46002</v>
      </c>
      <c r="C13" s="3" t="inlineStr">
        <is>
          <t>MANULIFE PROVIDENT F 0412548001</t>
        </is>
      </c>
      <c r="D13" s="5" t="n"/>
      <c r="E13" s="6" t="n">
        <v>8140.75</v>
      </c>
      <c r="F13" s="7" t="n">
        <v>12055.6</v>
      </c>
      <c r="G13" s="8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46006</v>
      </c>
      <c r="C14" s="3" t="inlineStr">
        <is>
          <t>MR LEUNG KIN SHUN HC125C1545872520 15DEC</t>
        </is>
      </c>
      <c r="D14" s="5" t="n">
        <v>1800</v>
      </c>
      <c r="E14" s="6" t="n"/>
      <c r="F14" s="7" t="n">
        <v>13855.6</v>
      </c>
      <c r="G14" s="8">
        <f>IF(AND(D14="",E14=""),F14,G13+IF(D14="",0,D14)-IF(E14="",0,E14))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45979</v>
      </c>
      <c r="C2" s="3" t="inlineStr">
        <is>
          <t>B/F BALANCE</t>
        </is>
      </c>
      <c r="D2" s="5" t="n"/>
      <c r="E2" s="6" t="n"/>
      <c r="F2" s="7" t="n">
        <v>8161.32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45980</v>
      </c>
      <c r="C3" s="3" t="inlineStr">
        <is>
          <t>APS CHARGES I01 SALARY</t>
        </is>
      </c>
      <c r="D3" s="5" t="n"/>
      <c r="E3" s="6" t="n">
        <v>0.5</v>
      </c>
      <c r="F3" s="7" t="n">
        <v>8160.82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45985</v>
      </c>
      <c r="C4" s="3" t="inlineStr">
        <is>
          <t>REF:5894 0160 CHEQUE DEPOSIT MACHINE (24NOV25)</t>
        </is>
      </c>
      <c r="D4" s="5" t="n">
        <v>10800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45985</v>
      </c>
      <c r="C5" s="3" t="inlineStr">
        <is>
          <t>ALPHGA LIMITED HC125B2478079887 24NOV</t>
        </is>
      </c>
      <c r="D5" s="5" t="n"/>
      <c r="E5" s="6" t="n">
        <v>2994</v>
      </c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45985</v>
      </c>
      <c r="C6" s="3" t="inlineStr">
        <is>
          <t>5592-4033-3377-2530 NB2410547133(24NOV25)</t>
        </is>
      </c>
      <c r="D6" s="5" t="n"/>
      <c r="E6" s="6" t="n">
        <v>881.6900000000001</v>
      </c>
      <c r="F6" s="7" t="n">
        <v>15085.13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45989</v>
      </c>
      <c r="C7" s="3" t="inlineStr">
        <is>
          <t>CREDIT INTEREST</t>
        </is>
      </c>
      <c r="D7" s="5" t="n">
        <v>0.8</v>
      </c>
      <c r="E7" s="6" t="n"/>
      <c r="F7" s="7" t="n">
        <v>15085.93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45993</v>
      </c>
      <c r="C8" s="3" t="inlineStr">
        <is>
          <t>YAU KWOK LEUNG NC0243521715(02DEC25)</t>
        </is>
      </c>
      <c r="D8" s="5" t="n">
        <v>20000</v>
      </c>
      <c r="E8" s="6" t="n"/>
      <c r="F8" s="7" t="n">
        <v>35085.93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45994</v>
      </c>
      <c r="C9" s="3" t="inlineStr">
        <is>
          <t>WONG YU TING HC125C0308267452 03DEC</t>
        </is>
      </c>
      <c r="D9" s="5" t="n">
        <v>30000</v>
      </c>
      <c r="E9" s="6" t="n"/>
      <c r="F9" s="7" t="n">
        <v>65085.93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45995</v>
      </c>
      <c r="C10" s="3" t="inlineStr">
        <is>
          <t>W OFFICE LIMITED NC0451520698(04DEC25)</t>
        </is>
      </c>
      <c r="D10" s="5" t="n">
        <v>9000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45995</v>
      </c>
      <c r="C11" s="3" t="inlineStr">
        <is>
          <t>SALARY</t>
        </is>
      </c>
      <c r="D11" s="5" t="n"/>
      <c r="E11" s="6" t="n">
        <v>20391.75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45995</v>
      </c>
      <c r="C12" s="3" t="inlineStr">
        <is>
          <t>SALARY</t>
        </is>
      </c>
      <c r="D12" s="5" t="n"/>
      <c r="E12" s="6" t="n">
        <v>43005</v>
      </c>
      <c r="F12" s="7" t="n">
        <v>10689.18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45996</v>
      </c>
      <c r="C13" s="3" t="inlineStr">
        <is>
          <t>APS CHARGES I02 SALARY</t>
        </is>
      </c>
      <c r="D13" s="5" t="n"/>
      <c r="E13" s="6" t="n">
        <v>0.5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45996</v>
      </c>
      <c r="C14" s="3" t="inlineStr">
        <is>
          <t>APS CHARGES I01 SALARY</t>
        </is>
      </c>
      <c r="D14" s="5" t="n"/>
      <c r="E14" s="6" t="n">
        <v>5</v>
      </c>
      <c r="F14" s="7" t="n">
        <v>10683.68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45997</v>
      </c>
      <c r="C15" s="3" t="inlineStr">
        <is>
          <t>004521304535034 LOAN INTEREST</t>
        </is>
      </c>
      <c r="D15" s="5" t="n"/>
      <c r="E15" s="6" t="n">
        <v>2350</v>
      </c>
      <c r="F15" s="7" t="n">
        <v>8333.68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45999</v>
      </c>
      <c r="C16" s="3" t="inlineStr">
        <is>
          <t>ICARE CHEQUE DEPOSIT MACHINE (08DEC25)</t>
        </is>
      </c>
      <c r="D16" s="5" t="n">
        <v>10000</v>
      </c>
      <c r="E16" s="6" t="n"/>
      <c r="F16" s="7" t="n">
        <v>18333.68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46000</v>
      </c>
      <c r="C17" s="3" t="inlineStr">
        <is>
          <t>TIB7 LIMITED ATM TRANSFER (09DEC25)</t>
        </is>
      </c>
      <c r="D17" s="5" t="n">
        <v>2200</v>
      </c>
      <c r="E17" s="6" t="n"/>
      <c r="F17" s="7" t="n">
        <v>20533.68</v>
      </c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46007</v>
      </c>
      <c r="C18" s="3" t="inlineStr">
        <is>
          <t>5592-4033-3377-2530 NC1695533679(16DEC25)</t>
        </is>
      </c>
      <c r="D18" s="5" t="n"/>
      <c r="E18" s="6" t="n">
        <v>158</v>
      </c>
      <c r="F18" s="7" t="n"/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46007</v>
      </c>
      <c r="C19" s="3" t="inlineStr">
        <is>
          <t>LIGNUM ACCOUNTING SE HC125C1648914538 16DEC</t>
        </is>
      </c>
      <c r="D19" s="5" t="n"/>
      <c r="E19" s="6" t="n">
        <v>2200</v>
      </c>
      <c r="F19" s="7" t="n">
        <v>18175.68</v>
      </c>
      <c r="G19" s="8">
        <f>IF(AND(D19="",E19=""),F19,G18+IF(D19="",0,D19)-IF(E19="",0,E19))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2026-06-23T02:02:46Z</dcterms:created>
  <dcterms:modified xmlns:dcterms="http://purl.org/dc/terms/" xmlns:xsi="http://www.w3.org/2001/XMLSchema-instance" xsi:type="dcterms:W3CDTF">2026-06-23T02:02:46Z</dcterms:modified>
</cp:coreProperties>
</file>