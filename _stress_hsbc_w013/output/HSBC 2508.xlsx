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45856</v>
      </c>
      <c r="C2" s="3" t="inlineStr">
        <is>
          <t>B/F BALANCE</t>
        </is>
      </c>
      <c r="D2" s="5" t="n"/>
      <c r="E2" s="6" t="n"/>
      <c r="F2" s="7" t="n">
        <v>79003.49000000001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45857</v>
      </c>
      <c r="C3" s="3" t="inlineStr">
        <is>
          <t>MR LEUNG KIN SHUN HC12571901832244 19JUL</t>
        </is>
      </c>
      <c r="D3" s="5" t="n">
        <v>3600</v>
      </c>
      <c r="E3" s="6" t="n"/>
      <c r="F3" s="7" t="n">
        <v>82603.49000000001</v>
      </c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45859</v>
      </c>
      <c r="C4" s="3" t="inlineStr">
        <is>
          <t>LEAPCHUN COMPANY LIM HC12572106019546 21JUL</t>
        </is>
      </c>
      <c r="D4" s="5" t="n">
        <v>3780</v>
      </c>
      <c r="E4" s="6" t="n"/>
      <c r="F4" s="7" t="n">
        <v>86383.49000000001</v>
      </c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45860</v>
      </c>
      <c r="C5" s="3" t="inlineStr">
        <is>
          <t>LEAPBUD COMPANY LIMI HC12572207872374 22JUL</t>
        </is>
      </c>
      <c r="D5" s="5" t="n">
        <v>3060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45860</v>
      </c>
      <c r="C6" s="3" t="inlineStr">
        <is>
          <t>LEAPHUA COMPANY LIMI HC12572207872716 22JUL</t>
        </is>
      </c>
      <c r="D6" s="5" t="n">
        <v>4518.5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45860</v>
      </c>
      <c r="C7" s="3" t="inlineStr">
        <is>
          <t>LEAPSING COMPANY LIM HC12572207872813 22JUL</t>
        </is>
      </c>
      <c r="D7" s="5" t="n">
        <v>5940</v>
      </c>
      <c r="E7" s="6" t="n"/>
      <c r="F7" s="7" t="n">
        <v>99901.99000000001</v>
      </c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45861</v>
      </c>
      <c r="C8" s="3" t="inlineStr">
        <is>
          <t>MR SO HO YIN HC12572310452601 23JUL</t>
        </is>
      </c>
      <c r="D8" s="5" t="n">
        <v>5520</v>
      </c>
      <c r="E8" s="6" t="n"/>
      <c r="F8" s="7" t="n">
        <v>105421.99</v>
      </c>
      <c r="G8" s="8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45867</v>
      </c>
      <c r="C9" s="3" t="inlineStr">
        <is>
          <t>MISS CHEUNG SZE MAN HC12572926800762 29JUL</t>
        </is>
      </c>
      <c r="D9" s="5" t="n">
        <v>150</v>
      </c>
      <c r="E9" s="6" t="n"/>
      <c r="F9" s="7" t="n">
        <v>105571.99</v>
      </c>
      <c r="G9" s="8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45870</v>
      </c>
      <c r="C10" s="3" t="inlineStr">
        <is>
          <t>CHEQUE 100847</t>
        </is>
      </c>
      <c r="D10" s="5" t="n"/>
      <c r="E10" s="6" t="n">
        <v>1720</v>
      </c>
      <c r="F10" s="7" t="n"/>
      <c r="G10" s="8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45870</v>
      </c>
      <c r="C11" s="3" t="inlineStr">
        <is>
          <t>CHEQUE 100848</t>
        </is>
      </c>
      <c r="D11" s="5" t="n"/>
      <c r="E11" s="6" t="n">
        <v>2200</v>
      </c>
      <c r="F11" s="7" t="n">
        <v>101651.99</v>
      </c>
      <c r="G11" s="8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45873</v>
      </c>
      <c r="C12" s="3" t="inlineStr">
        <is>
          <t>MANULIFE PROVIDENT F 0412548001</t>
        </is>
      </c>
      <c r="D12" s="5" t="n"/>
      <c r="E12" s="6" t="n">
        <v>6248.23</v>
      </c>
      <c r="F12" s="7" t="n">
        <v>95403.75999999999</v>
      </c>
      <c r="G12" s="8">
        <f>IF(AND(D12="",E12=""),F12,G11+IF(D12="",0,D12)-IF(E12="",0,E12))</f>
        <v/>
      </c>
    </row>
    <row r="13">
      <c r="A13" s="3" t="inlineStr">
        <is>
          <t>HSBC HKD Current Account</t>
        </is>
      </c>
      <c r="B13" s="4" t="n">
        <v>45875</v>
      </c>
      <c r="C13" s="3" t="inlineStr">
        <is>
          <t>CR TO 121-866131-838 N80612413009(06AUG25)</t>
        </is>
      </c>
      <c r="D13" s="5" t="n"/>
      <c r="E13" s="6" t="n">
        <v>20000</v>
      </c>
      <c r="F13" s="7" t="n">
        <v>75403.75999999999</v>
      </c>
      <c r="G13" s="8">
        <f>IF(AND(D13="",E13=""),F13,G12+IF(D13="",0,D13)-IF(E13="",0,E13))</f>
        <v/>
      </c>
    </row>
    <row r="14">
      <c r="A14" s="3" t="inlineStr">
        <is>
          <t>HSBC HKD Current Account</t>
        </is>
      </c>
      <c r="B14" s="4" t="n">
        <v>45880</v>
      </c>
      <c r="C14" s="3" t="inlineStr">
        <is>
          <t>MANULIFE PROVIDENT F 0412548001</t>
        </is>
      </c>
      <c r="D14" s="5" t="n"/>
      <c r="E14" s="6" t="n">
        <v>8405</v>
      </c>
      <c r="F14" s="7" t="n"/>
      <c r="G14" s="8">
        <f>IF(AND(D14="",E14=""),F14,G13+IF(D14="",0,D14)-IF(E14="",0,E14))</f>
        <v/>
      </c>
    </row>
    <row r="15">
      <c r="A15" s="3" t="inlineStr">
        <is>
          <t>HSBC HKD Current Account</t>
        </is>
      </c>
      <c r="B15" s="4" t="n">
        <v>45880</v>
      </c>
      <c r="C15" s="3" t="inlineStr">
        <is>
          <t>MISS LIN SEN MEI HC12581167101606 11AUG</t>
        </is>
      </c>
      <c r="D15" s="5" t="n">
        <v>200</v>
      </c>
      <c r="E15" s="6" t="n"/>
      <c r="F15" s="7" t="n">
        <v>67198.75999999999</v>
      </c>
      <c r="G15" s="8">
        <f>IF(AND(D15="",E15=""),F15,G14+IF(D15="",0,D15)-IF(E15="",0,E15))</f>
        <v/>
      </c>
    </row>
    <row r="16">
      <c r="A16" s="3" t="inlineStr">
        <is>
          <t>HSBC HKD Current Account</t>
        </is>
      </c>
      <c r="B16" s="4" t="n">
        <v>45881</v>
      </c>
      <c r="C16" s="3" t="inlineStr">
        <is>
          <t>MANULIFE PROVIDENT F 0412548001</t>
        </is>
      </c>
      <c r="D16" s="5" t="n"/>
      <c r="E16" s="6" t="n">
        <v>938.14</v>
      </c>
      <c r="F16" s="7" t="n">
        <v>66260.62</v>
      </c>
      <c r="G16" s="8">
        <f>IF(AND(D16="",E16=""),F16,G15+IF(D16="",0,D16)-IF(E16="",0,E16))</f>
        <v/>
      </c>
    </row>
    <row r="17">
      <c r="A17" s="3" t="inlineStr">
        <is>
          <t>HSBC HKD Current Account</t>
        </is>
      </c>
      <c r="B17" s="4" t="n">
        <v>45884</v>
      </c>
      <c r="C17" s="3" t="inlineStr">
        <is>
          <t>MR LEUNG KIN SHUN HC12581577022958 15AUG</t>
        </is>
      </c>
      <c r="D17" s="5" t="n">
        <v>3600</v>
      </c>
      <c r="E17" s="6" t="n"/>
      <c r="F17" s="7" t="n">
        <v>69860.62</v>
      </c>
      <c r="G17" s="8">
        <f>IF(AND(D17="",E17=""),F17,G16+IF(D17="",0,D17)-IF(E17="",0,E17))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45856</v>
      </c>
      <c r="C2" s="3" t="inlineStr">
        <is>
          <t>B/F BALANCE</t>
        </is>
      </c>
      <c r="D2" s="5" t="n"/>
      <c r="E2" s="6" t="n"/>
      <c r="F2" s="7" t="n">
        <v>80917.33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45863</v>
      </c>
      <c r="C3" s="3" t="inlineStr">
        <is>
          <t>FROM KY DESIGN AND E ECQ DEPOSIT 003015</t>
        </is>
      </c>
      <c r="D3" s="5" t="n">
        <v>3600</v>
      </c>
      <c r="E3" s="6" t="n"/>
      <c r="F3" s="7" t="n">
        <v>84517.33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45866</v>
      </c>
      <c r="C4" s="3" t="inlineStr">
        <is>
          <t>CREDIT INTEREST</t>
        </is>
      </c>
      <c r="D4" s="5" t="n">
        <v>22.25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45866</v>
      </c>
      <c r="C5" s="3" t="inlineStr">
        <is>
          <t>HONOR U CHEQUE DEPOSIT MACHINE (28JUL25)</t>
        </is>
      </c>
      <c r="D5" s="5" t="n">
        <v>12000</v>
      </c>
      <c r="E5" s="6" t="n"/>
      <c r="F5" s="7" t="n">
        <v>96539.58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45868</v>
      </c>
      <c r="C6" s="3" t="inlineStr">
        <is>
          <t>IGATHER (GLOBAL) ENT HC12573029214474 30JUL</t>
        </is>
      </c>
      <c r="D6" s="5" t="n"/>
      <c r="E6" s="6" t="n">
        <v>100</v>
      </c>
      <c r="F6" s="7" t="n">
        <v>96439.58</v>
      </c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45869</v>
      </c>
      <c r="C7" s="3" t="inlineStr">
        <is>
          <t>REF:58EE 0390 CHEQUE DEPOSIT MACHINE (31JUL25)</t>
        </is>
      </c>
      <c r="D7" s="5" t="n">
        <v>3600</v>
      </c>
      <c r="E7" s="6" t="n"/>
      <c r="F7" s="7" t="n">
        <v>100039.58</v>
      </c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45875</v>
      </c>
      <c r="C8" s="3" t="inlineStr">
        <is>
          <t>004521304535034 LOAN INTEREST</t>
        </is>
      </c>
      <c r="D8" s="5" t="n"/>
      <c r="E8" s="6" t="n">
        <v>2350</v>
      </c>
      <c r="F8" s="7" t="n"/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45875</v>
      </c>
      <c r="C9" s="3" t="inlineStr">
        <is>
          <t>W OFFICE LIMITED N80612413009(06AUG25)</t>
        </is>
      </c>
      <c r="D9" s="5" t="n">
        <v>20000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45875</v>
      </c>
      <c r="C10" s="3" t="inlineStr">
        <is>
          <t>CR TO 168-294437-001 RENT (06AUG25)</t>
        </is>
      </c>
      <c r="D10" s="5" t="n"/>
      <c r="E10" s="6" t="n">
        <v>5980</v>
      </c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45875</v>
      </c>
      <c r="C11" s="3" t="inlineStr">
        <is>
          <t>CR TO 129-496493-001 DOOR CARD (06AUG25)</t>
        </is>
      </c>
      <c r="D11" s="5" t="n"/>
      <c r="E11" s="6" t="n">
        <v>50</v>
      </c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45875</v>
      </c>
      <c r="C12" s="3" t="inlineStr">
        <is>
          <t>SALARY SALARY</t>
        </is>
      </c>
      <c r="D12" s="5" t="n"/>
      <c r="E12" s="6" t="n">
        <v>47436.5</v>
      </c>
      <c r="F12" s="7" t="n"/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45875</v>
      </c>
      <c r="C13" s="3" t="inlineStr">
        <is>
          <t>SALARY SALARY 2</t>
        </is>
      </c>
      <c r="D13" s="5" t="n"/>
      <c r="E13" s="6" t="n">
        <v>51102</v>
      </c>
      <c r="F13" s="7" t="n">
        <v>13121.08</v>
      </c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45876</v>
      </c>
      <c r="C14" s="3" t="inlineStr">
        <is>
          <t>APS CHARGES SALARY 2 SALARY</t>
        </is>
      </c>
      <c r="D14" s="5" t="n"/>
      <c r="E14" s="6" t="n">
        <v>1</v>
      </c>
      <c r="F14" s="7" t="n"/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45876</v>
      </c>
      <c r="C15" s="3" t="inlineStr">
        <is>
          <t>APS CHARGES SALARY SALARY</t>
        </is>
      </c>
      <c r="D15" s="5" t="n"/>
      <c r="E15" s="6" t="n">
        <v>6</v>
      </c>
      <c r="F15" s="7" t="n"/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45876</v>
      </c>
      <c r="C16" s="3" t="inlineStr">
        <is>
          <t>LAM Y*** M** J**** HC12580754778803 07AUG</t>
        </is>
      </c>
      <c r="D16" s="5" t="n"/>
      <c r="E16" s="6" t="n">
        <v>1369.4</v>
      </c>
      <c r="F16" s="7" t="n">
        <v>11744.68</v>
      </c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45880</v>
      </c>
      <c r="C17" s="3" t="inlineStr">
        <is>
          <t>IGATHER (GLOBAL) ENT HC12581166781001 11AUG</t>
        </is>
      </c>
      <c r="D17" s="5" t="n"/>
      <c r="E17" s="6" t="n">
        <v>100</v>
      </c>
      <c r="F17" s="7" t="n">
        <v>11644.68</v>
      </c>
      <c r="G17" s="8">
        <f>IF(AND(D17="",E17=""),F17,G16+IF(D17="",0,D17)-IF(E17="",0,E17))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2026-06-23T02:02:40Z</dcterms:created>
  <dcterms:modified xmlns:dcterms="http://purl.org/dc/terms/" xmlns:xsi="http://www.w3.org/2001/XMLSchema-instance" xsi:type="dcterms:W3CDTF">2026-06-23T02:02:40Z</dcterms:modified>
</cp:coreProperties>
</file>