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BC HKD Current Account" sheetId="1" state="visible" r:id="rId1"/>
    <sheet xmlns:r="http://schemas.openxmlformats.org/officeDocument/2006/relationships" name="HSBC HKD Savings Ac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Current Account</t>
        </is>
      </c>
      <c r="B2" s="4" t="n">
        <v>45826</v>
      </c>
      <c r="C2" s="3" t="inlineStr">
        <is>
          <t>B/F BALANCE</t>
        </is>
      </c>
      <c r="D2" s="5" t="n"/>
      <c r="E2" s="6" t="n"/>
      <c r="F2" s="7" t="n">
        <v>79718.49000000001</v>
      </c>
      <c r="G2" s="8">
        <f>IF(AND(D2="",E2=""),F2,IF(D2="",0,D2)-IF(E2="",0,E2))</f>
        <v/>
      </c>
    </row>
    <row r="3">
      <c r="A3" s="3" t="inlineStr">
        <is>
          <t>HSBC HKD Current Account</t>
        </is>
      </c>
      <c r="B3" s="4" t="n">
        <v>45838</v>
      </c>
      <c r="C3" s="3" t="inlineStr">
        <is>
          <t>CHEQUE 100844</t>
        </is>
      </c>
      <c r="D3" s="5" t="n"/>
      <c r="E3" s="6" t="n">
        <v>2200</v>
      </c>
      <c r="F3" s="7" t="n">
        <v>77518.49000000001</v>
      </c>
      <c r="G3" s="8">
        <f>IF(AND(D3="",E3=""),F3,G2+IF(D3="",0,D3)-IF(E3="",0,E3))</f>
        <v/>
      </c>
    </row>
    <row r="4">
      <c r="A4" s="3" t="inlineStr">
        <is>
          <t>HSBC HKD Current Account</t>
        </is>
      </c>
      <c r="B4" s="4" t="n">
        <v>45842</v>
      </c>
      <c r="C4" s="3" t="inlineStr">
        <is>
          <t>CHEQUE 100843</t>
        </is>
      </c>
      <c r="D4" s="5" t="n"/>
      <c r="E4" s="6" t="n">
        <v>870</v>
      </c>
      <c r="F4" s="7" t="n">
        <v>76648.49000000001</v>
      </c>
      <c r="G4" s="8">
        <f>IF(AND(D4="",E4=""),F4,G3+IF(D4="",0,D4)-IF(E4="",0,E4))</f>
        <v/>
      </c>
    </row>
    <row r="5">
      <c r="A5" s="3" t="inlineStr">
        <is>
          <t>HSBC HKD Current Account</t>
        </is>
      </c>
      <c r="B5" s="4" t="n">
        <v>45849</v>
      </c>
      <c r="C5" s="3" t="inlineStr">
        <is>
          <t>MANULIFE PROVIDENT F 0412548001</t>
        </is>
      </c>
      <c r="D5" s="5" t="n"/>
      <c r="E5" s="6" t="n">
        <v>7872</v>
      </c>
      <c r="F5" s="7" t="n"/>
      <c r="G5" s="8">
        <f>IF(AND(D5="",E5=""),F5,G4+IF(D5="",0,D5)-IF(E5="",0,E5))</f>
        <v/>
      </c>
    </row>
    <row r="6">
      <c r="A6" s="3" t="inlineStr">
        <is>
          <t>HSBC HKD Current Account</t>
        </is>
      </c>
      <c r="B6" s="4" t="n">
        <v>45849</v>
      </c>
      <c r="C6" s="3" t="inlineStr">
        <is>
          <t>MISS LIN SEN MEI HC12571179449083 11JUL</t>
        </is>
      </c>
      <c r="D6" s="5" t="n">
        <v>6960</v>
      </c>
      <c r="E6" s="6" t="n"/>
      <c r="F6" s="7" t="n">
        <v>75736.49000000001</v>
      </c>
      <c r="G6" s="8">
        <f>IF(AND(D6="",E6=""),F6,G5+IF(D6="",0,D6)-IF(E6="",0,E6))</f>
        <v/>
      </c>
    </row>
    <row r="7">
      <c r="A7" s="3" t="inlineStr">
        <is>
          <t>HSBC HKD Current Account</t>
        </is>
      </c>
      <c r="B7" s="4" t="n">
        <v>45852</v>
      </c>
      <c r="C7" s="3" t="inlineStr">
        <is>
          <t>MANULIFE PROVIDENT F 0412548001</t>
        </is>
      </c>
      <c r="D7" s="5" t="n"/>
      <c r="E7" s="6" t="n">
        <v>900</v>
      </c>
      <c r="F7" s="7" t="n">
        <v>74836.49000000001</v>
      </c>
      <c r="G7" s="8">
        <f>IF(AND(D7="",E7=""),F7,G6+IF(D7="",0,D7)-IF(E7="",0,E7))</f>
        <v/>
      </c>
    </row>
    <row r="8">
      <c r="A8" s="3" t="inlineStr">
        <is>
          <t>HSBC HKD Current Account</t>
        </is>
      </c>
      <c r="B8" s="4" t="n">
        <v>45854</v>
      </c>
      <c r="C8" s="3" t="inlineStr">
        <is>
          <t>CHEQUE 100845</t>
        </is>
      </c>
      <c r="D8" s="5" t="n"/>
      <c r="E8" s="6" t="n">
        <v>1720</v>
      </c>
      <c r="F8" s="7" t="n"/>
      <c r="G8" s="8">
        <f>IF(AND(D8="",E8=""),F8,G7+IF(D8="",0,D8)-IF(E8="",0,E8))</f>
        <v/>
      </c>
    </row>
    <row r="9">
      <c r="A9" s="3" t="inlineStr">
        <is>
          <t>HSBC HKD Current Account</t>
        </is>
      </c>
      <c r="B9" s="4" t="n">
        <v>45854</v>
      </c>
      <c r="C9" s="3" t="inlineStr">
        <is>
          <t>CHEQUE 100846</t>
        </is>
      </c>
      <c r="D9" s="5" t="n"/>
      <c r="E9" s="6" t="n">
        <v>2200</v>
      </c>
      <c r="F9" s="7" t="n">
        <v>70916.49000000001</v>
      </c>
      <c r="G9" s="8">
        <f>IF(AND(D9="",E9=""),F9,G8+IF(D9="",0,D9)-IF(E9="",0,E9))</f>
        <v/>
      </c>
    </row>
    <row r="10">
      <c r="A10" s="3" t="inlineStr">
        <is>
          <t>HSBC HKD Current Account</t>
        </is>
      </c>
      <c r="B10" s="4" t="n">
        <v>45855</v>
      </c>
      <c r="C10" s="3" t="inlineStr">
        <is>
          <t>TAI SZE MAN DIANA HC12571795812918 17JUL</t>
        </is>
      </c>
      <c r="D10" s="5" t="n">
        <v>5000</v>
      </c>
      <c r="E10" s="6" t="n"/>
      <c r="F10" s="7" t="n">
        <v>75916.49000000001</v>
      </c>
      <c r="G10" s="8">
        <f>IF(AND(D10="",E10=""),F10,G9+IF(D10="",0,D10)-IF(E10="",0,E10))</f>
        <v/>
      </c>
    </row>
    <row r="11">
      <c r="A11" s="3" t="inlineStr">
        <is>
          <t>HSBC HKD Current Account</t>
        </is>
      </c>
      <c r="B11" s="4" t="n">
        <v>45856</v>
      </c>
      <c r="C11" s="3" t="inlineStr">
        <is>
          <t>MANULIFE PROVIDENT F 0412548001</t>
        </is>
      </c>
      <c r="D11" s="5" t="n"/>
      <c r="E11" s="6" t="n">
        <v>288</v>
      </c>
      <c r="F11" s="7" t="n"/>
      <c r="G11" s="8">
        <f>IF(AND(D11="",E11=""),F11,G10+IF(D11="",0,D11)-IF(E11="",0,E11))</f>
        <v/>
      </c>
    </row>
    <row r="12">
      <c r="A12" s="3" t="inlineStr">
        <is>
          <t>HSBC HKD Current Account</t>
        </is>
      </c>
      <c r="B12" s="4" t="n">
        <v>45856</v>
      </c>
      <c r="C12" s="3" t="inlineStr">
        <is>
          <t>LEAPBUD MANAGEMENT L HC12571898858308 18JUL</t>
        </is>
      </c>
      <c r="D12" s="5" t="n">
        <v>3375</v>
      </c>
      <c r="E12" s="6" t="n"/>
      <c r="F12" s="7" t="n">
        <v>79003.49000000001</v>
      </c>
      <c r="G12" s="8">
        <f>IF(AND(D12="",E12=""),F12,G11+IF(D12="",0,D12)-IF(E12="",0,E12))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Savings Account</t>
        </is>
      </c>
      <c r="B2" s="4" t="n">
        <v>45826</v>
      </c>
      <c r="C2" s="3" t="inlineStr">
        <is>
          <t>B/F BALANCE</t>
        </is>
      </c>
      <c r="D2" s="5" t="n"/>
      <c r="E2" s="6" t="n"/>
      <c r="F2" s="7" t="n">
        <v>163001.62</v>
      </c>
      <c r="G2" s="8">
        <f>IF(AND(D2="",E2=""),F2,IF(D2="",0,D2)-IF(E2="",0,E2))</f>
        <v/>
      </c>
    </row>
    <row r="3">
      <c r="A3" s="3" t="inlineStr">
        <is>
          <t>HSBC HKD Savings Account</t>
        </is>
      </c>
      <c r="B3" s="4" t="n">
        <v>45827</v>
      </c>
      <c r="C3" s="3" t="inlineStr">
        <is>
          <t>5592-4033-3377-2530 N61943925729(19JUN25)</t>
        </is>
      </c>
      <c r="D3" s="5" t="n"/>
      <c r="E3" s="6" t="n">
        <v>158</v>
      </c>
      <c r="F3" s="7" t="n"/>
      <c r="G3" s="8">
        <f>IF(AND(D3="",E3=""),F3,G2+IF(D3="",0,D3)-IF(E3="",0,E3))</f>
        <v/>
      </c>
    </row>
    <row r="4">
      <c r="A4" s="3" t="inlineStr">
        <is>
          <t>HSBC HKD Savings Account</t>
        </is>
      </c>
      <c r="B4" s="4" t="n">
        <v>45827</v>
      </c>
      <c r="C4" s="3" t="inlineStr">
        <is>
          <t>CR TO 023-723877-838 N61943968766(19JUN25)</t>
        </is>
      </c>
      <c r="D4" s="5" t="n"/>
      <c r="E4" s="6" t="n">
        <v>250</v>
      </c>
      <c r="F4" s="7" t="n"/>
      <c r="G4" s="8">
        <f>IF(AND(D4="",E4=""),F4,G3+IF(D4="",0,D4)-IF(E4="",0,E4))</f>
        <v/>
      </c>
    </row>
    <row r="5">
      <c r="A5" s="3" t="inlineStr">
        <is>
          <t>HSBC HKD Savings Account</t>
        </is>
      </c>
      <c r="B5" s="4" t="n">
        <v>45827</v>
      </c>
      <c r="C5" s="3" t="inlineStr">
        <is>
          <t>SALARY CLAIM EXPENS</t>
        </is>
      </c>
      <c r="D5" s="5" t="n"/>
      <c r="E5" s="6" t="n">
        <v>3972.7</v>
      </c>
      <c r="F5" s="7" t="n">
        <v>158620.92</v>
      </c>
      <c r="G5" s="8">
        <f>IF(AND(D5="",E5=""),F5,G4+IF(D5="",0,D5)-IF(E5="",0,E5))</f>
        <v/>
      </c>
    </row>
    <row r="6">
      <c r="A6" s="3" t="inlineStr">
        <is>
          <t>HSBC HKD Savings Account</t>
        </is>
      </c>
      <c r="B6" s="4" t="n">
        <v>45828</v>
      </c>
      <c r="C6" s="3" t="inlineStr">
        <is>
          <t>APS CHARGES CLAIM EXPENSSALARY</t>
        </is>
      </c>
      <c r="D6" s="5" t="n"/>
      <c r="E6" s="6" t="n">
        <v>1</v>
      </c>
      <c r="F6" s="7" t="n">
        <v>158619.92</v>
      </c>
      <c r="G6" s="8">
        <f>IF(AND(D6="",E6=""),F6,G5+IF(D6="",0,D6)-IF(E6="",0,E6))</f>
        <v/>
      </c>
    </row>
    <row r="7">
      <c r="A7" s="3" t="inlineStr">
        <is>
          <t>HSBC HKD Savings Account</t>
        </is>
      </c>
      <c r="B7" s="4" t="n">
        <v>45836</v>
      </c>
      <c r="C7" s="3" t="inlineStr">
        <is>
          <t>CREDIT INTEREST</t>
        </is>
      </c>
      <c r="D7" s="5" t="n">
        <v>39.61</v>
      </c>
      <c r="E7" s="6" t="n"/>
      <c r="F7" s="7" t="n">
        <v>158659.53</v>
      </c>
      <c r="G7" s="8">
        <f>IF(AND(D7="",E7=""),F7,G6+IF(D7="",0,D7)-IF(E7="",0,E7))</f>
        <v/>
      </c>
    </row>
    <row r="8">
      <c r="A8" s="3" t="inlineStr">
        <is>
          <t>HSBC HKD Savings Account</t>
        </is>
      </c>
      <c r="B8" s="4" t="n">
        <v>45838</v>
      </c>
      <c r="C8" s="3" t="inlineStr">
        <is>
          <t>REF:5894 0229 CHEQUE DEPOSIT MACHINE (30JUN25)</t>
        </is>
      </c>
      <c r="D8" s="5" t="n">
        <v>10800</v>
      </c>
      <c r="E8" s="6" t="n"/>
      <c r="F8" s="7" t="n">
        <v>169459.53</v>
      </c>
      <c r="G8" s="8">
        <f>IF(AND(D8="",E8=""),F8,G7+IF(D8="",0,D8)-IF(E8="",0,E8))</f>
        <v/>
      </c>
    </row>
    <row r="9">
      <c r="A9" s="3" t="inlineStr">
        <is>
          <t>HSBC HKD Savings Account</t>
        </is>
      </c>
      <c r="B9" s="4" t="n">
        <v>45845</v>
      </c>
      <c r="C9" s="3" t="inlineStr">
        <is>
          <t>SALARY SALARY</t>
        </is>
      </c>
      <c r="D9" s="5" t="n"/>
      <c r="E9" s="6" t="n">
        <v>47200</v>
      </c>
      <c r="F9" s="7" t="n"/>
      <c r="G9" s="8">
        <f>IF(AND(D9="",E9=""),F9,G8+IF(D9="",0,D9)-IF(E9="",0,E9))</f>
        <v/>
      </c>
    </row>
    <row r="10">
      <c r="A10" s="3" t="inlineStr">
        <is>
          <t>HSBC HKD Savings Account</t>
        </is>
      </c>
      <c r="B10" s="4" t="n">
        <v>45845</v>
      </c>
      <c r="C10" s="3" t="inlineStr">
        <is>
          <t>004521304535034 LOAN INTEREST</t>
        </is>
      </c>
      <c r="D10" s="5" t="n"/>
      <c r="E10" s="6" t="n">
        <v>2350</v>
      </c>
      <c r="F10" s="7" t="n"/>
      <c r="G10" s="8">
        <f>IF(AND(D10="",E10=""),F10,G9+IF(D10="",0,D10)-IF(E10="",0,E10))</f>
        <v/>
      </c>
    </row>
    <row r="11">
      <c r="A11" s="3" t="inlineStr">
        <is>
          <t>HSBC HKD Savings Account</t>
        </is>
      </c>
      <c r="B11" s="4" t="n">
        <v>45845</v>
      </c>
      <c r="C11" s="3" t="inlineStr">
        <is>
          <t>REF:58AB 0229 CHEQUE DEPOSIT MACHINE (07JUL25)</t>
        </is>
      </c>
      <c r="D11" s="5" t="n">
        <v>26300</v>
      </c>
      <c r="E11" s="6" t="n"/>
      <c r="F11" s="7" t="n"/>
      <c r="G11" s="8">
        <f>IF(AND(D11="",E11=""),F11,G10+IF(D11="",0,D11)-IF(E11="",0,E11))</f>
        <v/>
      </c>
    </row>
    <row r="12">
      <c r="A12" s="3" t="inlineStr">
        <is>
          <t>HSBC HKD Savings Account</t>
        </is>
      </c>
      <c r="B12" s="4" t="n">
        <v>45845</v>
      </c>
      <c r="C12" s="3" t="inlineStr">
        <is>
          <t>LAM Y*** M** J**** HC12570767797211 07JUL</t>
        </is>
      </c>
      <c r="D12" s="5" t="n"/>
      <c r="E12" s="6" t="n">
        <v>710.8</v>
      </c>
      <c r="F12" s="7" t="n"/>
      <c r="G12" s="8">
        <f>IF(AND(D12="",E12=""),F12,G11+IF(D12="",0,D12)-IF(E12="",0,E12))</f>
        <v/>
      </c>
    </row>
    <row r="13">
      <c r="A13" s="3" t="inlineStr">
        <is>
          <t>HSBC HKD Savings Account</t>
        </is>
      </c>
      <c r="B13" s="4" t="n">
        <v>45845</v>
      </c>
      <c r="C13" s="3" t="inlineStr">
        <is>
          <t>CR TO 129-496493-001 OFFICE RENT (07JUL25)</t>
        </is>
      </c>
      <c r="D13" s="5" t="n"/>
      <c r="E13" s="6" t="n">
        <v>5980</v>
      </c>
      <c r="F13" s="7" t="n"/>
      <c r="G13" s="8">
        <f>IF(AND(D13="",E13=""),F13,G12+IF(D13="",0,D13)-IF(E13="",0,E13))</f>
        <v/>
      </c>
    </row>
    <row r="14">
      <c r="A14" s="3" t="inlineStr">
        <is>
          <t>HSBC HKD Savings Account</t>
        </is>
      </c>
      <c r="B14" s="4" t="n">
        <v>45845</v>
      </c>
      <c r="C14" s="3" t="inlineStr">
        <is>
          <t>5592-4033-3377-2530 N70709375215(07JUL25)</t>
        </is>
      </c>
      <c r="D14" s="5" t="n"/>
      <c r="E14" s="6" t="n">
        <v>1558.5</v>
      </c>
      <c r="F14" s="7" t="n"/>
      <c r="G14" s="8">
        <f>IF(AND(D14="",E14=""),F14,G13+IF(D14="",0,D14)-IF(E14="",0,E14))</f>
        <v/>
      </c>
    </row>
    <row r="15">
      <c r="A15" s="3" t="inlineStr">
        <is>
          <t>HSBC HKD Savings Account</t>
        </is>
      </c>
      <c r="B15" s="4" t="n">
        <v>45845</v>
      </c>
      <c r="C15" s="3" t="inlineStr">
        <is>
          <t>SALARY SALARY</t>
        </is>
      </c>
      <c r="D15" s="5" t="n"/>
      <c r="E15" s="6" t="n">
        <v>54427.5</v>
      </c>
      <c r="F15" s="7" t="n">
        <v>83532.73</v>
      </c>
      <c r="G15" s="8">
        <f>IF(AND(D15="",E15=""),F15,G14+IF(D15="",0,D15)-IF(E15="",0,E15))</f>
        <v/>
      </c>
    </row>
    <row r="16">
      <c r="A16" s="3" t="inlineStr">
        <is>
          <t>HSBC HKD Savings Account</t>
        </is>
      </c>
      <c r="B16" s="4" t="n">
        <v>45846</v>
      </c>
      <c r="C16" s="3" t="inlineStr">
        <is>
          <t>APS CHARGES SALARY SALARY</t>
        </is>
      </c>
      <c r="D16" s="5" t="n"/>
      <c r="E16" s="6" t="n">
        <v>1</v>
      </c>
      <c r="F16" s="7" t="n"/>
      <c r="G16" s="8">
        <f>IF(AND(D16="",E16=""),F16,G15+IF(D16="",0,D16)-IF(E16="",0,E16))</f>
        <v/>
      </c>
    </row>
    <row r="17">
      <c r="A17" s="3" t="inlineStr">
        <is>
          <t>HSBC HKD Savings Account</t>
        </is>
      </c>
      <c r="B17" s="4" t="n">
        <v>45846</v>
      </c>
      <c r="C17" s="3" t="inlineStr">
        <is>
          <t>APS CHARGES SALARY SALARY</t>
        </is>
      </c>
      <c r="D17" s="5" t="n"/>
      <c r="E17" s="6" t="n">
        <v>6</v>
      </c>
      <c r="F17" s="7" t="n">
        <v>83525.73</v>
      </c>
      <c r="G17" s="8">
        <f>IF(AND(D17="",E17=""),F17,G16+IF(D17="",0,D17)-IF(E17="",0,E17))</f>
        <v/>
      </c>
    </row>
    <row r="18">
      <c r="A18" s="3" t="inlineStr">
        <is>
          <t>HSBC HKD Savings Account</t>
        </is>
      </c>
      <c r="B18" s="4" t="n">
        <v>45853</v>
      </c>
      <c r="C18" s="3" t="inlineStr">
        <is>
          <t>SALARY EXPENSES</t>
        </is>
      </c>
      <c r="D18" s="5" t="n"/>
      <c r="E18" s="6" t="n">
        <v>2607.9</v>
      </c>
      <c r="F18" s="7" t="n">
        <v>80917.83</v>
      </c>
      <c r="G18" s="8">
        <f>IF(AND(D18="",E18=""),F18,G17+IF(D18="",0,D18)-IF(E18="",0,E18))</f>
        <v/>
      </c>
    </row>
    <row r="19">
      <c r="A19" s="3" t="inlineStr">
        <is>
          <t>HSBC HKD Savings Account</t>
        </is>
      </c>
      <c r="B19" s="4" t="n">
        <v>45854</v>
      </c>
      <c r="C19" s="3" t="inlineStr">
        <is>
          <t>APS CHARGES EXPENSES SALARY</t>
        </is>
      </c>
      <c r="D19" s="5" t="n"/>
      <c r="E19" s="6" t="n">
        <v>0.5</v>
      </c>
      <c r="F19" s="7" t="n">
        <v>80917.33</v>
      </c>
      <c r="G19" s="8">
        <f>IF(AND(D19="",E19=""),F19,G18+IF(D19="",0,D19)-IF(E19="",0,E19))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2026-06-23T02:02:38Z</dcterms:created>
  <dcterms:modified xmlns:dcterms="http://purl.org/dc/terms/" xmlns:xsi="http://www.w3.org/2001/XMLSchema-instance" xsi:type="dcterms:W3CDTF">2026-06-23T02:02:38Z</dcterms:modified>
</cp:coreProperties>
</file>