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F60844-DED7-4BD3-9E63-BAD0BCCCE42C}" xr6:coauthVersionLast="47" xr6:coauthVersionMax="47" xr10:uidLastSave="{00000000-0000-0000-0000-000000000000}"/>
  <bookViews>
    <workbookView xWindow="-120" yWindow="-120" windowWidth="29040" windowHeight="15720" activeTab="3" xr2:uid="{D325E729-8FF7-478C-9CA5-C83E8B0C0BD8}"/>
  </bookViews>
  <sheets>
    <sheet name="TB-31.12.24" sheetId="1" r:id="rId1"/>
    <sheet name="GL-31.12.24" sheetId="2" r:id="rId2"/>
    <sheet name="BS 31.12.24" sheetId="3" r:id="rId3"/>
    <sheet name="PL 31.12.24" sheetId="4" r:id="rId4"/>
  </sheets>
  <definedNames>
    <definedName name="_xlnm.Print_Titles" localSheetId="2">'BS 31.12.24'!$1:$1</definedName>
    <definedName name="_xlnm.Print_Titles" localSheetId="1">'GL-31.12.24'!$1:$1</definedName>
    <definedName name="_xlnm.Print_Titles" localSheetId="3">'PL 31.12.24'!$1:$1</definedName>
    <definedName name="_xlnm.Print_Titles" localSheetId="0">'TB-31.12.24'!$1:$1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4" l="1"/>
  <c r="D22" i="4"/>
  <c r="C22" i="4"/>
  <c r="B22" i="4"/>
  <c r="E20" i="4"/>
  <c r="D20" i="4"/>
  <c r="C20" i="4"/>
  <c r="B20" i="4"/>
  <c r="E18" i="4"/>
  <c r="C18" i="4"/>
  <c r="E17" i="4"/>
  <c r="C17" i="4"/>
  <c r="E16" i="4"/>
  <c r="C16" i="4"/>
  <c r="E15" i="4"/>
  <c r="C15" i="4"/>
  <c r="E14" i="4"/>
  <c r="C14" i="4"/>
  <c r="E11" i="4"/>
  <c r="D11" i="4"/>
  <c r="C11" i="4"/>
  <c r="B11" i="4"/>
  <c r="E9" i="4"/>
  <c r="D9" i="4"/>
  <c r="C9" i="4"/>
  <c r="B9" i="4"/>
  <c r="E4" i="4"/>
  <c r="D4" i="4"/>
  <c r="C4" i="4"/>
  <c r="B4" i="4"/>
  <c r="C43" i="3"/>
  <c r="C41" i="3"/>
  <c r="C34" i="3"/>
  <c r="C32" i="3"/>
  <c r="C28" i="3"/>
  <c r="C18" i="3"/>
  <c r="C16" i="3"/>
  <c r="C12" i="3"/>
  <c r="C8" i="3"/>
  <c r="I51" i="2"/>
  <c r="I50" i="2"/>
  <c r="I47" i="2"/>
  <c r="I46" i="2"/>
  <c r="I43" i="2"/>
  <c r="I42" i="2"/>
  <c r="I39" i="2"/>
  <c r="I38" i="2"/>
  <c r="I35" i="2"/>
  <c r="I34" i="2"/>
  <c r="I31" i="2"/>
  <c r="I30" i="2"/>
  <c r="I27" i="2"/>
  <c r="I26" i="2"/>
  <c r="I23" i="2"/>
  <c r="I22" i="2"/>
  <c r="I16" i="2"/>
  <c r="I15" i="2"/>
  <c r="I10" i="2"/>
  <c r="I9" i="2"/>
  <c r="I6" i="2"/>
  <c r="I5" i="2"/>
  <c r="D14" i="1"/>
  <c r="C14" i="1"/>
</calcChain>
</file>

<file path=xl/sharedStrings.xml><?xml version="1.0" encoding="utf-8"?>
<sst xmlns="http://schemas.openxmlformats.org/spreadsheetml/2006/main" count="372" uniqueCount="85">
  <si>
    <t>Account ID</t>
  </si>
  <si>
    <t>Account Description</t>
  </si>
  <si>
    <t>Debit Amt</t>
  </si>
  <si>
    <t>Credit Amt</t>
  </si>
  <si>
    <t>1040</t>
  </si>
  <si>
    <t>CBiBank USD SA</t>
  </si>
  <si>
    <t>1300</t>
  </si>
  <si>
    <t>Prepayment</t>
  </si>
  <si>
    <t>2200</t>
  </si>
  <si>
    <t>Accruals</t>
  </si>
  <si>
    <t>2400</t>
  </si>
  <si>
    <t>Director's C/A</t>
  </si>
  <si>
    <t>3920</t>
  </si>
  <si>
    <t>Share capital</t>
  </si>
  <si>
    <t>3950</t>
  </si>
  <si>
    <t>Retained earnings</t>
  </si>
  <si>
    <t>6100</t>
  </si>
  <si>
    <t>Auditor's remuneration</t>
  </si>
  <si>
    <t>6200</t>
  </si>
  <si>
    <t>Bank charges</t>
  </si>
  <si>
    <t>6220</t>
  </si>
  <si>
    <t>Building management fee</t>
  </si>
  <si>
    <t>6250</t>
  </si>
  <si>
    <t>Business registration fee</t>
  </si>
  <si>
    <t>7200</t>
  </si>
  <si>
    <t>Rental expenses</t>
  </si>
  <si>
    <t/>
  </si>
  <si>
    <t>Total:</t>
  </si>
  <si>
    <t>Date</t>
  </si>
  <si>
    <t>Reference</t>
  </si>
  <si>
    <t>Jrnl</t>
  </si>
  <si>
    <t>Trans Description</t>
  </si>
  <si>
    <t>Balance</t>
  </si>
  <si>
    <t>Beginning Balance</t>
  </si>
  <si>
    <t>Opening balance</t>
  </si>
  <si>
    <t>GENJ</t>
  </si>
  <si>
    <t>CBiBank USD SA-Opening balance</t>
  </si>
  <si>
    <t>CBiBank USD SA 2412</t>
  </si>
  <si>
    <t>Total Withdrawal-2412</t>
  </si>
  <si>
    <t>Change</t>
  </si>
  <si>
    <t>31/12/24</t>
  </si>
  <si>
    <t>Ending Balance</t>
  </si>
  <si>
    <t>CASH 2412</t>
  </si>
  <si>
    <t>Total prepayment</t>
  </si>
  <si>
    <t>Accruals-Opening balance</t>
  </si>
  <si>
    <t>JV2412001</t>
  </si>
  <si>
    <t>Being recognized of audit fee for the year</t>
  </si>
  <si>
    <t>JV2412002</t>
  </si>
  <si>
    <t>Being settlement of accruals for last year</t>
  </si>
  <si>
    <t>Director's CA-Opening balance</t>
  </si>
  <si>
    <t>Total cash out-2412</t>
  </si>
  <si>
    <t>JV2412003</t>
  </si>
  <si>
    <t>Being recognized of BR fee for the year</t>
  </si>
  <si>
    <t>Share capital-Opening balance</t>
  </si>
  <si>
    <t>Retained earnings-Opening balance</t>
  </si>
  <si>
    <t>Total Bank charges-2412</t>
  </si>
  <si>
    <t>Total Building management fee-2412</t>
  </si>
  <si>
    <t>Total Rental expenses-2412</t>
  </si>
  <si>
    <t>ASSETS</t>
  </si>
  <si>
    <t>Current Assets</t>
  </si>
  <si>
    <t>Total Current Assets</t>
  </si>
  <si>
    <t>Property and Equipment</t>
  </si>
  <si>
    <t>Total Property and Equipment</t>
  </si>
  <si>
    <t>Other Assets</t>
  </si>
  <si>
    <t>Total Other Assets</t>
  </si>
  <si>
    <t>Total Assets</t>
  </si>
  <si>
    <t>LIABILITIES AND CAPITAL</t>
  </si>
  <si>
    <t>Current Liabilities</t>
  </si>
  <si>
    <t>Total Current Liabilities</t>
  </si>
  <si>
    <t>Long-Term Liabilities</t>
  </si>
  <si>
    <t>Total Long-Term Liabilities</t>
  </si>
  <si>
    <t>Total Liabilities</t>
  </si>
  <si>
    <t>Capital</t>
  </si>
  <si>
    <t>Net Income</t>
  </si>
  <si>
    <t>Total Capital</t>
  </si>
  <si>
    <t>Total Liabilities &amp; Capital</t>
  </si>
  <si>
    <t>Current Month</t>
  </si>
  <si>
    <t>Year to Date</t>
  </si>
  <si>
    <t>Revenues</t>
  </si>
  <si>
    <t>Total Revenues</t>
  </si>
  <si>
    <t>Cost of Sales</t>
  </si>
  <si>
    <t>Total Cost of Sales</t>
  </si>
  <si>
    <t>Gross Profit</t>
  </si>
  <si>
    <t>Expenses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</si>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</sst>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-#,##0.00;* ??"/>
    <numFmt numFmtId="177" formatCode="\$* #,##0.00;\(\$* #,##0.00\)"/>
    <numFmt numFmtId="178" formatCode="#,##0.00;\(#,##0.0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新細明體"/>
      <family val="2"/>
      <charset val="136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30" fontId="2" fillId="0" borderId="0" xfId="0" applyNumberFormat="1" applyFont="1" applyAlignment="1">
      <alignment horizontal="left" vertical="center"/>
    </xf>
    <xf numFmtId="30" fontId="1" fillId="0" borderId="0" xfId="0" applyNumberFormat="1" applyFont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30" fontId="2" fillId="0" borderId="3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left" vertical="center"/>
    </xf>
    <xf numFmtId="178" fontId="0" fillId="0" borderId="4" xfId="0" applyNumberForma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095A-8743-41DC-BC72-708165012D9C}">
  <dimension ref="A1:D15"/>
  <sheetViews>
    <sheetView workbookViewId="0">
      <pane ySplit="1" topLeftCell="A2" activePane="bottomLeft" state="frozenSplit"/>
      <selection pane="bottomLeft" activeCell="I35" sqref="I35"/>
    </sheetView>
  </sheetViews>
  <sheetFormatPr defaultRowHeight="12" x14ac:dyDescent="0.25"/>
  <cols>
    <col min="1" max="1" width="10.625" style="2" customWidth="1"/>
    <col min="2" max="2" width="19.625" style="2" customWidth="1"/>
    <col min="3" max="4" width="10.625" style="6" customWidth="1"/>
    <col min="5" max="16384" width="9" style="1"/>
  </cols>
  <sheetData>
    <row r="1" spans="1:4" s="9" customFormat="1" x14ac:dyDescent="0.25">
      <c r="A1" s="7" t="s">
        <v>0</v>
      </c>
      <c r="B1" s="7" t="s">
        <v>1</v>
      </c>
      <c r="C1" s="8" t="s">
        <v>2</v>
      </c>
      <c r="D1" s="8" t="s">
        <v>3</v>
      </c>
    </row>
    <row r="2" spans="1:4" x14ac:dyDescent="0.25">
      <c r="A2" s="2" t="s">
        <v>4</v>
      </c>
      <c r="B2" s="2" t="s">
        <v>5</v>
      </c>
      <c r="C2" s="6">
        <v>117</v>
      </c>
    </row>
    <row r="3" spans="1:4" x14ac:dyDescent="0.25">
      <c r="A3" s="2" t="s">
        <v>6</v>
      </c>
      <c r="B3" s="2" t="s">
        <v>7</v>
      </c>
      <c r="C3" s="6">
        <v>2910.6</v>
      </c>
    </row>
    <row r="4" spans="1:4" x14ac:dyDescent="0.25">
      <c r="A4" s="2" t="s">
        <v>8</v>
      </c>
      <c r="B4" s="2" t="s">
        <v>9</v>
      </c>
      <c r="D4" s="6">
        <v>4700</v>
      </c>
    </row>
    <row r="5" spans="1:4" x14ac:dyDescent="0.25">
      <c r="A5" s="2" t="s">
        <v>10</v>
      </c>
      <c r="B5" s="2" t="s">
        <v>11</v>
      </c>
      <c r="D5" s="6">
        <v>18347.099999999999</v>
      </c>
    </row>
    <row r="6" spans="1:4" x14ac:dyDescent="0.25">
      <c r="A6" s="2" t="s">
        <v>12</v>
      </c>
      <c r="B6" s="2" t="s">
        <v>13</v>
      </c>
      <c r="D6" s="6">
        <v>1</v>
      </c>
    </row>
    <row r="7" spans="1:4" x14ac:dyDescent="0.25">
      <c r="A7" s="2" t="s">
        <v>14</v>
      </c>
      <c r="B7" s="2" t="s">
        <v>15</v>
      </c>
      <c r="C7" s="6">
        <v>7851</v>
      </c>
    </row>
    <row r="8" spans="1:4" x14ac:dyDescent="0.25">
      <c r="A8" s="2" t="s">
        <v>16</v>
      </c>
      <c r="B8" s="2" t="s">
        <v>17</v>
      </c>
      <c r="C8" s="6">
        <v>4700</v>
      </c>
    </row>
    <row r="9" spans="1:4" x14ac:dyDescent="0.25">
      <c r="A9" s="2" t="s">
        <v>18</v>
      </c>
      <c r="B9" s="2" t="s">
        <v>19</v>
      </c>
      <c r="C9" s="6">
        <v>2184</v>
      </c>
    </row>
    <row r="10" spans="1:4" x14ac:dyDescent="0.25">
      <c r="A10" s="2" t="s">
        <v>20</v>
      </c>
      <c r="B10" s="2" t="s">
        <v>21</v>
      </c>
      <c r="C10" s="6">
        <v>525.79999999999995</v>
      </c>
    </row>
    <row r="11" spans="1:4" x14ac:dyDescent="0.25">
      <c r="A11" s="2" t="s">
        <v>22</v>
      </c>
      <c r="B11" s="2" t="s">
        <v>23</v>
      </c>
      <c r="C11" s="6">
        <v>2200</v>
      </c>
    </row>
    <row r="12" spans="1:4" x14ac:dyDescent="0.25">
      <c r="A12" s="2" t="s">
        <v>24</v>
      </c>
      <c r="B12" s="2" t="s">
        <v>25</v>
      </c>
      <c r="C12" s="6">
        <v>2559.6999999999998</v>
      </c>
    </row>
    <row r="13" spans="1:4" customFormat="1" ht="16.5" x14ac:dyDescent="0.25">
      <c r="C13" s="10"/>
      <c r="D13" s="10"/>
    </row>
    <row r="14" spans="1:4" s="4" customFormat="1" ht="12.75" thickBot="1" x14ac:dyDescent="0.3">
      <c r="A14" s="3" t="s">
        <v>26</v>
      </c>
      <c r="B14" s="3" t="s">
        <v>27</v>
      </c>
      <c r="C14" s="5">
        <f>SUBTOTAL(9, C2:C13)</f>
        <v>23048.1</v>
      </c>
      <c r="D14" s="5">
        <f>SUBTOTAL(9, D2:D13)</f>
        <v>23048.1</v>
      </c>
    </row>
    <row r="15" spans="1:4" customFormat="1" ht="18" thickTop="1" thickBot="1" x14ac:dyDescent="0.3">
      <c r="A15" s="11"/>
      <c r="B15" s="11"/>
      <c r="C15" s="12"/>
      <c r="D15" s="12"/>
    </row>
  </sheetData>
  <phoneticPr fontId="3" type="noConversion"/>
  <pageMargins left="0.7" right="0.7" top="1.25" bottom="0.65277777777777779" header="0.3" footer="0.3"/>
  <pageSetup paperSize="9" orientation="landscape" r:id="rId1"/>
  <headerFooter>
    <oddHeader xml:space="preserve">&amp;C&amp;"Arial"&amp;12&amp;B Seasmooth Scientechin Co., Limited&amp;B
&amp;11&amp;B General Ledger Trial Balance&amp;B
&amp;B As of 31 Dec 2024&amp;B&amp;L&amp;"Arial"&amp;12
&amp;11
&amp;"Arial"&amp;8 Filter Criteria includes: Report order is by ID. Report is printed in Detail Format. </oddHeader>
    <oddFooter>&amp;L&amp;9&amp;"Arial"&amp;B&amp;D at &amp;T&amp;R&amp;9&amp;"Arial"&amp;BPage: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C67B-E600-40F7-9876-18A9D37BD4EC}">
  <dimension ref="A1:I51"/>
  <sheetViews>
    <sheetView workbookViewId="0">
      <pane ySplit="1" topLeftCell="A2" activePane="bottomLeft" state="frozenSplit"/>
      <selection pane="bottomLeft" activeCell="N35" sqref="N35"/>
    </sheetView>
  </sheetViews>
  <sheetFormatPr defaultRowHeight="12" x14ac:dyDescent="0.25"/>
  <cols>
    <col min="1" max="2" width="16.625" style="2" customWidth="1"/>
    <col min="3" max="3" width="7.625" style="14" customWidth="1"/>
    <col min="4" max="4" width="8.625" style="2" customWidth="1"/>
    <col min="5" max="5" width="4.625" style="2" customWidth="1"/>
    <col min="6" max="6" width="14.625" style="2" customWidth="1"/>
    <col min="7" max="8" width="11.625" style="6" customWidth="1"/>
    <col min="9" max="9" width="10.625" style="6" customWidth="1"/>
    <col min="10" max="16384" width="9" style="1"/>
  </cols>
  <sheetData>
    <row r="1" spans="1:9" s="9" customFormat="1" x14ac:dyDescent="0.25">
      <c r="A1" s="7" t="s">
        <v>0</v>
      </c>
      <c r="B1" s="7" t="s">
        <v>1</v>
      </c>
      <c r="C1" s="7" t="s">
        <v>28</v>
      </c>
      <c r="D1" s="7" t="s">
        <v>29</v>
      </c>
      <c r="E1" s="7" t="s">
        <v>30</v>
      </c>
      <c r="F1" s="7" t="s">
        <v>31</v>
      </c>
      <c r="G1" s="8" t="s">
        <v>2</v>
      </c>
      <c r="H1" s="8" t="s">
        <v>3</v>
      </c>
      <c r="I1" s="8" t="s">
        <v>32</v>
      </c>
    </row>
    <row r="2" spans="1:9" x14ac:dyDescent="0.25">
      <c r="A2" s="2" t="s">
        <v>4</v>
      </c>
      <c r="B2" s="2" t="s">
        <v>5</v>
      </c>
      <c r="C2" s="14">
        <v>45292</v>
      </c>
      <c r="D2" s="2" t="s">
        <v>26</v>
      </c>
      <c r="E2" s="2" t="s">
        <v>26</v>
      </c>
      <c r="F2" s="2" t="s">
        <v>33</v>
      </c>
    </row>
    <row r="3" spans="1:9" x14ac:dyDescent="0.25">
      <c r="A3" s="2" t="s">
        <v>4</v>
      </c>
      <c r="B3" s="2" t="s">
        <v>5</v>
      </c>
      <c r="C3" s="14">
        <v>45292</v>
      </c>
      <c r="D3" s="2" t="s">
        <v>34</v>
      </c>
      <c r="E3" s="2" t="s">
        <v>35</v>
      </c>
      <c r="F3" s="2" t="s">
        <v>36</v>
      </c>
      <c r="G3" s="6">
        <v>2301</v>
      </c>
    </row>
    <row r="4" spans="1:9" x14ac:dyDescent="0.25">
      <c r="A4" s="2" t="s">
        <v>4</v>
      </c>
      <c r="B4" s="2" t="s">
        <v>5</v>
      </c>
      <c r="C4" s="14">
        <v>45292</v>
      </c>
      <c r="D4" s="2" t="s">
        <v>37</v>
      </c>
      <c r="E4" s="2" t="s">
        <v>35</v>
      </c>
      <c r="F4" s="2" t="s">
        <v>38</v>
      </c>
      <c r="H4" s="6">
        <v>2184</v>
      </c>
    </row>
    <row r="5" spans="1:9" x14ac:dyDescent="0.25">
      <c r="A5" s="2" t="s">
        <v>4</v>
      </c>
      <c r="B5" s="2" t="s">
        <v>5</v>
      </c>
      <c r="D5" s="2" t="s">
        <v>26</v>
      </c>
      <c r="E5" s="2" t="s">
        <v>26</v>
      </c>
      <c r="F5" s="2" t="s">
        <v>39</v>
      </c>
      <c r="G5" s="6">
        <v>2301</v>
      </c>
      <c r="H5" s="6">
        <v>2184</v>
      </c>
      <c r="I5" s="6">
        <f>G5-H5</f>
        <v>117</v>
      </c>
    </row>
    <row r="6" spans="1:9" s="4" customFormat="1" x14ac:dyDescent="0.25">
      <c r="A6" s="3" t="s">
        <v>26</v>
      </c>
      <c r="B6" s="3" t="s">
        <v>26</v>
      </c>
      <c r="C6" s="13" t="s">
        <v>40</v>
      </c>
      <c r="D6" s="3" t="s">
        <v>26</v>
      </c>
      <c r="E6" s="3" t="s">
        <v>26</v>
      </c>
      <c r="F6" s="3" t="s">
        <v>41</v>
      </c>
      <c r="G6" s="5"/>
      <c r="H6" s="5"/>
      <c r="I6" s="5">
        <f>SUBTOTAL(9, I2:I5)</f>
        <v>117</v>
      </c>
    </row>
    <row r="7" spans="1:9" x14ac:dyDescent="0.25">
      <c r="A7" s="2" t="s">
        <v>6</v>
      </c>
      <c r="B7" s="2" t="s">
        <v>7</v>
      </c>
      <c r="C7" s="14">
        <v>45292</v>
      </c>
      <c r="D7" s="2" t="s">
        <v>26</v>
      </c>
      <c r="E7" s="2" t="s">
        <v>26</v>
      </c>
      <c r="F7" s="2" t="s">
        <v>33</v>
      </c>
    </row>
    <row r="8" spans="1:9" x14ac:dyDescent="0.25">
      <c r="A8" s="2" t="s">
        <v>6</v>
      </c>
      <c r="B8" s="2" t="s">
        <v>7</v>
      </c>
      <c r="C8" s="14" t="s">
        <v>40</v>
      </c>
      <c r="D8" s="2" t="s">
        <v>42</v>
      </c>
      <c r="E8" s="2" t="s">
        <v>35</v>
      </c>
      <c r="F8" s="2" t="s">
        <v>43</v>
      </c>
      <c r="G8" s="6">
        <v>2910.6</v>
      </c>
    </row>
    <row r="9" spans="1:9" x14ac:dyDescent="0.25">
      <c r="A9" s="2" t="s">
        <v>6</v>
      </c>
      <c r="B9" s="2" t="s">
        <v>7</v>
      </c>
      <c r="D9" s="2" t="s">
        <v>26</v>
      </c>
      <c r="E9" s="2" t="s">
        <v>26</v>
      </c>
      <c r="F9" s="2" t="s">
        <v>39</v>
      </c>
      <c r="G9" s="6">
        <v>2910.6</v>
      </c>
      <c r="I9" s="6">
        <f>G9-H9</f>
        <v>2910.6</v>
      </c>
    </row>
    <row r="10" spans="1:9" s="4" customFormat="1" x14ac:dyDescent="0.25">
      <c r="A10" s="3" t="s">
        <v>26</v>
      </c>
      <c r="B10" s="3" t="s">
        <v>26</v>
      </c>
      <c r="C10" s="13" t="s">
        <v>40</v>
      </c>
      <c r="D10" s="3" t="s">
        <v>26</v>
      </c>
      <c r="E10" s="3" t="s">
        <v>26</v>
      </c>
      <c r="F10" s="3" t="s">
        <v>41</v>
      </c>
      <c r="G10" s="5"/>
      <c r="H10" s="5"/>
      <c r="I10" s="5">
        <f>SUBTOTAL(9, I7:I9)</f>
        <v>2910.6</v>
      </c>
    </row>
    <row r="11" spans="1:9" x14ac:dyDescent="0.25">
      <c r="A11" s="2" t="s">
        <v>8</v>
      </c>
      <c r="B11" s="2" t="s">
        <v>9</v>
      </c>
      <c r="C11" s="14">
        <v>45292</v>
      </c>
      <c r="D11" s="2" t="s">
        <v>26</v>
      </c>
      <c r="E11" s="2" t="s">
        <v>26</v>
      </c>
      <c r="F11" s="2" t="s">
        <v>33</v>
      </c>
    </row>
    <row r="12" spans="1:9" x14ac:dyDescent="0.25">
      <c r="A12" s="2" t="s">
        <v>8</v>
      </c>
      <c r="B12" s="2" t="s">
        <v>9</v>
      </c>
      <c r="C12" s="14">
        <v>45292</v>
      </c>
      <c r="D12" s="2" t="s">
        <v>34</v>
      </c>
      <c r="E12" s="2" t="s">
        <v>35</v>
      </c>
      <c r="F12" s="2" t="s">
        <v>44</v>
      </c>
      <c r="H12" s="6">
        <v>5200</v>
      </c>
    </row>
    <row r="13" spans="1:9" x14ac:dyDescent="0.25">
      <c r="A13" s="2" t="s">
        <v>8</v>
      </c>
      <c r="B13" s="2" t="s">
        <v>9</v>
      </c>
      <c r="C13" s="14" t="s">
        <v>40</v>
      </c>
      <c r="D13" s="2" t="s">
        <v>45</v>
      </c>
      <c r="E13" s="2" t="s">
        <v>35</v>
      </c>
      <c r="F13" s="2" t="s">
        <v>46</v>
      </c>
      <c r="H13" s="6">
        <v>4700</v>
      </c>
    </row>
    <row r="14" spans="1:9" x14ac:dyDescent="0.25">
      <c r="A14" s="2" t="s">
        <v>8</v>
      </c>
      <c r="B14" s="2" t="s">
        <v>9</v>
      </c>
      <c r="C14" s="14" t="s">
        <v>40</v>
      </c>
      <c r="D14" s="2" t="s">
        <v>47</v>
      </c>
      <c r="E14" s="2" t="s">
        <v>35</v>
      </c>
      <c r="F14" s="2" t="s">
        <v>48</v>
      </c>
      <c r="G14" s="6">
        <v>5200</v>
      </c>
    </row>
    <row r="15" spans="1:9" x14ac:dyDescent="0.25">
      <c r="A15" s="2" t="s">
        <v>8</v>
      </c>
      <c r="B15" s="2" t="s">
        <v>9</v>
      </c>
      <c r="D15" s="2" t="s">
        <v>26</v>
      </c>
      <c r="E15" s="2" t="s">
        <v>26</v>
      </c>
      <c r="F15" s="2" t="s">
        <v>39</v>
      </c>
      <c r="G15" s="6">
        <v>5200</v>
      </c>
      <c r="H15" s="6">
        <v>9900</v>
      </c>
      <c r="I15" s="6">
        <f>G15-H15</f>
        <v>-4700</v>
      </c>
    </row>
    <row r="16" spans="1:9" s="4" customFormat="1" x14ac:dyDescent="0.25">
      <c r="A16" s="3" t="s">
        <v>26</v>
      </c>
      <c r="B16" s="3" t="s">
        <v>26</v>
      </c>
      <c r="C16" s="13" t="s">
        <v>40</v>
      </c>
      <c r="D16" s="3" t="s">
        <v>26</v>
      </c>
      <c r="E16" s="3" t="s">
        <v>26</v>
      </c>
      <c r="F16" s="3" t="s">
        <v>41</v>
      </c>
      <c r="G16" s="5"/>
      <c r="H16" s="5"/>
      <c r="I16" s="5">
        <f>SUBTOTAL(9, I11:I15)</f>
        <v>-4700</v>
      </c>
    </row>
    <row r="17" spans="1:9" x14ac:dyDescent="0.25">
      <c r="A17" s="2" t="s">
        <v>10</v>
      </c>
      <c r="B17" s="2" t="s">
        <v>11</v>
      </c>
      <c r="C17" s="14">
        <v>45292</v>
      </c>
      <c r="D17" s="2" t="s">
        <v>26</v>
      </c>
      <c r="E17" s="2" t="s">
        <v>26</v>
      </c>
      <c r="F17" s="2" t="s">
        <v>33</v>
      </c>
    </row>
    <row r="18" spans="1:9" x14ac:dyDescent="0.25">
      <c r="A18" s="2" t="s">
        <v>10</v>
      </c>
      <c r="B18" s="2" t="s">
        <v>11</v>
      </c>
      <c r="C18" s="14">
        <v>45292</v>
      </c>
      <c r="D18" s="2" t="s">
        <v>34</v>
      </c>
      <c r="E18" s="2" t="s">
        <v>35</v>
      </c>
      <c r="F18" s="2" t="s">
        <v>49</v>
      </c>
      <c r="H18" s="6">
        <v>4951</v>
      </c>
    </row>
    <row r="19" spans="1:9" x14ac:dyDescent="0.25">
      <c r="A19" s="2" t="s">
        <v>10</v>
      </c>
      <c r="B19" s="2" t="s">
        <v>11</v>
      </c>
      <c r="C19" s="14" t="s">
        <v>40</v>
      </c>
      <c r="D19" s="2" t="s">
        <v>42</v>
      </c>
      <c r="E19" s="2" t="s">
        <v>35</v>
      </c>
      <c r="F19" s="2" t="s">
        <v>50</v>
      </c>
      <c r="H19" s="6">
        <v>5996.1</v>
      </c>
    </row>
    <row r="20" spans="1:9" x14ac:dyDescent="0.25">
      <c r="A20" s="2" t="s">
        <v>10</v>
      </c>
      <c r="B20" s="2" t="s">
        <v>11</v>
      </c>
      <c r="C20" s="14" t="s">
        <v>40</v>
      </c>
      <c r="D20" s="2" t="s">
        <v>47</v>
      </c>
      <c r="E20" s="2" t="s">
        <v>35</v>
      </c>
      <c r="F20" s="2" t="s">
        <v>48</v>
      </c>
      <c r="H20" s="6">
        <v>5200</v>
      </c>
    </row>
    <row r="21" spans="1:9" x14ac:dyDescent="0.25">
      <c r="A21" s="2" t="s">
        <v>10</v>
      </c>
      <c r="B21" s="2" t="s">
        <v>11</v>
      </c>
      <c r="C21" s="14" t="s">
        <v>40</v>
      </c>
      <c r="D21" s="2" t="s">
        <v>51</v>
      </c>
      <c r="E21" s="2" t="s">
        <v>35</v>
      </c>
      <c r="F21" s="2" t="s">
        <v>52</v>
      </c>
      <c r="H21" s="6">
        <v>2200</v>
      </c>
    </row>
    <row r="22" spans="1:9" x14ac:dyDescent="0.25">
      <c r="A22" s="2" t="s">
        <v>10</v>
      </c>
      <c r="B22" s="2" t="s">
        <v>11</v>
      </c>
      <c r="D22" s="2" t="s">
        <v>26</v>
      </c>
      <c r="E22" s="2" t="s">
        <v>26</v>
      </c>
      <c r="F22" s="2" t="s">
        <v>39</v>
      </c>
      <c r="H22" s="6">
        <v>18347.099999999999</v>
      </c>
      <c r="I22" s="6">
        <f>G22-H22</f>
        <v>-18347.099999999999</v>
      </c>
    </row>
    <row r="23" spans="1:9" s="4" customFormat="1" x14ac:dyDescent="0.25">
      <c r="A23" s="3" t="s">
        <v>26</v>
      </c>
      <c r="B23" s="3" t="s">
        <v>26</v>
      </c>
      <c r="C23" s="13" t="s">
        <v>40</v>
      </c>
      <c r="D23" s="3" t="s">
        <v>26</v>
      </c>
      <c r="E23" s="3" t="s">
        <v>26</v>
      </c>
      <c r="F23" s="3" t="s">
        <v>41</v>
      </c>
      <c r="G23" s="5"/>
      <c r="H23" s="5"/>
      <c r="I23" s="5">
        <f>SUBTOTAL(9, I17:I22)</f>
        <v>-18347.099999999999</v>
      </c>
    </row>
    <row r="24" spans="1:9" x14ac:dyDescent="0.25">
      <c r="A24" s="2" t="s">
        <v>12</v>
      </c>
      <c r="B24" s="2" t="s">
        <v>13</v>
      </c>
      <c r="C24" s="14">
        <v>45292</v>
      </c>
      <c r="D24" s="2" t="s">
        <v>26</v>
      </c>
      <c r="E24" s="2" t="s">
        <v>26</v>
      </c>
      <c r="F24" s="2" t="s">
        <v>33</v>
      </c>
    </row>
    <row r="25" spans="1:9" x14ac:dyDescent="0.25">
      <c r="A25" s="2" t="s">
        <v>12</v>
      </c>
      <c r="B25" s="2" t="s">
        <v>13</v>
      </c>
      <c r="C25" s="14">
        <v>45292</v>
      </c>
      <c r="D25" s="2" t="s">
        <v>34</v>
      </c>
      <c r="E25" s="2" t="s">
        <v>35</v>
      </c>
      <c r="F25" s="2" t="s">
        <v>53</v>
      </c>
      <c r="H25" s="6">
        <v>1</v>
      </c>
    </row>
    <row r="26" spans="1:9" x14ac:dyDescent="0.25">
      <c r="A26" s="2" t="s">
        <v>12</v>
      </c>
      <c r="B26" s="2" t="s">
        <v>13</v>
      </c>
      <c r="D26" s="2" t="s">
        <v>26</v>
      </c>
      <c r="E26" s="2" t="s">
        <v>26</v>
      </c>
      <c r="F26" s="2" t="s">
        <v>39</v>
      </c>
      <c r="H26" s="6">
        <v>1</v>
      </c>
      <c r="I26" s="6">
        <f>G26-H26</f>
        <v>-1</v>
      </c>
    </row>
    <row r="27" spans="1:9" s="4" customFormat="1" x14ac:dyDescent="0.25">
      <c r="A27" s="3" t="s">
        <v>26</v>
      </c>
      <c r="B27" s="3" t="s">
        <v>26</v>
      </c>
      <c r="C27" s="13" t="s">
        <v>40</v>
      </c>
      <c r="D27" s="3" t="s">
        <v>26</v>
      </c>
      <c r="E27" s="3" t="s">
        <v>26</v>
      </c>
      <c r="F27" s="3" t="s">
        <v>41</v>
      </c>
      <c r="G27" s="5"/>
      <c r="H27" s="5"/>
      <c r="I27" s="5">
        <f>SUBTOTAL(9, I24:I26)</f>
        <v>-1</v>
      </c>
    </row>
    <row r="28" spans="1:9" x14ac:dyDescent="0.25">
      <c r="A28" s="2" t="s">
        <v>14</v>
      </c>
      <c r="B28" s="2" t="s">
        <v>15</v>
      </c>
      <c r="C28" s="14">
        <v>45292</v>
      </c>
      <c r="D28" s="2" t="s">
        <v>26</v>
      </c>
      <c r="E28" s="2" t="s">
        <v>26</v>
      </c>
      <c r="F28" s="2" t="s">
        <v>33</v>
      </c>
    </row>
    <row r="29" spans="1:9" x14ac:dyDescent="0.25">
      <c r="A29" s="2" t="s">
        <v>14</v>
      </c>
      <c r="B29" s="2" t="s">
        <v>15</v>
      </c>
      <c r="C29" s="14">
        <v>45292</v>
      </c>
      <c r="D29" s="2" t="s">
        <v>34</v>
      </c>
      <c r="E29" s="2" t="s">
        <v>35</v>
      </c>
      <c r="F29" s="2" t="s">
        <v>54</v>
      </c>
      <c r="G29" s="6">
        <v>7851</v>
      </c>
    </row>
    <row r="30" spans="1:9" x14ac:dyDescent="0.25">
      <c r="A30" s="2" t="s">
        <v>14</v>
      </c>
      <c r="B30" s="2" t="s">
        <v>15</v>
      </c>
      <c r="D30" s="2" t="s">
        <v>26</v>
      </c>
      <c r="E30" s="2" t="s">
        <v>26</v>
      </c>
      <c r="F30" s="2" t="s">
        <v>39</v>
      </c>
      <c r="G30" s="6">
        <v>7851</v>
      </c>
      <c r="I30" s="6">
        <f>G30-H30</f>
        <v>7851</v>
      </c>
    </row>
    <row r="31" spans="1:9" s="4" customFormat="1" x14ac:dyDescent="0.25">
      <c r="A31" s="3" t="s">
        <v>26</v>
      </c>
      <c r="B31" s="3" t="s">
        <v>26</v>
      </c>
      <c r="C31" s="13" t="s">
        <v>40</v>
      </c>
      <c r="D31" s="3" t="s">
        <v>26</v>
      </c>
      <c r="E31" s="3" t="s">
        <v>26</v>
      </c>
      <c r="F31" s="3" t="s">
        <v>41</v>
      </c>
      <c r="G31" s="5"/>
      <c r="H31" s="5"/>
      <c r="I31" s="5">
        <f>SUBTOTAL(9, I28:I30)</f>
        <v>7851</v>
      </c>
    </row>
    <row r="32" spans="1:9" x14ac:dyDescent="0.25">
      <c r="A32" s="2" t="s">
        <v>16</v>
      </c>
      <c r="B32" s="2" t="s">
        <v>17</v>
      </c>
      <c r="C32" s="14">
        <v>45292</v>
      </c>
      <c r="D32" s="2" t="s">
        <v>26</v>
      </c>
      <c r="E32" s="2" t="s">
        <v>26</v>
      </c>
      <c r="F32" s="2" t="s">
        <v>33</v>
      </c>
    </row>
    <row r="33" spans="1:9" x14ac:dyDescent="0.25">
      <c r="A33" s="2" t="s">
        <v>16</v>
      </c>
      <c r="B33" s="2" t="s">
        <v>17</v>
      </c>
      <c r="C33" s="14" t="s">
        <v>40</v>
      </c>
      <c r="D33" s="2" t="s">
        <v>45</v>
      </c>
      <c r="E33" s="2" t="s">
        <v>35</v>
      </c>
      <c r="F33" s="2" t="s">
        <v>46</v>
      </c>
      <c r="G33" s="6">
        <v>4700</v>
      </c>
    </row>
    <row r="34" spans="1:9" x14ac:dyDescent="0.25">
      <c r="A34" s="2" t="s">
        <v>16</v>
      </c>
      <c r="B34" s="2" t="s">
        <v>17</v>
      </c>
      <c r="D34" s="2" t="s">
        <v>26</v>
      </c>
      <c r="E34" s="2" t="s">
        <v>26</v>
      </c>
      <c r="F34" s="2" t="s">
        <v>39</v>
      </c>
      <c r="G34" s="6">
        <v>4700</v>
      </c>
      <c r="I34" s="6">
        <f>G34-H34</f>
        <v>4700</v>
      </c>
    </row>
    <row r="35" spans="1:9" s="4" customFormat="1" x14ac:dyDescent="0.25">
      <c r="A35" s="3" t="s">
        <v>26</v>
      </c>
      <c r="B35" s="3" t="s">
        <v>26</v>
      </c>
      <c r="C35" s="13" t="s">
        <v>40</v>
      </c>
      <c r="D35" s="3" t="s">
        <v>26</v>
      </c>
      <c r="E35" s="3" t="s">
        <v>26</v>
      </c>
      <c r="F35" s="3" t="s">
        <v>41</v>
      </c>
      <c r="G35" s="5"/>
      <c r="H35" s="5"/>
      <c r="I35" s="5">
        <f>SUBTOTAL(9, I32:I34)</f>
        <v>4700</v>
      </c>
    </row>
    <row r="36" spans="1:9" x14ac:dyDescent="0.25">
      <c r="A36" s="2" t="s">
        <v>18</v>
      </c>
      <c r="B36" s="2" t="s">
        <v>19</v>
      </c>
      <c r="C36" s="14">
        <v>45292</v>
      </c>
      <c r="D36" s="2" t="s">
        <v>26</v>
      </c>
      <c r="E36" s="2" t="s">
        <v>26</v>
      </c>
      <c r="F36" s="2" t="s">
        <v>33</v>
      </c>
    </row>
    <row r="37" spans="1:9" x14ac:dyDescent="0.25">
      <c r="A37" s="2" t="s">
        <v>18</v>
      </c>
      <c r="B37" s="2" t="s">
        <v>19</v>
      </c>
      <c r="C37" s="14">
        <v>45292</v>
      </c>
      <c r="D37" s="2" t="s">
        <v>37</v>
      </c>
      <c r="E37" s="2" t="s">
        <v>35</v>
      </c>
      <c r="F37" s="2" t="s">
        <v>55</v>
      </c>
      <c r="G37" s="6">
        <v>2184</v>
      </c>
    </row>
    <row r="38" spans="1:9" x14ac:dyDescent="0.25">
      <c r="A38" s="2" t="s">
        <v>18</v>
      </c>
      <c r="B38" s="2" t="s">
        <v>19</v>
      </c>
      <c r="D38" s="2" t="s">
        <v>26</v>
      </c>
      <c r="E38" s="2" t="s">
        <v>26</v>
      </c>
      <c r="F38" s="2" t="s">
        <v>39</v>
      </c>
      <c r="G38" s="6">
        <v>2184</v>
      </c>
      <c r="I38" s="6">
        <f>G38-H38</f>
        <v>2184</v>
      </c>
    </row>
    <row r="39" spans="1:9" s="4" customFormat="1" x14ac:dyDescent="0.25">
      <c r="A39" s="3" t="s">
        <v>26</v>
      </c>
      <c r="B39" s="3" t="s">
        <v>26</v>
      </c>
      <c r="C39" s="13" t="s">
        <v>40</v>
      </c>
      <c r="D39" s="3" t="s">
        <v>26</v>
      </c>
      <c r="E39" s="3" t="s">
        <v>26</v>
      </c>
      <c r="F39" s="3" t="s">
        <v>41</v>
      </c>
      <c r="G39" s="5"/>
      <c r="H39" s="5"/>
      <c r="I39" s="5">
        <f>SUBTOTAL(9, I36:I38)</f>
        <v>2184</v>
      </c>
    </row>
    <row r="40" spans="1:9" x14ac:dyDescent="0.25">
      <c r="A40" s="2" t="s">
        <v>20</v>
      </c>
      <c r="B40" s="2" t="s">
        <v>21</v>
      </c>
      <c r="C40" s="14">
        <v>45292</v>
      </c>
      <c r="D40" s="2" t="s">
        <v>26</v>
      </c>
      <c r="E40" s="2" t="s">
        <v>26</v>
      </c>
      <c r="F40" s="2" t="s">
        <v>33</v>
      </c>
    </row>
    <row r="41" spans="1:9" x14ac:dyDescent="0.25">
      <c r="A41" s="2" t="s">
        <v>20</v>
      </c>
      <c r="B41" s="2" t="s">
        <v>21</v>
      </c>
      <c r="C41" s="14" t="s">
        <v>40</v>
      </c>
      <c r="D41" s="2" t="s">
        <v>42</v>
      </c>
      <c r="E41" s="2" t="s">
        <v>35</v>
      </c>
      <c r="F41" s="2" t="s">
        <v>56</v>
      </c>
      <c r="G41" s="6">
        <v>525.79999999999995</v>
      </c>
    </row>
    <row r="42" spans="1:9" x14ac:dyDescent="0.25">
      <c r="A42" s="2" t="s">
        <v>20</v>
      </c>
      <c r="B42" s="2" t="s">
        <v>21</v>
      </c>
      <c r="D42" s="2" t="s">
        <v>26</v>
      </c>
      <c r="E42" s="2" t="s">
        <v>26</v>
      </c>
      <c r="F42" s="2" t="s">
        <v>39</v>
      </c>
      <c r="G42" s="6">
        <v>525.79999999999995</v>
      </c>
      <c r="I42" s="6">
        <f>G42-H42</f>
        <v>525.79999999999995</v>
      </c>
    </row>
    <row r="43" spans="1:9" s="4" customFormat="1" x14ac:dyDescent="0.25">
      <c r="A43" s="3" t="s">
        <v>26</v>
      </c>
      <c r="B43" s="3" t="s">
        <v>26</v>
      </c>
      <c r="C43" s="13" t="s">
        <v>40</v>
      </c>
      <c r="D43" s="3" t="s">
        <v>26</v>
      </c>
      <c r="E43" s="3" t="s">
        <v>26</v>
      </c>
      <c r="F43" s="3" t="s">
        <v>41</v>
      </c>
      <c r="G43" s="5"/>
      <c r="H43" s="5"/>
      <c r="I43" s="5">
        <f>SUBTOTAL(9, I40:I42)</f>
        <v>525.79999999999995</v>
      </c>
    </row>
    <row r="44" spans="1:9" x14ac:dyDescent="0.25">
      <c r="A44" s="2" t="s">
        <v>22</v>
      </c>
      <c r="B44" s="2" t="s">
        <v>23</v>
      </c>
      <c r="C44" s="14">
        <v>45292</v>
      </c>
      <c r="D44" s="2" t="s">
        <v>26</v>
      </c>
      <c r="E44" s="2" t="s">
        <v>26</v>
      </c>
      <c r="F44" s="2" t="s">
        <v>33</v>
      </c>
    </row>
    <row r="45" spans="1:9" x14ac:dyDescent="0.25">
      <c r="A45" s="2" t="s">
        <v>22</v>
      </c>
      <c r="B45" s="2" t="s">
        <v>23</v>
      </c>
      <c r="C45" s="14" t="s">
        <v>40</v>
      </c>
      <c r="D45" s="2" t="s">
        <v>51</v>
      </c>
      <c r="E45" s="2" t="s">
        <v>35</v>
      </c>
      <c r="F45" s="2" t="s">
        <v>52</v>
      </c>
      <c r="G45" s="6">
        <v>2200</v>
      </c>
    </row>
    <row r="46" spans="1:9" x14ac:dyDescent="0.25">
      <c r="A46" s="2" t="s">
        <v>22</v>
      </c>
      <c r="B46" s="2" t="s">
        <v>23</v>
      </c>
      <c r="D46" s="2" t="s">
        <v>26</v>
      </c>
      <c r="E46" s="2" t="s">
        <v>26</v>
      </c>
      <c r="F46" s="2" t="s">
        <v>39</v>
      </c>
      <c r="G46" s="6">
        <v>2200</v>
      </c>
      <c r="I46" s="6">
        <f>G46-H46</f>
        <v>2200</v>
      </c>
    </row>
    <row r="47" spans="1:9" s="4" customFormat="1" x14ac:dyDescent="0.25">
      <c r="A47" s="3" t="s">
        <v>26</v>
      </c>
      <c r="B47" s="3" t="s">
        <v>26</v>
      </c>
      <c r="C47" s="13" t="s">
        <v>40</v>
      </c>
      <c r="D47" s="3" t="s">
        <v>26</v>
      </c>
      <c r="E47" s="3" t="s">
        <v>26</v>
      </c>
      <c r="F47" s="3" t="s">
        <v>41</v>
      </c>
      <c r="G47" s="5"/>
      <c r="H47" s="5"/>
      <c r="I47" s="5">
        <f>SUBTOTAL(9, I44:I46)</f>
        <v>2200</v>
      </c>
    </row>
    <row r="48" spans="1:9" x14ac:dyDescent="0.25">
      <c r="A48" s="2" t="s">
        <v>24</v>
      </c>
      <c r="B48" s="2" t="s">
        <v>25</v>
      </c>
      <c r="C48" s="14">
        <v>45292</v>
      </c>
      <c r="D48" s="2" t="s">
        <v>26</v>
      </c>
      <c r="E48" s="2" t="s">
        <v>26</v>
      </c>
      <c r="F48" s="2" t="s">
        <v>33</v>
      </c>
    </row>
    <row r="49" spans="1:9" x14ac:dyDescent="0.25">
      <c r="A49" s="2" t="s">
        <v>24</v>
      </c>
      <c r="B49" s="2" t="s">
        <v>25</v>
      </c>
      <c r="C49" s="14" t="s">
        <v>40</v>
      </c>
      <c r="D49" s="2" t="s">
        <v>42</v>
      </c>
      <c r="E49" s="2" t="s">
        <v>35</v>
      </c>
      <c r="F49" s="2" t="s">
        <v>57</v>
      </c>
      <c r="G49" s="6">
        <v>2559.6999999999998</v>
      </c>
    </row>
    <row r="50" spans="1:9" x14ac:dyDescent="0.25">
      <c r="A50" s="2" t="s">
        <v>24</v>
      </c>
      <c r="B50" s="2" t="s">
        <v>25</v>
      </c>
      <c r="D50" s="2" t="s">
        <v>26</v>
      </c>
      <c r="E50" s="2" t="s">
        <v>26</v>
      </c>
      <c r="F50" s="2" t="s">
        <v>39</v>
      </c>
      <c r="G50" s="6">
        <v>2559.6999999999998</v>
      </c>
      <c r="I50" s="6">
        <f>G50-H50</f>
        <v>2559.6999999999998</v>
      </c>
    </row>
    <row r="51" spans="1:9" s="4" customFormat="1" ht="12.75" thickBot="1" x14ac:dyDescent="0.3">
      <c r="A51" s="15" t="s">
        <v>26</v>
      </c>
      <c r="B51" s="15" t="s">
        <v>26</v>
      </c>
      <c r="C51" s="16" t="s">
        <v>40</v>
      </c>
      <c r="D51" s="15" t="s">
        <v>26</v>
      </c>
      <c r="E51" s="15" t="s">
        <v>26</v>
      </c>
      <c r="F51" s="15" t="s">
        <v>41</v>
      </c>
      <c r="G51" s="17"/>
      <c r="H51" s="17"/>
      <c r="I51" s="17">
        <f>SUBTOTAL(9, I48:I50)</f>
        <v>2559.6999999999998</v>
      </c>
    </row>
  </sheetData>
  <phoneticPr fontId="3" type="noConversion"/>
  <pageMargins left="0.7" right="0.7" top="1.25" bottom="0.65277777777777779" header="0.3" footer="0.3"/>
  <pageSetup paperSize="9" orientation="landscape" r:id="rId1"/>
  <headerFooter>
    <oddHeader>&amp;C&amp;"Arial"&amp;12&amp;B Seasmooth Scientechin Co., Limited&amp;B
&amp;11&amp;B General Ledger&amp;B
&amp;B For the Period From 1 Jan 2024 to 31 Dec 2024&amp;B&amp;L&amp;"Arial"&amp;12
&amp;11
&amp;"Arial"&amp;8 Filter Criteria includes: Report order is by ID. Report is printed with shortened descriptions an</oddHeader>
    <oddFooter>&amp;L&amp;9&amp;"Arial"&amp;B&amp;D at &amp;T&amp;R&amp;9&amp;"Arial"&amp;BPage: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F33B-27AD-46F3-B071-BA0B8AB01492}">
  <dimension ref="A1:C44"/>
  <sheetViews>
    <sheetView workbookViewId="0">
      <pane ySplit="1" topLeftCell="A2" activePane="bottomLeft" state="frozenSplit"/>
      <selection pane="bottomLeft"/>
    </sheetView>
  </sheetViews>
  <sheetFormatPr defaultRowHeight="12.75" x14ac:dyDescent="0.25"/>
  <cols>
    <col min="1" max="1" width="31.625" style="18" customWidth="1"/>
    <col min="2" max="3" width="13.625" style="18" customWidth="1"/>
    <col min="4" max="16384" width="9" style="18"/>
  </cols>
  <sheetData>
    <row r="1" spans="1:3" x14ac:dyDescent="0.25">
      <c r="A1" s="19"/>
      <c r="B1" s="19"/>
      <c r="C1" s="19"/>
    </row>
    <row r="2" spans="1:3" x14ac:dyDescent="0.25">
      <c r="A2" s="20" t="s">
        <v>58</v>
      </c>
    </row>
    <row r="3" spans="1:3" x14ac:dyDescent="0.25">
      <c r="A3" s="20" t="s">
        <v>26</v>
      </c>
    </row>
    <row r="4" spans="1:3" x14ac:dyDescent="0.25">
      <c r="A4" s="21" t="s">
        <v>59</v>
      </c>
    </row>
    <row r="5" spans="1:3" x14ac:dyDescent="0.25">
      <c r="A5" s="21" t="s">
        <v>5</v>
      </c>
      <c r="B5" s="22">
        <v>117</v>
      </c>
      <c r="C5" s="21" t="s">
        <v>26</v>
      </c>
    </row>
    <row r="6" spans="1:3" x14ac:dyDescent="0.25">
      <c r="A6" s="21" t="s">
        <v>7</v>
      </c>
      <c r="B6" s="23">
        <v>2910.6</v>
      </c>
      <c r="C6" s="21" t="s">
        <v>26</v>
      </c>
    </row>
    <row r="7" spans="1:3" customFormat="1" ht="16.5" x14ac:dyDescent="0.25">
      <c r="A7" s="24"/>
      <c r="B7" s="25"/>
      <c r="C7" s="26"/>
    </row>
    <row r="8" spans="1:3" x14ac:dyDescent="0.25">
      <c r="A8" s="21" t="s">
        <v>60</v>
      </c>
      <c r="B8" s="21" t="s">
        <v>26</v>
      </c>
      <c r="C8" s="23">
        <f>ROUND(SUBTOTAL(9, B2:B7), 5)</f>
        <v>3027.6</v>
      </c>
    </row>
    <row r="9" spans="1:3" x14ac:dyDescent="0.25">
      <c r="A9" s="20" t="s">
        <v>26</v>
      </c>
    </row>
    <row r="10" spans="1:3" x14ac:dyDescent="0.25">
      <c r="A10" s="21" t="s">
        <v>61</v>
      </c>
    </row>
    <row r="11" spans="1:3" customFormat="1" ht="16.5" x14ac:dyDescent="0.25">
      <c r="A11" s="24"/>
      <c r="B11" s="25"/>
      <c r="C11" s="26"/>
    </row>
    <row r="12" spans="1:3" x14ac:dyDescent="0.25">
      <c r="A12" s="21" t="s">
        <v>62</v>
      </c>
      <c r="B12" s="21" t="s">
        <v>26</v>
      </c>
      <c r="C12" s="23">
        <f>ROUND(SUBTOTAL(9, C9:C11), 5)</f>
        <v>0</v>
      </c>
    </row>
    <row r="13" spans="1:3" x14ac:dyDescent="0.25">
      <c r="A13" s="20" t="s">
        <v>26</v>
      </c>
    </row>
    <row r="14" spans="1:3" x14ac:dyDescent="0.25">
      <c r="A14" s="21" t="s">
        <v>63</v>
      </c>
    </row>
    <row r="15" spans="1:3" customFormat="1" ht="16.5" x14ac:dyDescent="0.25">
      <c r="A15" s="24"/>
      <c r="B15" s="25"/>
      <c r="C15" s="26"/>
    </row>
    <row r="16" spans="1:3" x14ac:dyDescent="0.25">
      <c r="A16" s="21" t="s">
        <v>64</v>
      </c>
      <c r="B16" s="21" t="s">
        <v>26</v>
      </c>
      <c r="C16" s="23">
        <f>ROUND(SUBTOTAL(9, C13:C15), 5)</f>
        <v>0</v>
      </c>
    </row>
    <row r="17" spans="1:3" customFormat="1" ht="16.5" x14ac:dyDescent="0.25">
      <c r="A17" s="24"/>
      <c r="B17" s="24"/>
      <c r="C17" s="27"/>
    </row>
    <row r="18" spans="1:3" ht="13.5" thickBot="1" x14ac:dyDescent="0.3">
      <c r="A18" s="21" t="s">
        <v>65</v>
      </c>
      <c r="B18" s="21" t="s">
        <v>26</v>
      </c>
      <c r="C18" s="22">
        <f>ROUND(C8+C12+C16, 5)</f>
        <v>3027.6</v>
      </c>
    </row>
    <row r="19" spans="1:3" customFormat="1" ht="17.25" thickTop="1" x14ac:dyDescent="0.25">
      <c r="A19" s="24"/>
      <c r="B19" s="24"/>
      <c r="C19" s="28"/>
    </row>
    <row r="20" spans="1:3" x14ac:dyDescent="0.25">
      <c r="A20" s="20" t="s">
        <v>26</v>
      </c>
    </row>
    <row r="21" spans="1:3" x14ac:dyDescent="0.25">
      <c r="A21" s="20" t="s">
        <v>26</v>
      </c>
    </row>
    <row r="22" spans="1:3" x14ac:dyDescent="0.25">
      <c r="A22" s="20" t="s">
        <v>66</v>
      </c>
    </row>
    <row r="23" spans="1:3" x14ac:dyDescent="0.25">
      <c r="A23" s="20" t="s">
        <v>26</v>
      </c>
    </row>
    <row r="24" spans="1:3" x14ac:dyDescent="0.25">
      <c r="A24" s="21" t="s">
        <v>67</v>
      </c>
    </row>
    <row r="25" spans="1:3" x14ac:dyDescent="0.25">
      <c r="A25" s="21" t="s">
        <v>9</v>
      </c>
      <c r="B25" s="22">
        <v>4700</v>
      </c>
      <c r="C25" s="21" t="s">
        <v>26</v>
      </c>
    </row>
    <row r="26" spans="1:3" x14ac:dyDescent="0.25">
      <c r="A26" s="21" t="s">
        <v>11</v>
      </c>
      <c r="B26" s="23">
        <v>18347.099999999999</v>
      </c>
      <c r="C26" s="21" t="s">
        <v>26</v>
      </c>
    </row>
    <row r="27" spans="1:3" customFormat="1" ht="16.5" x14ac:dyDescent="0.25">
      <c r="A27" s="24"/>
      <c r="B27" s="25"/>
      <c r="C27" s="26"/>
    </row>
    <row r="28" spans="1:3" x14ac:dyDescent="0.25">
      <c r="A28" s="21" t="s">
        <v>68</v>
      </c>
      <c r="B28" s="21" t="s">
        <v>26</v>
      </c>
      <c r="C28" s="23">
        <f>ROUND(SUBTOTAL(9, B20:B27), 5)</f>
        <v>23047.1</v>
      </c>
    </row>
    <row r="29" spans="1:3" x14ac:dyDescent="0.25">
      <c r="A29" s="20" t="s">
        <v>26</v>
      </c>
    </row>
    <row r="30" spans="1:3" x14ac:dyDescent="0.25">
      <c r="A30" s="21" t="s">
        <v>69</v>
      </c>
    </row>
    <row r="31" spans="1:3" customFormat="1" ht="16.5" x14ac:dyDescent="0.25">
      <c r="A31" s="24"/>
      <c r="B31" s="25"/>
      <c r="C31" s="26"/>
    </row>
    <row r="32" spans="1:3" x14ac:dyDescent="0.25">
      <c r="A32" s="21" t="s">
        <v>70</v>
      </c>
      <c r="B32" s="21" t="s">
        <v>26</v>
      </c>
      <c r="C32" s="23">
        <f>ROUND(SUBTOTAL(9, C29:C31), 5)</f>
        <v>0</v>
      </c>
    </row>
    <row r="33" spans="1:3" customFormat="1" ht="16.5" x14ac:dyDescent="0.25">
      <c r="A33" s="24"/>
      <c r="B33" s="24"/>
      <c r="C33" s="27"/>
    </row>
    <row r="34" spans="1:3" x14ac:dyDescent="0.25">
      <c r="A34" s="21" t="s">
        <v>71</v>
      </c>
      <c r="B34" s="21" t="s">
        <v>26</v>
      </c>
      <c r="C34" s="23">
        <f>-(ROUND(-C28+-C32, 5))</f>
        <v>23047.1</v>
      </c>
    </row>
    <row r="35" spans="1:3" x14ac:dyDescent="0.25">
      <c r="A35" s="20" t="s">
        <v>26</v>
      </c>
    </row>
    <row r="36" spans="1:3" x14ac:dyDescent="0.25">
      <c r="A36" s="21" t="s">
        <v>72</v>
      </c>
    </row>
    <row r="37" spans="1:3" x14ac:dyDescent="0.25">
      <c r="A37" s="21" t="s">
        <v>13</v>
      </c>
      <c r="B37" s="23">
        <v>1</v>
      </c>
      <c r="C37" s="21" t="s">
        <v>26</v>
      </c>
    </row>
    <row r="38" spans="1:3" x14ac:dyDescent="0.25">
      <c r="A38" s="21" t="s">
        <v>15</v>
      </c>
      <c r="B38" s="23">
        <v>-7851</v>
      </c>
      <c r="C38" s="21" t="s">
        <v>26</v>
      </c>
    </row>
    <row r="39" spans="1:3" x14ac:dyDescent="0.25">
      <c r="A39" s="21" t="s">
        <v>73</v>
      </c>
      <c r="B39" s="23">
        <v>-12169.5</v>
      </c>
      <c r="C39" s="21" t="s">
        <v>26</v>
      </c>
    </row>
    <row r="40" spans="1:3" customFormat="1" ht="16.5" x14ac:dyDescent="0.25">
      <c r="A40" s="24"/>
      <c r="B40" s="25"/>
      <c r="C40" s="26"/>
    </row>
    <row r="41" spans="1:3" x14ac:dyDescent="0.25">
      <c r="A41" s="21" t="s">
        <v>74</v>
      </c>
      <c r="B41" s="21" t="s">
        <v>26</v>
      </c>
      <c r="C41" s="23">
        <f>ROUND(SUBTOTAL(9, B35:B40), 5)</f>
        <v>-20019.5</v>
      </c>
    </row>
    <row r="42" spans="1:3" customFormat="1" ht="16.5" x14ac:dyDescent="0.25">
      <c r="A42" s="24"/>
      <c r="B42" s="24"/>
      <c r="C42" s="27"/>
    </row>
    <row r="43" spans="1:3" ht="13.5" thickBot="1" x14ac:dyDescent="0.3">
      <c r="A43" s="21" t="s">
        <v>75</v>
      </c>
      <c r="B43" s="21" t="s">
        <v>26</v>
      </c>
      <c r="C43" s="22">
        <f>-(ROUND(-C34+-C41, 5))</f>
        <v>3027.6</v>
      </c>
    </row>
    <row r="44" spans="1:3" customFormat="1" ht="18" thickTop="1" thickBot="1" x14ac:dyDescent="0.3">
      <c r="A44" s="29"/>
      <c r="B44" s="29"/>
      <c r="C44" s="30"/>
    </row>
  </sheetData>
  <phoneticPr fontId="3" type="noConversion"/>
  <pageMargins left="0.7" right="0.7" top="1.2222222222222223" bottom="0.65277777777777779" header="0.3" footer="0.3"/>
  <pageSetup paperSize="9" orientation="landscape" r:id="rId1"/>
  <headerFooter>
    <oddHeader xml:space="preserve">&amp;C&amp;"Times New Roman"&amp;10 Seasmooth Scientechin Co., Limited
 Balance Sheet
 31 December 2024
 &amp;L&amp;"Times New Roman"&amp;10
</oddHeader>
    <oddFooter>&amp;L&amp;10&amp;"Times New Roman"&amp;D at &amp;T&amp;C&amp;10&amp;"Times New Roman"Unaudited - For Management Purposes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3339-72A4-4439-8CB6-3D4482A94357}">
  <dimension ref="A1:E23"/>
  <sheetViews>
    <sheetView tabSelected="1" workbookViewId="0">
      <pane ySplit="1" topLeftCell="A2" activePane="bottomLeft" state="frozenSplit"/>
      <selection pane="bottomLeft" activeCell="H25" sqref="H25"/>
    </sheetView>
  </sheetViews>
  <sheetFormatPr defaultRowHeight="12.75" x14ac:dyDescent="0.25"/>
  <cols>
    <col min="1" max="1" width="30.625" style="18" customWidth="1"/>
    <col min="2" max="2" width="13.625" style="18" customWidth="1"/>
    <col min="3" max="3" width="8.625" style="18" customWidth="1"/>
    <col min="4" max="4" width="14.625" style="18" customWidth="1"/>
    <col min="5" max="5" width="8.625" style="18" customWidth="1"/>
    <col min="6" max="16384" width="9" style="18"/>
  </cols>
  <sheetData>
    <row r="1" spans="1:5" x14ac:dyDescent="0.25">
      <c r="A1" s="20"/>
      <c r="B1" s="31" t="s">
        <v>76</v>
      </c>
      <c r="C1" s="20"/>
      <c r="D1" s="31" t="s">
        <v>77</v>
      </c>
      <c r="E1" s="20"/>
    </row>
    <row r="2" spans="1:5" x14ac:dyDescent="0.25">
      <c r="A2" s="21" t="s">
        <v>78</v>
      </c>
    </row>
    <row r="3" spans="1:5" customFormat="1" ht="16.5" x14ac:dyDescent="0.25">
      <c r="A3" s="24"/>
      <c r="B3" s="27"/>
      <c r="C3" s="26"/>
      <c r="D3" s="27"/>
      <c r="E3" s="26"/>
    </row>
    <row r="4" spans="1:5" x14ac:dyDescent="0.25">
      <c r="A4" s="21" t="s">
        <v>79</v>
      </c>
      <c r="B4" s="23">
        <f>ROUND(SUBTOTAL(9, B2:B3), 5)</f>
        <v>0</v>
      </c>
      <c r="C4" s="23">
        <f>ROUND(SUBTOTAL(9, C2:C3), 5)</f>
        <v>0</v>
      </c>
      <c r="D4" s="23">
        <f>ROUND(SUBTOTAL(9, D2:D3), 5)</f>
        <v>0</v>
      </c>
      <c r="E4" s="23">
        <f>ROUND(SUBTOTAL(9, E2:E3), 5)</f>
        <v>0</v>
      </c>
    </row>
    <row r="5" spans="1:5" customFormat="1" ht="16.5" x14ac:dyDescent="0.25">
      <c r="A5" s="24"/>
      <c r="B5" s="27"/>
      <c r="C5" s="26"/>
      <c r="D5" s="27"/>
      <c r="E5" s="26"/>
    </row>
    <row r="6" spans="1:5" x14ac:dyDescent="0.25">
      <c r="A6" s="20" t="s">
        <v>26</v>
      </c>
    </row>
    <row r="7" spans="1:5" x14ac:dyDescent="0.25">
      <c r="A7" s="21" t="s">
        <v>80</v>
      </c>
    </row>
    <row r="8" spans="1:5" customFormat="1" ht="16.5" x14ac:dyDescent="0.25">
      <c r="A8" s="24"/>
      <c r="B8" s="27"/>
      <c r="C8" s="26"/>
      <c r="D8" s="27"/>
      <c r="E8" s="26"/>
    </row>
    <row r="9" spans="1:5" x14ac:dyDescent="0.25">
      <c r="A9" s="21" t="s">
        <v>81</v>
      </c>
      <c r="B9" s="23">
        <f>ROUND(SUBTOTAL(9, B6:B8), 5)</f>
        <v>0</v>
      </c>
      <c r="C9" s="23">
        <f>ROUND(SUBTOTAL(9, C6:C8), 5)</f>
        <v>0</v>
      </c>
      <c r="D9" s="23">
        <f>ROUND(SUBTOTAL(9, D6:D8), 5)</f>
        <v>0</v>
      </c>
      <c r="E9" s="23">
        <f>ROUND(SUBTOTAL(9, E6:E8), 5)</f>
        <v>0</v>
      </c>
    </row>
    <row r="10" spans="1:5" customFormat="1" ht="16.5" x14ac:dyDescent="0.25">
      <c r="A10" s="24"/>
      <c r="B10" s="27"/>
      <c r="C10" s="26"/>
      <c r="D10" s="27"/>
      <c r="E10" s="26"/>
    </row>
    <row r="11" spans="1:5" x14ac:dyDescent="0.25">
      <c r="A11" s="21" t="s">
        <v>82</v>
      </c>
      <c r="B11" s="23">
        <f>-(ROUND(-B4+B9, 5))</f>
        <v>0</v>
      </c>
      <c r="C11" s="23">
        <f>-(ROUND(-C4+C9, 5))</f>
        <v>0</v>
      </c>
      <c r="D11" s="23">
        <f>-(ROUND(-D4+D9, 5))</f>
        <v>0</v>
      </c>
      <c r="E11" s="23">
        <f>-(ROUND(-E4+E9, 5))</f>
        <v>0</v>
      </c>
    </row>
    <row r="12" spans="1:5" customFormat="1" ht="16.5" x14ac:dyDescent="0.25">
      <c r="A12" s="24"/>
      <c r="B12" s="27"/>
      <c r="C12" s="26"/>
      <c r="D12" s="27"/>
      <c r="E12" s="26"/>
    </row>
    <row r="13" spans="1:5" x14ac:dyDescent="0.25">
      <c r="A13" s="21" t="s">
        <v>83</v>
      </c>
    </row>
    <row r="14" spans="1:5" x14ac:dyDescent="0.25">
      <c r="A14" s="21" t="s">
        <v>17</v>
      </c>
      <c r="B14" s="22">
        <v>4700</v>
      </c>
      <c r="C14" s="23">
        <f>IF(0&lt;&gt;0, (B14/0)*100, 0)</f>
        <v>0</v>
      </c>
      <c r="D14" s="22">
        <v>4700</v>
      </c>
      <c r="E14" s="23">
        <f>IF(0&lt;&gt;0, (D14/0)*100, 0)</f>
        <v>0</v>
      </c>
    </row>
    <row r="15" spans="1:5" x14ac:dyDescent="0.25">
      <c r="A15" s="21" t="s">
        <v>19</v>
      </c>
      <c r="B15" s="23">
        <v>2184</v>
      </c>
      <c r="C15" s="23">
        <f>IF(0&lt;&gt;0, (B15/0)*100, 0)</f>
        <v>0</v>
      </c>
      <c r="D15" s="23">
        <v>2184</v>
      </c>
      <c r="E15" s="23">
        <f>IF(0&lt;&gt;0, (D15/0)*100, 0)</f>
        <v>0</v>
      </c>
    </row>
    <row r="16" spans="1:5" x14ac:dyDescent="0.25">
      <c r="A16" s="21" t="s">
        <v>21</v>
      </c>
      <c r="B16" s="23">
        <v>525.79999999999995</v>
      </c>
      <c r="C16" s="23">
        <f>IF(0&lt;&gt;0, (B16/0)*100, 0)</f>
        <v>0</v>
      </c>
      <c r="D16" s="23">
        <v>525.79999999999995</v>
      </c>
      <c r="E16" s="23">
        <f>IF(0&lt;&gt;0, (D16/0)*100, 0)</f>
        <v>0</v>
      </c>
    </row>
    <row r="17" spans="1:5" x14ac:dyDescent="0.25">
      <c r="A17" s="21" t="s">
        <v>23</v>
      </c>
      <c r="B17" s="23">
        <v>2200</v>
      </c>
      <c r="C17" s="23">
        <f>IF(0&lt;&gt;0, (B17/0)*100, 0)</f>
        <v>0</v>
      </c>
      <c r="D17" s="23">
        <v>2200</v>
      </c>
      <c r="E17" s="23">
        <f>IF(0&lt;&gt;0, (D17/0)*100, 0)</f>
        <v>0</v>
      </c>
    </row>
    <row r="18" spans="1:5" x14ac:dyDescent="0.25">
      <c r="A18" s="21" t="s">
        <v>25</v>
      </c>
      <c r="B18" s="23">
        <v>2559.6999999999998</v>
      </c>
      <c r="C18" s="23">
        <f>IF(0&lt;&gt;0, (B18/0)*100, 0)</f>
        <v>0</v>
      </c>
      <c r="D18" s="23">
        <v>2559.6999999999998</v>
      </c>
      <c r="E18" s="23">
        <f>IF(0&lt;&gt;0, (D18/0)*100, 0)</f>
        <v>0</v>
      </c>
    </row>
    <row r="19" spans="1:5" customFormat="1" ht="16.5" x14ac:dyDescent="0.25">
      <c r="A19" s="24"/>
      <c r="B19" s="27"/>
      <c r="C19" s="26"/>
      <c r="D19" s="27"/>
      <c r="E19" s="26"/>
    </row>
    <row r="20" spans="1:5" x14ac:dyDescent="0.25">
      <c r="A20" s="21" t="s">
        <v>84</v>
      </c>
      <c r="B20" s="23">
        <f>ROUND(SUBTOTAL(9, B13:B19), 5)</f>
        <v>12169.5</v>
      </c>
      <c r="C20" s="23">
        <f>ROUND(SUBTOTAL(9, C13:C19), 5)</f>
        <v>0</v>
      </c>
      <c r="D20" s="23">
        <f>ROUND(SUBTOTAL(9, D13:D19), 5)</f>
        <v>12169.5</v>
      </c>
      <c r="E20" s="23">
        <f>ROUND(SUBTOTAL(9, E13:E19), 5)</f>
        <v>0</v>
      </c>
    </row>
    <row r="21" spans="1:5" customFormat="1" ht="16.5" x14ac:dyDescent="0.25">
      <c r="A21" s="24"/>
      <c r="B21" s="27"/>
      <c r="C21" s="26"/>
      <c r="D21" s="27"/>
      <c r="E21" s="26"/>
    </row>
    <row r="22" spans="1:5" ht="13.5" thickBot="1" x14ac:dyDescent="0.3">
      <c r="A22" s="21" t="s">
        <v>73</v>
      </c>
      <c r="B22" s="22">
        <f>-(ROUND(-B11+B20, 5))</f>
        <v>-12169.5</v>
      </c>
      <c r="C22" s="23">
        <f>-(ROUND(-C11+C20, 5))</f>
        <v>0</v>
      </c>
      <c r="D22" s="22">
        <f>-(ROUND(-D11+D20, 5))</f>
        <v>-12169.5</v>
      </c>
      <c r="E22" s="23">
        <f>-(ROUND(-E11+E20, 5))</f>
        <v>0</v>
      </c>
    </row>
    <row r="23" spans="1:5" customFormat="1" ht="18" thickTop="1" thickBot="1" x14ac:dyDescent="0.3">
      <c r="A23" s="29"/>
      <c r="B23" s="30"/>
      <c r="C23" s="32"/>
      <c r="D23" s="30"/>
      <c r="E23" s="32"/>
    </row>
  </sheetData>
  <phoneticPr fontId="3" type="noConversion"/>
  <pageMargins left="0.7" right="0.7" top="1.2222222222222223" bottom="0.65277777777777779" header="0.3" footer="0.3"/>
  <pageSetup paperSize="9" orientation="landscape" r:id="rId1"/>
  <headerFooter>
    <oddHeader xml:space="preserve">&amp;C&amp;"Times New Roman"&amp;10 Seasmooth Scientechin Co., Limited
 Income Statement
 For the Twelve Months Ending 31 December 2024
 &amp;L&amp;"Times New Roman"&amp;10
</oddHeader>
    <oddFooter>&amp;L&amp;10&amp;"Times New Roman"&amp;D at &amp;T&amp;C&amp;10&amp;"Times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TB-31.12.24</vt:lpstr>
      <vt:lpstr>GL-31.12.24</vt:lpstr>
      <vt:lpstr>BS 31.12.24</vt:lpstr>
      <vt:lpstr>PL 31.12.24</vt:lpstr>
      <vt:lpstr>'BS 31.12.24'!Print_Titles</vt:lpstr>
      <vt:lpstr>'GL-31.12.24'!Print_Titles</vt:lpstr>
      <vt:lpstr>'PL 31.12.24'!Print_Titles</vt:lpstr>
      <vt:lpstr>'TB-31.12.24'!Print_Titles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2025-07-14T07:31:30Z</dcterms:created>
  <dcterms:modified xsi:type="dcterms:W3CDTF">2025-07-14T07:33:26Z</dcterms:modified>
</cp:coreProperties>
</file>