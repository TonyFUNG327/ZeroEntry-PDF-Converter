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Communications HKD Savi" sheetId="1" state="visible" r:id="rId1"/>
    <sheet xmlns:r="http://schemas.openxmlformats.org/officeDocument/2006/relationships" name="Bank of Communications HKD Cu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5" t="n"/>
      <c r="F2" s="6" t="n">
        <v>161185.73</v>
      </c>
      <c r="G2" s="7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5" t="n"/>
      <c r="F3" s="6" t="n">
        <v>261185.73</v>
      </c>
      <c r="G3" s="7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5" t="n">
        <v>3000</v>
      </c>
      <c r="F4" s="6" t="n">
        <v>258185.73</v>
      </c>
      <c r="G4" s="7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5" t="n">
        <v>50000</v>
      </c>
      <c r="F5" s="6" t="n">
        <v>208185.73</v>
      </c>
      <c r="G5" s="7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5" t="n"/>
      <c r="F6" s="6" t="n">
        <v>208185.89</v>
      </c>
      <c r="G6" s="7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5" t="n"/>
      <c r="F7" s="6" t="n">
        <v>241085.89</v>
      </c>
      <c r="G7" s="7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5" t="n">
        <v>9361.9</v>
      </c>
      <c r="F8" s="6" t="n">
        <v>231723.99</v>
      </c>
      <c r="G8" s="7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5" t="n">
        <v>45.35</v>
      </c>
      <c r="F9" s="6" t="n">
        <v>231678.64</v>
      </c>
      <c r="G9" s="7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5" t="n">
        <v>30000</v>
      </c>
      <c r="F10" s="6" t="n">
        <v>201678.64</v>
      </c>
      <c r="G10" s="7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5" t="n">
        <v>15000</v>
      </c>
      <c r="F11" s="6" t="n">
        <v>186678.64</v>
      </c>
      <c r="G11" s="7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5" t="n">
        <v>33063</v>
      </c>
      <c r="F12" s="6" t="n">
        <v>153615.64</v>
      </c>
      <c r="G12" s="7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5" t="n"/>
      <c r="F13" s="6" t="n">
        <v>1434169.45</v>
      </c>
      <c r="G13" s="7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5" t="n">
        <v>167250</v>
      </c>
      <c r="F14" s="6" t="n">
        <v>1266919.45</v>
      </c>
      <c r="G14" s="7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5" t="n">
        <v>200000</v>
      </c>
      <c r="F15" s="6" t="n">
        <v>1066919.45</v>
      </c>
      <c r="G15" s="7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5" t="n">
        <v>16500</v>
      </c>
      <c r="F16" s="6" t="n">
        <v>1050419.45</v>
      </c>
      <c r="G16" s="7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5" t="n">
        <v>20000</v>
      </c>
      <c r="F17" s="6" t="n">
        <v>1030419.45</v>
      </c>
      <c r="G17" s="7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5" t="n">
        <v>150000</v>
      </c>
      <c r="F18" s="6" t="n">
        <v>880419.45</v>
      </c>
      <c r="G18" s="7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5" t="n">
        <v>15000</v>
      </c>
      <c r="F19" s="6" t="n">
        <v>865419.45</v>
      </c>
      <c r="G19" s="7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5" t="n">
        <v>100000</v>
      </c>
      <c r="F20" s="6" t="n">
        <v>765419.45</v>
      </c>
      <c r="G20" s="7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46080</v>
      </c>
      <c r="C21" s="3" t="inlineStr">
        <is>
          <t>BALANCE 交易摘要</t>
        </is>
      </c>
      <c r="D21" s="5" t="n"/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46065</v>
      </c>
      <c r="C22" s="3" t="inlineStr">
        <is>
          <t>TRANSACTION DETAILS ORIGINAL 轉數快 Faster Payment System</t>
        </is>
      </c>
      <c r="D22" s="5" t="n"/>
      <c r="E22" s="5" t="n">
        <v>10000</v>
      </c>
      <c r="F22" s="6" t="n">
        <v>755419.45</v>
      </c>
      <c r="G22" s="7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5" t="n">
        <v>30000</v>
      </c>
      <c r="F23" s="6" t="n">
        <v>725419.45</v>
      </c>
      <c r="G23" s="7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5" t="n">
        <v>4113</v>
      </c>
      <c r="F24" s="6" t="n">
        <v>721306.45</v>
      </c>
      <c r="G24" s="7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5" t="n">
        <v>5000</v>
      </c>
      <c r="F25" s="6" t="n">
        <v>716306.45</v>
      </c>
      <c r="G25" s="7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46076</v>
      </c>
      <c r="C26" s="3" t="inlineStr">
        <is>
          <t>轉數快 Faster Payment System</t>
        </is>
      </c>
      <c r="D26" s="5" t="n"/>
      <c r="E26" s="5" t="n">
        <v>32900</v>
      </c>
      <c r="F26" s="6" t="n">
        <v>683406.45</v>
      </c>
      <c r="G26" s="7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46079</v>
      </c>
      <c r="C27" s="3" t="inlineStr">
        <is>
          <t>銀行費用 BANK CHARGES</t>
        </is>
      </c>
      <c r="D27" s="5" t="n"/>
      <c r="E27" s="5" t="n">
        <v>50</v>
      </c>
      <c r="F27" s="6" t="n">
        <v>683356.45</v>
      </c>
      <c r="G27" s="7">
        <f>IF(AND(D27="",E27=""),F27,G26+IF(D27="",0,D27)-IF(E27="",0,E27))</f>
        <v/>
      </c>
    </row>
    <row r="28">
      <c r="A28" s="3" t="inlineStr">
        <is>
          <t>Bank of Communications HKD Savings</t>
        </is>
      </c>
      <c r="B28" s="4" t="n">
        <v>46080</v>
      </c>
      <c r="C28" s="3" t="inlineStr">
        <is>
          <t>轉數快 Faster Payment System</t>
        </is>
      </c>
      <c r="D28" s="5" t="n"/>
      <c r="E28" s="5" t="n">
        <v>9217.4</v>
      </c>
      <c r="F28" s="6" t="n">
        <v>674139.05</v>
      </c>
      <c r="G28" s="7">
        <f>IF(AND(D28="",E28=""),F28,G27+IF(D28="",0,D28)-IF(E28="",0,E28))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5" t="n"/>
      <c r="F2" s="6" t="n">
        <v>50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2026-06-22T08:49:30Z</dcterms:created>
  <dcterms:modified xmlns:dcterms="http://purl.org/dc/terms/" xmlns:xsi="http://www.w3.org/2001/XMLSchema-instance" xsi:type="dcterms:W3CDTF">2026-06-22T08:49:30Z</dcterms:modified>
</cp:coreProperties>
</file>