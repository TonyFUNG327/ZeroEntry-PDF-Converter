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g Seng Savings Account" sheetId="1" state="visible" r:id="rId1"/>
    <sheet xmlns:r="http://schemas.openxmlformats.org/officeDocument/2006/relationships" name="Hang Seng Current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Savings Account</t>
        </is>
      </c>
      <c r="B2" s="4" t="n">
        <v>45870</v>
      </c>
      <c r="C2" s="3" t="inlineStr">
        <is>
          <t>B/F BALANCE</t>
        </is>
      </c>
      <c r="D2" s="5" t="n"/>
      <c r="E2" s="6" t="n"/>
      <c r="F2" s="7" t="n">
        <v>568635.26</v>
      </c>
      <c r="G2" s="8">
        <f>IF(AND(D2="",E2=""),F2,IF(D2="",0,D2)-IF(E2="",0,E2))</f>
        <v/>
      </c>
    </row>
    <row r="3">
      <c r="A3" s="3" t="inlineStr">
        <is>
          <t>Hang Seng Savings Account</t>
        </is>
      </c>
      <c r="B3" s="4" t="n">
        <v>45871</v>
      </c>
      <c r="C3" s="3" t="inlineStr">
        <is>
          <t>FISERV MERCHANT SOLU HD12580240158604 02AUG</t>
        </is>
      </c>
      <c r="D3" s="5" t="n">
        <v>3231.06</v>
      </c>
      <c r="E3" s="6" t="n"/>
      <c r="F3" s="7" t="n"/>
      <c r="G3" s="8">
        <f>IF(AND(D3="",E3=""),F3,G2+IF(D3="",0,D3)-IF(E3="",0,E3))</f>
        <v/>
      </c>
    </row>
    <row r="4">
      <c r="A4" s="3" t="inlineStr">
        <is>
          <t>Hang Seng Savings Account</t>
        </is>
      </c>
      <c r="B4" s="4" t="n">
        <v>45871</v>
      </c>
      <c r="C4" s="3" t="inlineStr">
        <is>
          <t>FISERV MERCHANT SOLU HD12580240159313 02AUG</t>
        </is>
      </c>
      <c r="D4" s="5" t="n">
        <v>3196.76</v>
      </c>
      <c r="E4" s="6" t="n"/>
      <c r="F4" s="7" t="n">
        <v>575063.08</v>
      </c>
      <c r="G4" s="8">
        <f>IF(AND(D4="",E4=""),F4,G3+IF(D4="",0,D4)-IF(E4="",0,E4))</f>
        <v/>
      </c>
    </row>
    <row r="5">
      <c r="A5" s="3" t="inlineStr">
        <is>
          <t>Hang Seng Savings Account</t>
        </is>
      </c>
      <c r="B5" s="4" t="n">
        <v>45873</v>
      </c>
      <c r="C5" s="3" t="inlineStr">
        <is>
          <t>EFT PAYMENTS (ASIA) HD12580444804478 04AUG</t>
        </is>
      </c>
      <c r="D5" s="5" t="n">
        <v>1996.66</v>
      </c>
      <c r="E5" s="6" t="n"/>
      <c r="F5" s="7" t="n"/>
      <c r="G5" s="8">
        <f>IF(AND(D5="",E5=""),F5,G4+IF(D5="",0,D5)-IF(E5="",0,E5))</f>
        <v/>
      </c>
    </row>
    <row r="6">
      <c r="A6" s="3" t="inlineStr">
        <is>
          <t>Hang Seng Savings Account</t>
        </is>
      </c>
      <c r="B6" s="4" t="n">
        <v>45873</v>
      </c>
      <c r="C6" s="3" t="inlineStr">
        <is>
          <t>DS05810125080403 DS0581012508(04AUG25)</t>
        </is>
      </c>
      <c r="D6" s="5" t="n">
        <v>8792.1</v>
      </c>
      <c r="E6" s="6" t="n"/>
      <c r="F6" s="7" t="n"/>
      <c r="G6" s="8">
        <f>IF(AND(D6="",E6=""),F6,G5+IF(D6="",0,D6)-IF(E6="",0,E6))</f>
        <v/>
      </c>
    </row>
    <row r="7">
      <c r="A7" s="3" t="inlineStr">
        <is>
          <t>Hang Seng Savings Account</t>
        </is>
      </c>
      <c r="B7" s="4" t="n">
        <v>45873</v>
      </c>
      <c r="C7" s="3" t="inlineStr">
        <is>
          <t>DS19462225080403 DS1946222508(04AUG25)</t>
        </is>
      </c>
      <c r="D7" s="5" t="n">
        <v>9895.299999999999</v>
      </c>
      <c r="E7" s="6" t="n"/>
      <c r="F7" s="7" t="n"/>
      <c r="G7" s="8">
        <f>IF(AND(D7="",E7=""),F7,G6+IF(D7="",0,D7)-IF(E7="",0,E7))</f>
        <v/>
      </c>
    </row>
    <row r="8">
      <c r="A8" s="3" t="inlineStr">
        <is>
          <t>Hang Seng Savings Account</t>
        </is>
      </c>
      <c r="B8" s="4" t="n">
        <v>45873</v>
      </c>
      <c r="C8" s="3" t="inlineStr">
        <is>
          <t>FISERV MERCHANT SOLU HD12580447052144 04AUG</t>
        </is>
      </c>
      <c r="D8" s="5" t="n">
        <v>5309.64</v>
      </c>
      <c r="E8" s="6" t="n"/>
      <c r="F8" s="7" t="n"/>
      <c r="G8" s="8">
        <f>IF(AND(D8="",E8=""),F8,G7+IF(D8="",0,D8)-IF(E8="",0,E8))</f>
        <v/>
      </c>
    </row>
    <row r="9">
      <c r="A9" s="3" t="inlineStr">
        <is>
          <t>Hang Seng Savings Account</t>
        </is>
      </c>
      <c r="B9" s="4" t="n">
        <v>45873</v>
      </c>
      <c r="C9" s="3" t="inlineStr">
        <is>
          <t>FISERV MERCHANT SOLU HD12580447053735 04AUG</t>
        </is>
      </c>
      <c r="D9" s="5" t="n">
        <v>6214.33</v>
      </c>
      <c r="E9" s="6" t="n"/>
      <c r="F9" s="7" t="n"/>
      <c r="G9" s="8">
        <f>IF(AND(D9="",E9=""),F9,G8+IF(D9="",0,D9)-IF(E9="",0,E9))</f>
        <v/>
      </c>
    </row>
    <row r="10">
      <c r="A10" s="3" t="inlineStr">
        <is>
          <t>Hang Seng Savings Account</t>
        </is>
      </c>
      <c r="B10" s="4" t="n">
        <v>45873</v>
      </c>
      <c r="C10" s="3" t="inlineStr">
        <is>
          <t>FISERV MERCHANT SOLU HD12580447054621 04AUG</t>
        </is>
      </c>
      <c r="D10" s="5" t="n">
        <v>3806.32</v>
      </c>
      <c r="E10" s="6" t="n"/>
      <c r="F10" s="7" t="n"/>
      <c r="G10" s="8">
        <f>IF(AND(D10="",E10=""),F10,G9+IF(D10="",0,D10)-IF(E10="",0,E10))</f>
        <v/>
      </c>
    </row>
    <row r="11">
      <c r="A11" s="3" t="inlineStr">
        <is>
          <t>Hang Seng Savings Account</t>
        </is>
      </c>
      <c r="B11" s="4" t="n">
        <v>45873</v>
      </c>
      <c r="C11" s="3" t="inlineStr">
        <is>
          <t>FISERV MERCHANT SOLU HD12580447054738 04AUG</t>
        </is>
      </c>
      <c r="D11" s="5" t="n">
        <v>4297.58</v>
      </c>
      <c r="E11" s="6" t="n"/>
      <c r="F11" s="7" t="n"/>
      <c r="G11" s="8">
        <f>IF(AND(D11="",E11=""),F11,G10+IF(D11="",0,D11)-IF(E11="",0,E11))</f>
        <v/>
      </c>
    </row>
    <row r="12">
      <c r="A12" s="3" t="inlineStr">
        <is>
          <t>Hang Seng Savings Account</t>
        </is>
      </c>
      <c r="B12" s="4" t="n">
        <v>45873</v>
      </c>
      <c r="C12" s="3" t="inlineStr">
        <is>
          <t>EASYLINK PAYMENT NET HD12580447154109 04AUG</t>
        </is>
      </c>
      <c r="D12" s="5" t="n">
        <v>184.24</v>
      </c>
      <c r="E12" s="6" t="n"/>
      <c r="F12" s="7" t="n"/>
      <c r="G12" s="8">
        <f>IF(AND(D12="",E12=""),F12,G11+IF(D12="",0,D12)-IF(E12="",0,E12))</f>
        <v/>
      </c>
    </row>
    <row r="13">
      <c r="A13" s="3" t="inlineStr">
        <is>
          <t>Hang Seng Savings Account</t>
        </is>
      </c>
      <c r="B13" s="4" t="n">
        <v>45873</v>
      </c>
      <c r="C13" s="3" t="inlineStr">
        <is>
          <t>EASYLINK PAYMENT NET HD12580447155506 04AUG</t>
        </is>
      </c>
      <c r="D13" s="5" t="n">
        <v>477.26</v>
      </c>
      <c r="E13" s="6" t="n"/>
      <c r="F13" s="7" t="n"/>
      <c r="G13" s="8">
        <f>IF(AND(D13="",E13=""),F13,G12+IF(D13="",0,D13)-IF(E13="",0,E13))</f>
        <v/>
      </c>
    </row>
    <row r="14">
      <c r="A14" s="3" t="inlineStr">
        <is>
          <t>Hang Seng Savings Account</t>
        </is>
      </c>
      <c r="B14" s="4" t="n">
        <v>45873</v>
      </c>
      <c r="C14" s="3" t="inlineStr">
        <is>
          <t>BINDO LABS LIMITED HD12580447333342 04AUG</t>
        </is>
      </c>
      <c r="D14" s="5" t="n">
        <v>680.73</v>
      </c>
      <c r="E14" s="6" t="n"/>
      <c r="F14" s="7" t="n"/>
      <c r="G14" s="8">
        <f>IF(AND(D14="",E14=""),F14,G13+IF(D14="",0,D14)-IF(E14="",0,E14))</f>
        <v/>
      </c>
    </row>
    <row r="15">
      <c r="A15" s="3" t="inlineStr">
        <is>
          <t>Hang Seng Savings Account</t>
        </is>
      </c>
      <c r="B15" s="4" t="n">
        <v>45873</v>
      </c>
      <c r="C15" s="3" t="inlineStr">
        <is>
          <t>CR TO 788-338051-001 N80406622385(04AUG25)</t>
        </is>
      </c>
      <c r="D15" s="5" t="n"/>
      <c r="E15" s="6" t="n">
        <v>280000</v>
      </c>
      <c r="F15" s="7" t="n">
        <v>336717.24</v>
      </c>
      <c r="G15" s="8">
        <f>IF(AND(D15="",E15=""),F15,G14+IF(D15="",0,D15)-IF(E15="",0,E15))</f>
        <v/>
      </c>
    </row>
    <row r="16">
      <c r="A16" s="3" t="inlineStr">
        <is>
          <t>Hang Seng Savings Account</t>
        </is>
      </c>
      <c r="B16" s="4" t="n">
        <v>45874</v>
      </c>
      <c r="C16" s="3" t="inlineStr">
        <is>
          <t>EFT PAYMENTS (ASIA) HD12580548319093 05AUG</t>
        </is>
      </c>
      <c r="D16" s="5" t="n">
        <v>2113.15</v>
      </c>
      <c r="E16" s="6" t="n"/>
      <c r="F16" s="7" t="n"/>
      <c r="G16" s="8">
        <f>IF(AND(D16="",E16=""),F16,G15+IF(D16="",0,D16)-IF(E16="",0,E16))</f>
        <v/>
      </c>
    </row>
    <row r="17">
      <c r="A17" s="3" t="inlineStr">
        <is>
          <t>Hang Seng Savings Account</t>
        </is>
      </c>
      <c r="B17" s="4" t="n">
        <v>45874</v>
      </c>
      <c r="C17" s="3" t="inlineStr">
        <is>
          <t>FISERV MERCHANT SOLU HD12580548856076 05AUG</t>
        </is>
      </c>
      <c r="D17" s="5" t="n">
        <v>2189.54</v>
      </c>
      <c r="E17" s="6" t="n"/>
      <c r="F17" s="7" t="n"/>
      <c r="G17" s="8">
        <f>IF(AND(D17="",E17=""),F17,G16+IF(D17="",0,D17)-IF(E17="",0,E17))</f>
        <v/>
      </c>
    </row>
    <row r="18">
      <c r="A18" s="3" t="inlineStr">
        <is>
          <t>Hang Seng Savings Account</t>
        </is>
      </c>
      <c r="B18" s="4" t="n">
        <v>45874</v>
      </c>
      <c r="C18" s="3" t="inlineStr">
        <is>
          <t>FISERV MERCHANT SOLU HD12580548861459 05AUG</t>
        </is>
      </c>
      <c r="D18" s="5" t="n">
        <v>1911</v>
      </c>
      <c r="E18" s="6" t="n"/>
      <c r="F18" s="7" t="n"/>
      <c r="G18" s="8">
        <f>IF(AND(D18="",E18=""),F18,G17+IF(D18="",0,D18)-IF(E18="",0,E18))</f>
        <v/>
      </c>
    </row>
    <row r="19">
      <c r="A19" s="3" t="inlineStr">
        <is>
          <t>Hang Seng Savings Account</t>
        </is>
      </c>
      <c r="B19" s="4" t="n">
        <v>45874</v>
      </c>
      <c r="C19" s="3" t="inlineStr">
        <is>
          <t>BINDO LABS LIMITED HD12580549985644 05AUG</t>
        </is>
      </c>
      <c r="D19" s="5" t="n">
        <v>234.51</v>
      </c>
      <c r="E19" s="6" t="n"/>
      <c r="F19" s="7" t="n">
        <v>343165.44</v>
      </c>
      <c r="G19" s="8">
        <f>IF(AND(D19="",E19=""),F19,G18+IF(D19="",0,D19)-IF(E19="",0,E19))</f>
        <v/>
      </c>
    </row>
    <row r="20">
      <c r="A20" s="3" t="inlineStr">
        <is>
          <t>Hang Seng Savings Account</t>
        </is>
      </c>
      <c r="B20" s="4" t="n">
        <v>45875</v>
      </c>
      <c r="C20" s="3" t="inlineStr">
        <is>
          <t>FISERV MERCHANT SOLU HD12580651339577 06AUG</t>
        </is>
      </c>
      <c r="D20" s="5" t="n">
        <v>1076.48</v>
      </c>
      <c r="E20" s="6" t="n"/>
      <c r="F20" s="7" t="n"/>
      <c r="G20" s="8">
        <f>IF(AND(D20="",E20=""),F20,G19+IF(D20="",0,D20)-IF(E20="",0,E20))</f>
        <v/>
      </c>
    </row>
    <row r="21">
      <c r="A21" s="3" t="inlineStr">
        <is>
          <t>Hang Seng Savings Account</t>
        </is>
      </c>
      <c r="B21" s="4" t="n">
        <v>45875</v>
      </c>
      <c r="C21" s="3" t="inlineStr">
        <is>
          <t>FISERV MERCHANT SOLU HD12580651340913 06AUG</t>
        </is>
      </c>
      <c r="D21" s="5" t="n">
        <v>670.3200000000001</v>
      </c>
      <c r="E21" s="6" t="n"/>
      <c r="F21" s="7" t="n"/>
      <c r="G21" s="8">
        <f>IF(AND(D21="",E21=""),F21,G20+IF(D21="",0,D21)-IF(E21="",0,E21))</f>
        <v/>
      </c>
    </row>
    <row r="22">
      <c r="A22" s="3" t="inlineStr">
        <is>
          <t>Hang Seng Savings Account</t>
        </is>
      </c>
      <c r="B22" s="4" t="n">
        <v>45875</v>
      </c>
      <c r="C22" s="3" t="inlineStr">
        <is>
          <t>DS05810125080603 DS0581012508(06AUG25)</t>
        </is>
      </c>
      <c r="D22" s="5" t="n">
        <v>1970</v>
      </c>
      <c r="E22" s="6" t="n"/>
      <c r="F22" s="7" t="n"/>
      <c r="G22" s="8">
        <f>IF(AND(D22="",E22=""),F22,G21+IF(D22="",0,D22)-IF(E22="",0,E22))</f>
        <v/>
      </c>
    </row>
    <row r="23">
      <c r="A23" s="3" t="inlineStr">
        <is>
          <t>Hang Seng Savings Account</t>
        </is>
      </c>
      <c r="B23" s="4" t="n">
        <v>45875</v>
      </c>
      <c r="C23" s="3" t="inlineStr">
        <is>
          <t>DS19462225080603 DS1946222508(06AUG25)</t>
        </is>
      </c>
      <c r="D23" s="5" t="n">
        <v>2429</v>
      </c>
      <c r="E23" s="6" t="n"/>
      <c r="F23" s="7" t="n"/>
      <c r="G23" s="8">
        <f>IF(AND(D23="",E23=""),F23,G22+IF(D23="",0,D23)-IF(E23="",0,E23))</f>
        <v/>
      </c>
    </row>
    <row r="24">
      <c r="A24" s="3" t="inlineStr">
        <is>
          <t>Hang Seng Savings Account</t>
        </is>
      </c>
      <c r="B24" s="4" t="n">
        <v>45875</v>
      </c>
      <c r="C24" s="3" t="inlineStr">
        <is>
          <t>EASYLINK PAYMENT NET HD12580652872472 06AUG</t>
        </is>
      </c>
      <c r="D24" s="5" t="n">
        <v>63.7</v>
      </c>
      <c r="E24" s="6" t="n"/>
      <c r="F24" s="7" t="n"/>
      <c r="G24" s="8">
        <f>IF(AND(D24="",E24=""),F24,G23+IF(D24="",0,D24)-IF(E24="",0,E24))</f>
        <v/>
      </c>
    </row>
    <row r="25">
      <c r="A25" s="3" t="inlineStr">
        <is>
          <t>Hang Seng Savings Account</t>
        </is>
      </c>
      <c r="B25" s="4" t="n">
        <v>45875</v>
      </c>
      <c r="C25" s="3" t="inlineStr">
        <is>
          <t>BINDO LABS LIMITED HD12580653132437 06AUG</t>
        </is>
      </c>
      <c r="D25" s="5" t="n">
        <v>1135.21</v>
      </c>
      <c r="E25" s="6" t="n"/>
      <c r="F25" s="7" t="n">
        <v>350510.15</v>
      </c>
      <c r="G25" s="8">
        <f>IF(AND(D25="",E25=""),F25,G24+IF(D25="",0,D25)-IF(E25="",0,E25))</f>
        <v/>
      </c>
    </row>
    <row r="26">
      <c r="A26" s="3" t="inlineStr">
        <is>
          <t>Hang Seng Savings Account</t>
        </is>
      </c>
      <c r="B26" s="4" t="n">
        <v>45876</v>
      </c>
      <c r="C26" s="3" t="inlineStr">
        <is>
          <t>EFT PAYMENTS (ASIA) HD12580753986256 07AUG</t>
        </is>
      </c>
      <c r="D26" s="5" t="n">
        <v>7725.15</v>
      </c>
      <c r="E26" s="6" t="n"/>
      <c r="F26" s="7" t="n"/>
      <c r="G26" s="8">
        <f>IF(AND(D26="",E26=""),F26,G25+IF(D26="",0,D26)-IF(E26="",0,E26))</f>
        <v/>
      </c>
    </row>
    <row r="27">
      <c r="A27" s="3" t="inlineStr">
        <is>
          <t>Hang Seng Savings Account</t>
        </is>
      </c>
      <c r="B27" s="4" t="n">
        <v>45876</v>
      </c>
      <c r="C27" s="3" t="inlineStr">
        <is>
          <t>AMERICAN EXPRESS INT HD12580754792577 07AUG</t>
        </is>
      </c>
      <c r="D27" s="5" t="n">
        <v>105.95</v>
      </c>
      <c r="E27" s="6" t="n"/>
      <c r="F27" s="7" t="n"/>
      <c r="G27" s="8">
        <f>IF(AND(D27="",E27=""),F27,G26+IF(D27="",0,D27)-IF(E27="",0,E27))</f>
        <v/>
      </c>
    </row>
    <row r="28">
      <c r="A28" s="3" t="inlineStr">
        <is>
          <t>Hang Seng Savings Account</t>
        </is>
      </c>
      <c r="B28" s="4" t="n">
        <v>45876</v>
      </c>
      <c r="C28" s="3" t="inlineStr">
        <is>
          <t>DS19462225080703 DS1946222508(07AUG25)</t>
        </is>
      </c>
      <c r="D28" s="5" t="n">
        <v>3404.2</v>
      </c>
      <c r="E28" s="6" t="n"/>
      <c r="F28" s="7" t="n"/>
      <c r="G28" s="8">
        <f>IF(AND(D28="",E28=""),F28,G27+IF(D28="",0,D28)-IF(E28="",0,E28))</f>
        <v/>
      </c>
    </row>
    <row r="29">
      <c r="A29" s="3" t="inlineStr">
        <is>
          <t>Hang Seng Savings Account</t>
        </is>
      </c>
      <c r="B29" s="4" t="n">
        <v>45876</v>
      </c>
      <c r="C29" s="3" t="inlineStr">
        <is>
          <t>DS05810125080703 DS0581012508(07AUG25)</t>
        </is>
      </c>
      <c r="D29" s="5" t="n">
        <v>3396.3</v>
      </c>
      <c r="E29" s="6" t="n"/>
      <c r="F29" s="7" t="n"/>
      <c r="G29" s="8">
        <f>IF(AND(D29="",E29=""),F29,G28+IF(D29="",0,D29)-IF(E29="",0,E29))</f>
        <v/>
      </c>
    </row>
    <row r="30">
      <c r="A30" s="3" t="inlineStr">
        <is>
          <t>Hang Seng Savings Account</t>
        </is>
      </c>
      <c r="B30" s="4" t="n">
        <v>45876</v>
      </c>
      <c r="C30" s="3" t="inlineStr">
        <is>
          <t>FISERV MERCHANT SOLU HD12580756121716 07AUG</t>
        </is>
      </c>
      <c r="D30" s="5" t="n">
        <v>3906.28</v>
      </c>
      <c r="E30" s="6" t="n"/>
      <c r="F30" s="7" t="n"/>
      <c r="G30" s="8">
        <f>IF(AND(D30="",E30=""),F30,G29+IF(D30="",0,D30)-IF(E30="",0,E30))</f>
        <v/>
      </c>
    </row>
    <row r="31">
      <c r="A31" s="3" t="inlineStr">
        <is>
          <t>Hang Seng Savings Account</t>
        </is>
      </c>
      <c r="B31" s="4" t="n">
        <v>45876</v>
      </c>
      <c r="C31" s="3" t="inlineStr">
        <is>
          <t>FISERV MERCHANT SOLU HD12580756127175 07AUG</t>
        </is>
      </c>
      <c r="D31" s="5" t="n">
        <v>4250.65</v>
      </c>
      <c r="E31" s="6" t="n"/>
      <c r="F31" s="7" t="n"/>
      <c r="G31" s="8">
        <f>IF(AND(D31="",E31=""),F31,G30+IF(D31="",0,D31)-IF(E31="",0,E31))</f>
        <v/>
      </c>
    </row>
    <row r="32">
      <c r="A32" s="3" t="inlineStr">
        <is>
          <t>Hang Seng Savings Account</t>
        </is>
      </c>
      <c r="B32" s="4" t="n">
        <v>45876</v>
      </c>
      <c r="C32" s="3" t="inlineStr">
        <is>
          <t>ATM BILPYT3(07AUG25) TRAFFIC TICKETS</t>
        </is>
      </c>
      <c r="D32" s="5" t="n"/>
      <c r="E32" s="6" t="n">
        <v>320</v>
      </c>
      <c r="F32" s="7" t="n"/>
      <c r="G32" s="8">
        <f>IF(AND(D32="",E32=""),F32,G31+IF(D32="",0,D32)-IF(E32="",0,E32))</f>
        <v/>
      </c>
    </row>
    <row r="33">
      <c r="A33" s="3" t="inlineStr">
        <is>
          <t>Hang Seng Savings Account</t>
        </is>
      </c>
      <c r="B33" s="4" t="n">
        <v>45876</v>
      </c>
      <c r="C33" s="3" t="inlineStr">
        <is>
          <t>BINDO LABS LIMITED HD12580756575714 07AUG</t>
        </is>
      </c>
      <c r="D33" s="5" t="n">
        <v>227.24</v>
      </c>
      <c r="E33" s="6" t="n"/>
      <c r="F33" s="7" t="n">
        <v>373205.92</v>
      </c>
      <c r="G33" s="8">
        <f>IF(AND(D33="",E33=""),F33,G32+IF(D33="",0,D33)-IF(E33="",0,E33))</f>
        <v/>
      </c>
    </row>
    <row r="34">
      <c r="A34" s="3" t="inlineStr">
        <is>
          <t>Hang Seng Savings Account</t>
        </is>
      </c>
      <c r="B34" s="4" t="n">
        <v>45877</v>
      </c>
      <c r="C34" s="3" t="inlineStr">
        <is>
          <t>EFT PAYMENTS (ASIA) HD12580857471645 08AUG</t>
        </is>
      </c>
      <c r="D34" s="5" t="n">
        <v>1407.44</v>
      </c>
      <c r="E34" s="6" t="n"/>
      <c r="F34" s="7" t="n"/>
      <c r="G34" s="8">
        <f>IF(AND(D34="",E34=""),F34,G33+IF(D34="",0,D34)-IF(E34="",0,E34))</f>
        <v/>
      </c>
    </row>
    <row r="35">
      <c r="A35" s="3" t="inlineStr">
        <is>
          <t>Hang Seng Savings Account</t>
        </is>
      </c>
      <c r="B35" s="4" t="n">
        <v>45877</v>
      </c>
      <c r="C35" s="3" t="inlineStr">
        <is>
          <t>FISERV MERCHANT SOLU HD12580857861430 08AUG</t>
        </is>
      </c>
      <c r="D35" s="5" t="n">
        <v>3266.63</v>
      </c>
      <c r="E35" s="6" t="n"/>
      <c r="F35" s="7" t="n"/>
      <c r="G35" s="8">
        <f>IF(AND(D35="",E35=""),F35,G34+IF(D35="",0,D35)-IF(E35="",0,E35))</f>
        <v/>
      </c>
    </row>
    <row r="36">
      <c r="A36" s="3" t="inlineStr">
        <is>
          <t>Hang Seng Savings Account</t>
        </is>
      </c>
      <c r="B36" s="4" t="n">
        <v>45877</v>
      </c>
      <c r="C36" s="3" t="inlineStr">
        <is>
          <t>FISERV MERCHANT SOLU HD12580857861917 08AUG</t>
        </is>
      </c>
      <c r="D36" s="5" t="n">
        <v>2892.96</v>
      </c>
      <c r="E36" s="6" t="n"/>
      <c r="F36" s="7" t="n"/>
      <c r="G36" s="8">
        <f>IF(AND(D36="",E36=""),F36,G35+IF(D36="",0,D36)-IF(E36="",0,E36))</f>
        <v/>
      </c>
    </row>
    <row r="37">
      <c r="A37" s="3" t="inlineStr">
        <is>
          <t>Hang Seng Savings Account</t>
        </is>
      </c>
      <c r="B37" s="4" t="n">
        <v>45877</v>
      </c>
      <c r="C37" s="3" t="inlineStr">
        <is>
          <t>AMERICAN EXPRESS INT HD12580858100569 08AUG</t>
        </is>
      </c>
      <c r="D37" s="5" t="n">
        <v>49.05</v>
      </c>
      <c r="E37" s="6" t="n"/>
      <c r="F37" s="7" t="n"/>
      <c r="G37" s="8">
        <f>IF(AND(D37="",E37=""),F37,G36+IF(D37="",0,D37)-IF(E37="",0,E37))</f>
        <v/>
      </c>
    </row>
    <row r="38">
      <c r="A38" s="3" t="inlineStr">
        <is>
          <t>Hang Seng Savings Account</t>
        </is>
      </c>
      <c r="B38" s="4" t="n">
        <v>45877</v>
      </c>
      <c r="C38" s="3" t="inlineStr">
        <is>
          <t>DS05810125080803 DS0581012508(08AUG25)</t>
        </is>
      </c>
      <c r="D38" s="5" t="n">
        <v>2879.2</v>
      </c>
      <c r="E38" s="6" t="n"/>
      <c r="F38" s="7" t="n"/>
      <c r="G38" s="8">
        <f>IF(AND(D38="",E38=""),F38,G37+IF(D38="",0,D38)-IF(E38="",0,E38))</f>
        <v/>
      </c>
    </row>
    <row r="39">
      <c r="A39" s="3" t="inlineStr">
        <is>
          <t>Hang Seng Savings Account</t>
        </is>
      </c>
      <c r="B39" s="4" t="n">
        <v>45877</v>
      </c>
      <c r="C39" s="3" t="inlineStr">
        <is>
          <t>DS19462225080803 DS1946222508(08AUG25)</t>
        </is>
      </c>
      <c r="D39" s="5" t="n">
        <v>3852.3</v>
      </c>
      <c r="E39" s="6" t="n"/>
      <c r="F39" s="7" t="n"/>
      <c r="G39" s="8">
        <f>IF(AND(D39="",E39=""),F39,G38+IF(D39="",0,D39)-IF(E39="",0,E39))</f>
        <v/>
      </c>
    </row>
    <row r="40">
      <c r="A40" s="3" t="inlineStr">
        <is>
          <t>Hang Seng Savings Account</t>
        </is>
      </c>
      <c r="B40" s="4" t="n">
        <v>45877</v>
      </c>
      <c r="C40" s="3" t="inlineStr">
        <is>
          <t>EASYLINK PAYMENT NET HD12580859070927 08AUG</t>
        </is>
      </c>
      <c r="D40" s="5" t="n">
        <v>98</v>
      </c>
      <c r="E40" s="6" t="n"/>
      <c r="F40" s="7" t="n">
        <v>387651.5</v>
      </c>
      <c r="G40" s="8">
        <f>IF(AND(D40="",E40=""),F40,G39+IF(D40="",0,D40)-IF(E40="",0,E40))</f>
        <v/>
      </c>
    </row>
    <row r="41">
      <c r="A41" s="3" t="inlineStr">
        <is>
          <t>Hang Seng Savings Account</t>
        </is>
      </c>
      <c r="B41" s="4" t="n">
        <v>45878</v>
      </c>
      <c r="C41" s="3" t="inlineStr">
        <is>
          <t>CR TO 788-338051-001 N80921942684(09AUG25)</t>
        </is>
      </c>
      <c r="D41" s="5" t="n"/>
      <c r="E41" s="6" t="n">
        <v>300000</v>
      </c>
      <c r="F41" s="7" t="n"/>
      <c r="G41" s="8">
        <f>IF(AND(D41="",E41=""),F41,G40+IF(D41="",0,D41)-IF(E41="",0,E41))</f>
        <v/>
      </c>
    </row>
    <row r="42">
      <c r="A42" s="3" t="inlineStr">
        <is>
          <t>Hang Seng Savings Account</t>
        </is>
      </c>
      <c r="B42" s="4" t="n">
        <v>45878</v>
      </c>
      <c r="C42" s="3" t="inlineStr">
        <is>
          <t>FISERV MERCHANT SOLU HD12580960716626 09AUG</t>
        </is>
      </c>
      <c r="D42" s="5" t="n">
        <v>3707.34</v>
      </c>
      <c r="E42" s="6" t="n"/>
      <c r="F42" s="7" t="n"/>
      <c r="G42" s="8">
        <f>IF(AND(D42="",E42=""),F42,G41+IF(D42="",0,D42)-IF(E42="",0,E42))</f>
        <v/>
      </c>
    </row>
    <row r="43">
      <c r="A43" s="3" t="inlineStr">
        <is>
          <t>Hang Seng Savings Account</t>
        </is>
      </c>
      <c r="B43" s="4" t="n">
        <v>45878</v>
      </c>
      <c r="C43" s="3" t="inlineStr">
        <is>
          <t>FISERV MERCHANT SOLU HD12580960717907 09AUG</t>
        </is>
      </c>
      <c r="D43" s="5" t="n">
        <v>4067.51</v>
      </c>
      <c r="E43" s="6" t="n"/>
      <c r="F43" s="7" t="n">
        <v>95426.35000000001</v>
      </c>
      <c r="G43" s="8">
        <f>IF(AND(D43="",E43=""),F43,G42+IF(D43="",0,D43)-IF(E43="",0,E43))</f>
        <v/>
      </c>
    </row>
    <row r="44">
      <c r="A44" s="3" t="inlineStr">
        <is>
          <t>Hang Seng Savings Account</t>
        </is>
      </c>
      <c r="B44" s="4" t="n">
        <v>45880</v>
      </c>
      <c r="C44" s="3" t="inlineStr">
        <is>
          <t>EFT PAYMENTS (ASIA) HD12581165296329 11AUG</t>
        </is>
      </c>
      <c r="D44" s="5" t="n">
        <v>2932.36</v>
      </c>
      <c r="E44" s="6" t="n"/>
      <c r="F44" s="7" t="n"/>
      <c r="G44" s="8">
        <f>IF(AND(D44="",E44=""),F44,G43+IF(D44="",0,D44)-IF(E44="",0,E44))</f>
        <v/>
      </c>
    </row>
    <row r="45">
      <c r="A45" s="3" t="inlineStr">
        <is>
          <t>Hang Seng Savings Account</t>
        </is>
      </c>
      <c r="B45" s="4" t="n">
        <v>45880</v>
      </c>
      <c r="C45" s="3" t="inlineStr">
        <is>
          <t>DS19462225081103 DS1946222508(11AUG25)</t>
        </is>
      </c>
      <c r="D45" s="5" t="n">
        <v>13738.8</v>
      </c>
      <c r="E45" s="6" t="n"/>
      <c r="F45" s="7" t="n"/>
      <c r="G45" s="8">
        <f>IF(AND(D45="",E45=""),F45,G44+IF(D45="",0,D45)-IF(E45="",0,E45))</f>
        <v/>
      </c>
    </row>
    <row r="46">
      <c r="A46" s="3" t="inlineStr">
        <is>
          <t>Hang Seng Savings Account</t>
        </is>
      </c>
      <c r="B46" s="4" t="n">
        <v>45880</v>
      </c>
      <c r="C46" s="3" t="inlineStr">
        <is>
          <t>DS05810125081103 DS0581012508(11AUG25)</t>
        </is>
      </c>
      <c r="D46" s="5" t="n">
        <v>10024.3</v>
      </c>
      <c r="E46" s="6" t="n"/>
      <c r="F46" s="7" t="n"/>
      <c r="G46" s="8">
        <f>IF(AND(D46="",E46=""),F46,G45+IF(D46="",0,D46)-IF(E46="",0,E46))</f>
        <v/>
      </c>
    </row>
    <row r="47">
      <c r="A47" s="3" t="inlineStr">
        <is>
          <t>Hang Seng Savings Account</t>
        </is>
      </c>
      <c r="B47" s="4" t="n">
        <v>45880</v>
      </c>
      <c r="C47" s="3" t="inlineStr">
        <is>
          <t>EASYLINK PAYMENT NET HD12581166887678 11AUG</t>
        </is>
      </c>
      <c r="D47" s="5" t="n">
        <v>400.26</v>
      </c>
      <c r="E47" s="6" t="n"/>
      <c r="F47" s="7" t="n"/>
      <c r="G47" s="8">
        <f>IF(AND(D47="",E47=""),F47,G46+IF(D47="",0,D47)-IF(E47="",0,E47))</f>
        <v/>
      </c>
    </row>
    <row r="48">
      <c r="A48" s="3" t="inlineStr">
        <is>
          <t>Hang Seng Savings Account</t>
        </is>
      </c>
      <c r="B48" s="4" t="n">
        <v>45880</v>
      </c>
      <c r="C48" s="3" t="inlineStr">
        <is>
          <t>EASYLINK PAYMENT NET HD12581166887879 11AUG</t>
        </is>
      </c>
      <c r="D48" s="5" t="n">
        <v>319.81</v>
      </c>
      <c r="E48" s="6" t="n"/>
      <c r="F48" s="7" t="n"/>
      <c r="G48" s="8">
        <f>IF(AND(D48="",E48=""),F48,G47+IF(D48="",0,D48)-IF(E48="",0,E48))</f>
        <v/>
      </c>
    </row>
    <row r="49">
      <c r="A49" s="3" t="inlineStr">
        <is>
          <t>Hang Seng Savings Account</t>
        </is>
      </c>
      <c r="B49" s="4" t="n">
        <v>45880</v>
      </c>
      <c r="C49" s="3" t="inlineStr">
        <is>
          <t>EASYLINK PAYMENT NET HD12581166888418 11AUG</t>
        </is>
      </c>
      <c r="D49" s="5" t="n">
        <v>201.31</v>
      </c>
      <c r="E49" s="6" t="n"/>
      <c r="F49" s="7" t="n"/>
      <c r="G49" s="8">
        <f>IF(AND(D49="",E49=""),F49,G48+IF(D49="",0,D49)-IF(E49="",0,E49))</f>
        <v/>
      </c>
    </row>
    <row r="50">
      <c r="A50" s="3" t="inlineStr">
        <is>
          <t>Hang Seng Savings Account</t>
        </is>
      </c>
      <c r="B50" s="4" t="n">
        <v>45880</v>
      </c>
      <c r="C50" s="3" t="inlineStr">
        <is>
          <t>FISERV MERCHANT SOLU HD12581167037046 11AUG</t>
        </is>
      </c>
      <c r="D50" s="5" t="n">
        <v>8768.059999999999</v>
      </c>
      <c r="E50" s="6" t="n"/>
      <c r="F50" s="7" t="n"/>
      <c r="G50" s="8">
        <f>IF(AND(D50="",E50=""),F50,G49+IF(D50="",0,D50)-IF(E50="",0,E50))</f>
        <v/>
      </c>
    </row>
    <row r="51">
      <c r="A51" s="3" t="inlineStr">
        <is>
          <t>Hang Seng Savings Account</t>
        </is>
      </c>
      <c r="B51" s="4" t="n">
        <v>45880</v>
      </c>
      <c r="C51" s="3" t="inlineStr">
        <is>
          <t>FISERV MERCHANT SOLU HD12581167038656 11AUG</t>
        </is>
      </c>
      <c r="D51" s="5" t="n">
        <v>8961.120000000001</v>
      </c>
      <c r="E51" s="6" t="n"/>
      <c r="F51" s="7" t="n"/>
      <c r="G51" s="8">
        <f>IF(AND(D51="",E51=""),F51,G50+IF(D51="",0,D51)-IF(E51="",0,E51))</f>
        <v/>
      </c>
    </row>
    <row r="52">
      <c r="A52" s="3" t="inlineStr">
        <is>
          <t>Hang Seng Savings Account</t>
        </is>
      </c>
      <c r="B52" s="4" t="n">
        <v>45880</v>
      </c>
      <c r="C52" s="3" t="inlineStr">
        <is>
          <t>FISERV MERCHANT SOLU HD12581167038689 11AUG</t>
        </is>
      </c>
      <c r="D52" s="5" t="n">
        <v>9487.49</v>
      </c>
      <c r="E52" s="6" t="n"/>
      <c r="F52" s="7" t="n"/>
      <c r="G52" s="8">
        <f>IF(AND(D52="",E52=""),F52,G51+IF(D52="",0,D52)-IF(E52="",0,E52))</f>
        <v/>
      </c>
    </row>
    <row r="53">
      <c r="A53" s="3" t="inlineStr">
        <is>
          <t>Hang Seng Savings Account</t>
        </is>
      </c>
      <c r="B53" s="4" t="n">
        <v>45880</v>
      </c>
      <c r="C53" s="3" t="inlineStr">
        <is>
          <t>FISERV MERCHANT SOLU HD12581167041127 11AUG</t>
        </is>
      </c>
      <c r="D53" s="5" t="n">
        <v>6473.38</v>
      </c>
      <c r="E53" s="6" t="n"/>
      <c r="F53" s="7" t="n"/>
      <c r="G53" s="8">
        <f>IF(AND(D53="",E53=""),F53,G52+IF(D53="",0,D53)-IF(E53="",0,E53))</f>
        <v/>
      </c>
    </row>
    <row r="54">
      <c r="A54" s="3" t="inlineStr">
        <is>
          <t>Hang Seng Savings Account</t>
        </is>
      </c>
      <c r="B54" s="4" t="n">
        <v>45880</v>
      </c>
      <c r="C54" s="3" t="inlineStr">
        <is>
          <t>BINDO LABS LIMITED HD12581167312964 11AUG</t>
        </is>
      </c>
      <c r="D54" s="5" t="n">
        <v>414.96</v>
      </c>
      <c r="E54" s="6" t="n"/>
      <c r="F54" s="7" t="n">
        <v>157148.2</v>
      </c>
      <c r="G54" s="8">
        <f>IF(AND(D54="",E54=""),F54,G53+IF(D54="",0,D54)-IF(E54="",0,E54))</f>
        <v/>
      </c>
    </row>
    <row r="55">
      <c r="A55" s="3" t="inlineStr">
        <is>
          <t>Hang Seng Savings Account</t>
        </is>
      </c>
      <c r="B55" s="4" t="n">
        <v>45881</v>
      </c>
      <c r="C55" s="3" t="inlineStr">
        <is>
          <t>EFT PAYMENTS (ASIA) HD12581268260476 12AUG</t>
        </is>
      </c>
      <c r="D55" s="5" t="n">
        <v>8148.59</v>
      </c>
      <c r="E55" s="6" t="n"/>
      <c r="F55" s="7" t="n"/>
      <c r="G55" s="8">
        <f>IF(AND(D55="",E55=""),F55,G54+IF(D55="",0,D55)-IF(E55="",0,E55))</f>
        <v/>
      </c>
    </row>
    <row r="56">
      <c r="A56" s="3" t="inlineStr">
        <is>
          <t>Hang Seng Savings Account</t>
        </is>
      </c>
      <c r="B56" s="4" t="n">
        <v>45881</v>
      </c>
      <c r="C56" s="3" t="inlineStr">
        <is>
          <t>FISERV MERCHANT SOLU HD12581268618025 12AUG</t>
        </is>
      </c>
      <c r="D56" s="5" t="n">
        <v>2882.18</v>
      </c>
      <c r="E56" s="6" t="n"/>
      <c r="F56" s="7" t="n"/>
      <c r="G56" s="8">
        <f>IF(AND(D56="",E56=""),F56,G55+IF(D56="",0,D56)-IF(E56="",0,E56))</f>
        <v/>
      </c>
    </row>
    <row r="57">
      <c r="A57" s="3" t="inlineStr">
        <is>
          <t>Hang Seng Savings Account</t>
        </is>
      </c>
      <c r="B57" s="4" t="n">
        <v>45881</v>
      </c>
      <c r="C57" s="3" t="inlineStr">
        <is>
          <t>FISERV MERCHANT SOLU HD12581268618509 12AUG</t>
        </is>
      </c>
      <c r="D57" s="5" t="n">
        <v>3968.31</v>
      </c>
      <c r="E57" s="6" t="n"/>
      <c r="F57" s="7" t="n"/>
      <c r="G57" s="8">
        <f>IF(AND(D57="",E57=""),F57,G56+IF(D57="",0,D57)-IF(E57="",0,E57))</f>
        <v/>
      </c>
    </row>
    <row r="58">
      <c r="A58" s="3" t="inlineStr">
        <is>
          <t>Hang Seng Savings Account</t>
        </is>
      </c>
      <c r="B58" s="4" t="n">
        <v>45881</v>
      </c>
      <c r="C58" s="3" t="inlineStr">
        <is>
          <t>DS05810125081203 DS0581012508(12AUG25)</t>
        </is>
      </c>
      <c r="D58" s="5" t="n">
        <v>3553.9</v>
      </c>
      <c r="E58" s="6" t="n"/>
      <c r="F58" s="7" t="n"/>
      <c r="G58" s="8">
        <f>IF(AND(D58="",E58=""),F58,G57+IF(D58="",0,D58)-IF(E58="",0,E58))</f>
        <v/>
      </c>
    </row>
    <row r="59">
      <c r="A59" s="3" t="inlineStr">
        <is>
          <t>Hang Seng Savings Account</t>
        </is>
      </c>
      <c r="B59" s="4" t="n">
        <v>45881</v>
      </c>
      <c r="C59" s="3" t="inlineStr">
        <is>
          <t>DS19462225081203 DS1946222508(12AUG25)</t>
        </is>
      </c>
      <c r="D59" s="5" t="n">
        <v>3503.6</v>
      </c>
      <c r="E59" s="6" t="n"/>
      <c r="F59" s="7" t="n"/>
      <c r="G59" s="8">
        <f>IF(AND(D59="",E59=""),F59,G58+IF(D59="",0,D59)-IF(E59="",0,E59))</f>
        <v/>
      </c>
    </row>
    <row r="60">
      <c r="A60" s="3" t="inlineStr">
        <is>
          <t>Hang Seng Savings Account</t>
        </is>
      </c>
      <c r="B60" s="4" t="n">
        <v>45881</v>
      </c>
      <c r="C60" s="3" t="inlineStr">
        <is>
          <t>BINDO LABS LIMITED HD12581270015959 12AUG</t>
        </is>
      </c>
      <c r="D60" s="5" t="n">
        <v>753.14</v>
      </c>
      <c r="E60" s="6" t="n"/>
      <c r="F60" s="7" t="n">
        <v>179957.92</v>
      </c>
      <c r="G60" s="8">
        <f>IF(AND(D60="",E60=""),F60,G59+IF(D60="",0,D60)-IF(E60="",0,E60))</f>
        <v/>
      </c>
    </row>
    <row r="61">
      <c r="A61" s="3" t="inlineStr">
        <is>
          <t>Hang Seng Savings Account</t>
        </is>
      </c>
      <c r="B61" s="4" t="n">
        <v>45882</v>
      </c>
      <c r="C61" s="3" t="inlineStr">
        <is>
          <t>EFT PAYMENTS (ASIA) HD12581371089793 13AUG</t>
        </is>
      </c>
      <c r="D61" s="5" t="n">
        <v>2882.01</v>
      </c>
      <c r="E61" s="6" t="n"/>
      <c r="F61" s="7" t="n"/>
      <c r="G61" s="8">
        <f>IF(AND(D61="",E61=""),F61,G60+IF(D61="",0,D61)-IF(E61="",0,E61))</f>
        <v/>
      </c>
    </row>
    <row r="62">
      <c r="A62" s="3" t="inlineStr">
        <is>
          <t>Hang Seng Savings Account</t>
        </is>
      </c>
      <c r="B62" s="4" t="n">
        <v>45882</v>
      </c>
      <c r="C62" s="3" t="inlineStr">
        <is>
          <t>FISERV MERCHANT SOLU HD12581371419221 13AUG</t>
        </is>
      </c>
      <c r="D62" s="5" t="n">
        <v>1822.25</v>
      </c>
      <c r="E62" s="6" t="n"/>
      <c r="F62" s="7" t="n"/>
      <c r="G62" s="8">
        <f>IF(AND(D62="",E62=""),F62,G61+IF(D62="",0,D62)-IF(E62="",0,E62))</f>
        <v/>
      </c>
    </row>
    <row r="63">
      <c r="A63" s="3" t="inlineStr">
        <is>
          <t>Hang Seng Savings Account</t>
        </is>
      </c>
      <c r="B63" s="4" t="n">
        <v>45882</v>
      </c>
      <c r="C63" s="3" t="inlineStr">
        <is>
          <t>FISERV MERCHANT SOLU HD12581371419506 13AUG</t>
        </is>
      </c>
      <c r="D63" s="5" t="n">
        <v>3891.58</v>
      </c>
      <c r="E63" s="6" t="n"/>
      <c r="F63" s="7" t="n"/>
      <c r="G63" s="8">
        <f>IF(AND(D63="",E63=""),F63,G62+IF(D63="",0,D63)-IF(E63="",0,E63))</f>
        <v/>
      </c>
    </row>
    <row r="64">
      <c r="A64" s="3" t="inlineStr">
        <is>
          <t>Hang Seng Savings Account</t>
        </is>
      </c>
      <c r="B64" s="4" t="n">
        <v>45882</v>
      </c>
      <c r="C64" s="3" t="inlineStr">
        <is>
          <t>AMERICAN EXPRESS INT HD12581371628007 13AUG</t>
        </is>
      </c>
      <c r="D64" s="5" t="n">
        <v>49.05</v>
      </c>
      <c r="E64" s="6" t="n"/>
      <c r="F64" s="7" t="n"/>
      <c r="G64" s="8">
        <f>IF(AND(D64="",E64=""),F64,G63+IF(D64="",0,D64)-IF(E64="",0,E64))</f>
        <v/>
      </c>
    </row>
    <row r="65">
      <c r="A65" s="3" t="inlineStr">
        <is>
          <t>Hang Seng Savings Account</t>
        </is>
      </c>
      <c r="B65" s="4" t="n">
        <v>45882</v>
      </c>
      <c r="C65" s="3" t="inlineStr">
        <is>
          <t>DS05810125081303 DS0581012508(13AUG25)</t>
        </is>
      </c>
      <c r="D65" s="5" t="n">
        <v>2681.2</v>
      </c>
      <c r="E65" s="6" t="n"/>
      <c r="F65" s="7" t="n"/>
      <c r="G65" s="8">
        <f>IF(AND(D65="",E65=""),F65,G64+IF(D65="",0,D65)-IF(E65="",0,E65))</f>
        <v/>
      </c>
    </row>
    <row r="66">
      <c r="A66" s="3" t="inlineStr">
        <is>
          <t>Hang Seng Savings Account</t>
        </is>
      </c>
      <c r="B66" s="4" t="n">
        <v>45882</v>
      </c>
      <c r="C66" s="3" t="inlineStr">
        <is>
          <t>DS19462225081303 DS1946222508(13AUG25)</t>
        </is>
      </c>
      <c r="D66" s="5" t="n">
        <v>3865.1</v>
      </c>
      <c r="E66" s="6" t="n"/>
      <c r="F66" s="7" t="n"/>
      <c r="G66" s="8">
        <f>IF(AND(D66="",E66=""),F66,G65+IF(D66="",0,D66)-IF(E66="",0,E66))</f>
        <v/>
      </c>
    </row>
    <row r="67">
      <c r="A67" s="3" t="inlineStr">
        <is>
          <t>Hang Seng Savings Account</t>
        </is>
      </c>
      <c r="B67" s="4" t="n">
        <v>45882</v>
      </c>
      <c r="C67" s="3" t="inlineStr">
        <is>
          <t>EASYLINK PAYMENT NET HD12581372780089 13AUG</t>
        </is>
      </c>
      <c r="D67" s="5" t="n">
        <v>107.8</v>
      </c>
      <c r="E67" s="6" t="n"/>
      <c r="F67" s="7" t="n"/>
      <c r="G67" s="8">
        <f>IF(AND(D67="",E67=""),F67,G66+IF(D67="",0,D67)-IF(E67="",0,E67))</f>
        <v/>
      </c>
    </row>
    <row r="68">
      <c r="A68" s="3" t="inlineStr">
        <is>
          <t>Hang Seng Savings Account</t>
        </is>
      </c>
      <c r="B68" s="4" t="n">
        <v>45882</v>
      </c>
      <c r="C68" s="3" t="inlineStr">
        <is>
          <t>BINDO LABS LIMITED HD12581372781650 13AUG</t>
        </is>
      </c>
      <c r="D68" s="5" t="n">
        <v>810.16</v>
      </c>
      <c r="E68" s="6" t="n"/>
      <c r="F68" s="7" t="n">
        <v>196067.07</v>
      </c>
      <c r="G68" s="8">
        <f>IF(AND(D68="",E68=""),F68,G67+IF(D68="",0,D68)-IF(E68="",0,E68))</f>
        <v/>
      </c>
    </row>
    <row r="69">
      <c r="A69" s="3" t="inlineStr">
        <is>
          <t>Hang Seng Savings Account</t>
        </is>
      </c>
      <c r="B69" s="4" t="n">
        <v>45883</v>
      </c>
      <c r="C69" s="3" t="inlineStr">
        <is>
          <t>EFT PAYMENTS (ASIA) HD12581473776753 14AUG</t>
        </is>
      </c>
      <c r="D69" s="5" t="n">
        <v>1077.78</v>
      </c>
      <c r="E69" s="6" t="n"/>
      <c r="F69" s="7" t="n"/>
      <c r="G69" s="8">
        <f>IF(AND(D69="",E69=""),F69,G68+IF(D69="",0,D69)-IF(E69="",0,E69))</f>
        <v/>
      </c>
    </row>
    <row r="70">
      <c r="A70" s="3" t="inlineStr">
        <is>
          <t>Hang Seng Savings Account</t>
        </is>
      </c>
      <c r="B70" s="4" t="n">
        <v>45883</v>
      </c>
      <c r="C70" s="3" t="inlineStr">
        <is>
          <t>FISERV MERCHANT SOLU HD12581474235743 14AUG</t>
        </is>
      </c>
      <c r="D70" s="5" t="n">
        <v>4353.42</v>
      </c>
      <c r="E70" s="6" t="n"/>
      <c r="F70" s="7" t="n"/>
      <c r="G70" s="8">
        <f>IF(AND(D70="",E70=""),F70,G69+IF(D70="",0,D70)-IF(E70="",0,E70))</f>
        <v/>
      </c>
    </row>
    <row r="71">
      <c r="A71" s="3" t="inlineStr">
        <is>
          <t>Hang Seng Savings Account</t>
        </is>
      </c>
      <c r="B71" s="4" t="n">
        <v>45883</v>
      </c>
      <c r="C71" s="3" t="inlineStr">
        <is>
          <t>FISERV MERCHANT SOLU HD12581474235907 14AUG</t>
        </is>
      </c>
      <c r="D71" s="5" t="n">
        <v>4050.34</v>
      </c>
      <c r="E71" s="6" t="n"/>
      <c r="F71" s="7" t="n"/>
      <c r="G71" s="8">
        <f>IF(AND(D71="",E71=""),F71,G70+IF(D71="",0,D71)-IF(E71="",0,E71))</f>
        <v/>
      </c>
    </row>
    <row r="72">
      <c r="A72" s="3" t="inlineStr">
        <is>
          <t>Hang Seng Savings Account</t>
        </is>
      </c>
      <c r="B72" s="4" t="n">
        <v>45883</v>
      </c>
      <c r="C72" s="3" t="inlineStr">
        <is>
          <t>DS19462225081403 DS1946222508(14AUG25)</t>
        </is>
      </c>
      <c r="D72" s="5" t="n">
        <v>4286.7</v>
      </c>
      <c r="E72" s="6" t="n"/>
      <c r="F72" s="7" t="n"/>
      <c r="G72" s="8">
        <f>IF(AND(D72="",E72=""),F72,G71+IF(D72="",0,D72)-IF(E72="",0,E72))</f>
        <v/>
      </c>
    </row>
    <row r="73">
      <c r="A73" s="3" t="inlineStr">
        <is>
          <t>Hang Seng Savings Account</t>
        </is>
      </c>
      <c r="B73" s="4" t="n">
        <v>45883</v>
      </c>
      <c r="C73" s="3" t="inlineStr">
        <is>
          <t>DS05810125081403 DS0581012508(14AUG25)</t>
        </is>
      </c>
      <c r="D73" s="5" t="n">
        <v>2707.8</v>
      </c>
      <c r="E73" s="6" t="n"/>
      <c r="F73" s="7" t="n"/>
      <c r="G73" s="8">
        <f>IF(AND(D73="",E73=""),F73,G72+IF(D73="",0,D73)-IF(E73="",0,E73))</f>
        <v/>
      </c>
    </row>
    <row r="74">
      <c r="A74" s="3" t="inlineStr">
        <is>
          <t>Hang Seng Savings Account</t>
        </is>
      </c>
      <c r="B74" s="4" t="n">
        <v>45883</v>
      </c>
      <c r="C74" s="3" t="inlineStr">
        <is>
          <t>EASYLINK PAYMENT NET HD12581475346840 14AUG</t>
        </is>
      </c>
      <c r="D74" s="5" t="n">
        <v>277.34</v>
      </c>
      <c r="E74" s="6" t="n"/>
      <c r="F74" s="7" t="n"/>
      <c r="G74" s="8">
        <f>IF(AND(D74="",E74=""),F74,G73+IF(D74="",0,D74)-IF(E74="",0,E74))</f>
        <v/>
      </c>
    </row>
    <row r="75">
      <c r="A75" s="3" t="inlineStr">
        <is>
          <t>Hang Seng Savings Account</t>
        </is>
      </c>
      <c r="B75" s="4" t="n">
        <v>45883</v>
      </c>
      <c r="C75" s="3" t="inlineStr">
        <is>
          <t>BINDO LABS LIMITED HD12581475577259 14AUG</t>
        </is>
      </c>
      <c r="D75" s="5" t="n">
        <v>631.33</v>
      </c>
      <c r="E75" s="6" t="n"/>
      <c r="F75" s="7" t="n">
        <v>213451.78</v>
      </c>
      <c r="G75" s="8">
        <f>IF(AND(D75="",E75=""),F75,G74+IF(D75="",0,D75)-IF(E75="",0,E75))</f>
        <v/>
      </c>
    </row>
    <row r="76">
      <c r="A76" s="3" t="inlineStr">
        <is>
          <t>Hang Seng Savings Account</t>
        </is>
      </c>
      <c r="B76" s="4" t="n">
        <v>45884</v>
      </c>
      <c r="C76" s="3" t="inlineStr">
        <is>
          <t>EFT PAYMENTS (ASIA) HD12581576376132 15AUG</t>
        </is>
      </c>
      <c r="D76" s="5" t="n">
        <v>1867.36</v>
      </c>
      <c r="E76" s="6" t="n"/>
      <c r="F76" s="7" t="n"/>
      <c r="G76" s="8">
        <f>IF(AND(D76="",E76=""),F76,G75+IF(D76="",0,D76)-IF(E76="",0,E76))</f>
        <v/>
      </c>
    </row>
    <row r="77">
      <c r="A77" s="3" t="inlineStr">
        <is>
          <t>Hang Seng Savings Account</t>
        </is>
      </c>
      <c r="B77" s="4" t="n">
        <v>45884</v>
      </c>
      <c r="C77" s="3" t="inlineStr">
        <is>
          <t>FISERV MERCHANT SOLU HD12581576889328 15AUG</t>
        </is>
      </c>
      <c r="D77" s="5" t="n">
        <v>5051.74</v>
      </c>
      <c r="E77" s="6" t="n"/>
      <c r="F77" s="7" t="n"/>
      <c r="G77" s="8">
        <f>IF(AND(D77="",E77=""),F77,G76+IF(D77="",0,D77)-IF(E77="",0,E77))</f>
        <v/>
      </c>
    </row>
    <row r="78">
      <c r="A78" s="3" t="inlineStr">
        <is>
          <t>Hang Seng Savings Account</t>
        </is>
      </c>
      <c r="B78" s="4" t="n">
        <v>45884</v>
      </c>
      <c r="C78" s="3" t="inlineStr">
        <is>
          <t>FISERV MERCHANT SOLU HD12581576889743 15AUG</t>
        </is>
      </c>
      <c r="D78" s="5" t="n">
        <v>2059.96</v>
      </c>
      <c r="E78" s="6" t="n"/>
      <c r="F78" s="7" t="n"/>
      <c r="G78" s="8">
        <f>IF(AND(D78="",E78=""),F78,G77+IF(D78="",0,D78)-IF(E78="",0,E78))</f>
        <v/>
      </c>
    </row>
    <row r="79">
      <c r="A79" s="3" t="inlineStr">
        <is>
          <t>Hang Seng Savings Account</t>
        </is>
      </c>
      <c r="B79" s="4" t="n">
        <v>45884</v>
      </c>
      <c r="C79" s="3" t="inlineStr">
        <is>
          <t>DS19462225081503 DS1946222508(15AUG25)</t>
        </is>
      </c>
      <c r="D79" s="5" t="n">
        <v>2666.4</v>
      </c>
      <c r="E79" s="6" t="n"/>
      <c r="F79" s="7" t="n"/>
      <c r="G79" s="8">
        <f>IF(AND(D79="",E79=""),F79,G78+IF(D79="",0,D79)-IF(E79="",0,E79))</f>
        <v/>
      </c>
    </row>
    <row r="80">
      <c r="A80" s="3" t="inlineStr">
        <is>
          <t>Hang Seng Savings Account</t>
        </is>
      </c>
      <c r="B80" s="4" t="n">
        <v>45884</v>
      </c>
      <c r="C80" s="3" t="inlineStr">
        <is>
          <t>EASYLINK PAYMENT NET HD12581578209580 15AUG</t>
        </is>
      </c>
      <c r="D80" s="5" t="n">
        <v>58.8</v>
      </c>
      <c r="E80" s="6" t="n"/>
      <c r="F80" s="7" t="n"/>
      <c r="G80" s="8">
        <f>IF(AND(D80="",E80=""),F80,G79+IF(D80="",0,D80)-IF(E80="",0,E80))</f>
        <v/>
      </c>
    </row>
    <row r="81">
      <c r="A81" s="3" t="inlineStr">
        <is>
          <t>Hang Seng Savings Account</t>
        </is>
      </c>
      <c r="B81" s="4" t="n">
        <v>45884</v>
      </c>
      <c r="C81" s="3" t="inlineStr">
        <is>
          <t>BINDO LABS LIMITED HD12581578402365 15AUG</t>
        </is>
      </c>
      <c r="D81" s="5" t="n">
        <v>103.74</v>
      </c>
      <c r="E81" s="6" t="n"/>
      <c r="F81" s="7" t="n">
        <v>225259.78</v>
      </c>
      <c r="G81" s="8">
        <f>IF(AND(D81="",E81=""),F81,G80+IF(D81="",0,D81)-IF(E81="",0,E81))</f>
        <v/>
      </c>
    </row>
    <row r="82">
      <c r="A82" s="3" t="inlineStr">
        <is>
          <t>Hang Seng Savings Account</t>
        </is>
      </c>
      <c r="B82" s="4" t="n">
        <v>45885</v>
      </c>
      <c r="C82" s="3" t="inlineStr">
        <is>
          <t>FISERV MERCHANT SOLU HD12581679571994 16AUG</t>
        </is>
      </c>
      <c r="D82" s="5" t="n">
        <v>6098.02</v>
      </c>
      <c r="E82" s="6" t="n"/>
      <c r="F82" s="7" t="n"/>
      <c r="G82" s="8">
        <f>IF(AND(D82="",E82=""),F82,G81+IF(D82="",0,D82)-IF(E82="",0,E82))</f>
        <v/>
      </c>
    </row>
    <row r="83">
      <c r="A83" s="3" t="inlineStr">
        <is>
          <t>Hang Seng Savings Account</t>
        </is>
      </c>
      <c r="B83" s="4" t="n">
        <v>45885</v>
      </c>
      <c r="C83" s="3" t="inlineStr">
        <is>
          <t>FISERV MERCHANT SOLU HD12581679572111 16AUG</t>
        </is>
      </c>
      <c r="D83" s="5" t="n">
        <v>2878.26</v>
      </c>
      <c r="E83" s="6" t="n"/>
      <c r="F83" s="7" t="n"/>
      <c r="G83" s="8">
        <f>IF(AND(D83="",E83=""),F83,G82+IF(D83="",0,D83)-IF(E83="",0,E83))</f>
        <v/>
      </c>
    </row>
    <row r="84">
      <c r="A84" s="3" t="inlineStr">
        <is>
          <t>Hang Seng Savings Account</t>
        </is>
      </c>
      <c r="B84" s="4" t="n">
        <v>45885</v>
      </c>
      <c r="C84" s="3" t="inlineStr">
        <is>
          <t>ATM BILPYT3(16AUG25) TRAFFIC TICKETS</t>
        </is>
      </c>
      <c r="D84" s="5" t="n"/>
      <c r="E84" s="6" t="n">
        <v>320</v>
      </c>
      <c r="F84" s="7" t="n">
        <v>233916.06</v>
      </c>
      <c r="G84" s="8">
        <f>IF(AND(D84="",E84=""),F84,G83+IF(D84="",0,D84)-IF(E84="",0,E84))</f>
        <v/>
      </c>
    </row>
    <row r="85">
      <c r="A85" s="3" t="inlineStr">
        <is>
          <t>Hang Seng Savings Account</t>
        </is>
      </c>
      <c r="B85" s="4" t="n">
        <v>45887</v>
      </c>
      <c r="C85" s="3" t="inlineStr">
        <is>
          <t>EFT PAYMENTS (ASIA) HD12581883816771 18AUG</t>
        </is>
      </c>
      <c r="D85" s="5" t="n">
        <v>785.65</v>
      </c>
      <c r="E85" s="6" t="n"/>
      <c r="F85" s="7" t="n"/>
      <c r="G85" s="8">
        <f>IF(AND(D85="",E85=""),F85,G84+IF(D85="",0,D85)-IF(E85="",0,E85))</f>
        <v/>
      </c>
    </row>
    <row r="86">
      <c r="A86" s="3" t="inlineStr">
        <is>
          <t>Hang Seng Savings Account</t>
        </is>
      </c>
      <c r="B86" s="4" t="n">
        <v>45887</v>
      </c>
      <c r="C86" s="3" t="inlineStr">
        <is>
          <t>AMERICAN EXPRESS INT HD12581884455301 18AUG</t>
        </is>
      </c>
      <c r="D86" s="5" t="n">
        <v>53.95</v>
      </c>
      <c r="E86" s="6" t="n"/>
      <c r="F86" s="7" t="n"/>
      <c r="G86" s="8">
        <f>IF(AND(D86="",E86=""),F86,G85+IF(D86="",0,D86)-IF(E86="",0,E86))</f>
        <v/>
      </c>
    </row>
    <row r="87">
      <c r="A87" s="3" t="inlineStr">
        <is>
          <t>Hang Seng Savings Account</t>
        </is>
      </c>
      <c r="B87" s="4" t="n">
        <v>45887</v>
      </c>
      <c r="C87" s="3" t="inlineStr">
        <is>
          <t>DS05810125081803 DS0581012508(18AUG25)</t>
        </is>
      </c>
      <c r="D87" s="5" t="n">
        <v>21036.6</v>
      </c>
      <c r="E87" s="6" t="n"/>
      <c r="F87" s="7" t="n"/>
      <c r="G87" s="8">
        <f>IF(AND(D87="",E87=""),F87,G86+IF(D87="",0,D87)-IF(E87="",0,E87))</f>
        <v/>
      </c>
    </row>
    <row r="88">
      <c r="A88" s="3" t="inlineStr">
        <is>
          <t>Hang Seng Savings Account</t>
        </is>
      </c>
      <c r="B88" s="4" t="n">
        <v>45887</v>
      </c>
      <c r="C88" s="3" t="inlineStr">
        <is>
          <t>DS19462225081803 DS1946222508(18AUG25)</t>
        </is>
      </c>
      <c r="D88" s="5" t="n">
        <v>15394.6</v>
      </c>
      <c r="E88" s="6" t="n"/>
      <c r="F88" s="7" t="n"/>
      <c r="G88" s="8">
        <f>IF(AND(D88="",E88=""),F88,G87+IF(D88="",0,D88)-IF(E88="",0,E88))</f>
        <v/>
      </c>
    </row>
    <row r="89">
      <c r="A89" s="3" t="inlineStr">
        <is>
          <t>Hang Seng Savings Account</t>
        </is>
      </c>
      <c r="B89" s="4" t="n">
        <v>45887</v>
      </c>
      <c r="C89" s="3" t="inlineStr">
        <is>
          <t>FISERV MERCHANT SOLU HD12581885533329 18AUG</t>
        </is>
      </c>
      <c r="D89" s="5" t="n">
        <v>7829.22</v>
      </c>
      <c r="E89" s="6" t="n"/>
      <c r="F89" s="7" t="n"/>
      <c r="G89" s="8">
        <f>IF(AND(D89="",E89=""),F89,G88+IF(D89="",0,D89)-IF(E89="",0,E89))</f>
        <v/>
      </c>
    </row>
    <row r="90">
      <c r="A90" s="3" t="inlineStr">
        <is>
          <t>Hang Seng Savings Account</t>
        </is>
      </c>
      <c r="B90" s="4" t="n">
        <v>45887</v>
      </c>
      <c r="C90" s="3" t="inlineStr">
        <is>
          <t>FISERV MERCHANT SOLU HD12581885534740 18AUG</t>
        </is>
      </c>
      <c r="D90" s="5" t="n">
        <v>9182.6</v>
      </c>
      <c r="E90" s="6" t="n"/>
      <c r="F90" s="7" t="n"/>
      <c r="G90" s="8">
        <f>IF(AND(D90="",E90=""),F90,G89+IF(D90="",0,D90)-IF(E90="",0,E90))</f>
        <v/>
      </c>
    </row>
    <row r="91">
      <c r="A91" s="3" t="inlineStr">
        <is>
          <t>Hang Seng Savings Account</t>
        </is>
      </c>
      <c r="B91" s="4" t="n">
        <v>45887</v>
      </c>
      <c r="C91" s="3" t="inlineStr">
        <is>
          <t>FISERV MERCHANT SOLU HD12581885535942 18AUG</t>
        </is>
      </c>
      <c r="D91" s="5" t="n">
        <v>7082.58</v>
      </c>
      <c r="E91" s="6" t="n"/>
      <c r="F91" s="7" t="n"/>
      <c r="G91" s="8">
        <f>IF(AND(D91="",E91=""),F91,G90+IF(D91="",0,D91)-IF(E91="",0,E91))</f>
        <v/>
      </c>
    </row>
    <row r="92">
      <c r="A92" s="3" t="inlineStr">
        <is>
          <t>Hang Seng Savings Account</t>
        </is>
      </c>
      <c r="B92" s="4" t="n">
        <v>45887</v>
      </c>
      <c r="C92" s="3" t="inlineStr">
        <is>
          <t>FISERV MERCHANT SOLU HD12581885536581 18AUG</t>
        </is>
      </c>
      <c r="D92" s="5" t="n">
        <v>6086.71</v>
      </c>
      <c r="E92" s="6" t="n"/>
      <c r="F92" s="7" t="n"/>
      <c r="G92" s="8">
        <f>IF(AND(D92="",E92=""),F92,G91+IF(D92="",0,D92)-IF(E92="",0,E92))</f>
        <v/>
      </c>
    </row>
    <row r="93">
      <c r="A93" s="3" t="inlineStr">
        <is>
          <t>Hang Seng Savings Account</t>
        </is>
      </c>
      <c r="B93" s="4" t="n">
        <v>45887</v>
      </c>
      <c r="C93" s="3" t="inlineStr">
        <is>
          <t>EASYLINK PAYMENT NET HD12581885611525 18AUG</t>
        </is>
      </c>
      <c r="D93" s="5" t="n">
        <v>646.2</v>
      </c>
      <c r="E93" s="6" t="n"/>
      <c r="F93" s="7" t="n"/>
      <c r="G93" s="8">
        <f>IF(AND(D93="",E93=""),F93,G92+IF(D93="",0,D93)-IF(E93="",0,E93))</f>
        <v/>
      </c>
    </row>
    <row r="94">
      <c r="A94" s="3" t="inlineStr">
        <is>
          <t>Hang Seng Savings Account</t>
        </is>
      </c>
      <c r="B94" s="4" t="n">
        <v>45887</v>
      </c>
      <c r="C94" s="3" t="inlineStr">
        <is>
          <t>EASYLINK PAYMENT NET HD12581885612891 18AUG</t>
        </is>
      </c>
      <c r="D94" s="5" t="n">
        <v>160.07</v>
      </c>
      <c r="E94" s="6" t="n"/>
      <c r="F94" s="7" t="n"/>
      <c r="G94" s="8">
        <f>IF(AND(D94="",E94=""),F94,G93+IF(D94="",0,D94)-IF(E94="",0,E94))</f>
        <v/>
      </c>
    </row>
    <row r="95">
      <c r="A95" s="3" t="inlineStr">
        <is>
          <t>Hang Seng Savings Account</t>
        </is>
      </c>
      <c r="B95" s="4" t="n">
        <v>45887</v>
      </c>
      <c r="C95" s="3" t="inlineStr">
        <is>
          <t>BINDO LABS LIMITED HD12581885752338 18AUG</t>
        </is>
      </c>
      <c r="D95" s="5" t="n">
        <v>394.5</v>
      </c>
      <c r="E95" s="6" t="n"/>
      <c r="F95" s="7" t="n">
        <v>302568.74</v>
      </c>
      <c r="G95" s="8">
        <f>IF(AND(D95="",E95=""),F95,G94+IF(D95="",0,D95)-IF(E95="",0,E95))</f>
        <v/>
      </c>
    </row>
    <row r="96">
      <c r="A96" s="3" t="inlineStr">
        <is>
          <t>Hang Seng Savings Account</t>
        </is>
      </c>
      <c r="B96" s="4" t="n">
        <v>45888</v>
      </c>
      <c r="C96" s="3" t="inlineStr">
        <is>
          <t>EFT PAYMENTS (ASIA) HD12581986634925 19AUG</t>
        </is>
      </c>
      <c r="D96" s="5" t="n">
        <v>11812.16</v>
      </c>
      <c r="E96" s="6" t="n"/>
      <c r="F96" s="7" t="n"/>
      <c r="G96" s="8">
        <f>IF(AND(D96="",E96=""),F96,G95+IF(D96="",0,D96)-IF(E96="",0,E96))</f>
        <v/>
      </c>
    </row>
    <row r="97">
      <c r="A97" s="3" t="inlineStr">
        <is>
          <t>Hang Seng Savings Account</t>
        </is>
      </c>
      <c r="B97" s="4" t="n">
        <v>45888</v>
      </c>
      <c r="C97" s="3" t="inlineStr">
        <is>
          <t>PRINCIPAL TR CO(ASIA SD192180 19AUG</t>
        </is>
      </c>
      <c r="D97" s="5" t="n"/>
      <c r="E97" s="6" t="n">
        <v>39178.39</v>
      </c>
      <c r="F97" s="7" t="n"/>
      <c r="G97" s="8">
        <f>IF(AND(D97="",E97=""),F97,G96+IF(D97="",0,D97)-IF(E97="",0,E97))</f>
        <v/>
      </c>
    </row>
    <row r="98">
      <c r="A98" s="3" t="inlineStr">
        <is>
          <t>Hang Seng Savings Account</t>
        </is>
      </c>
      <c r="B98" s="4" t="n">
        <v>45888</v>
      </c>
      <c r="C98" s="3" t="inlineStr">
        <is>
          <t>FISERV MERCHANT SOLU HD12581986931997 19AUG</t>
        </is>
      </c>
      <c r="D98" s="5" t="n">
        <v>2847.88</v>
      </c>
      <c r="E98" s="6" t="n"/>
      <c r="F98" s="7" t="n"/>
      <c r="G98" s="8">
        <f>IF(AND(D98="",E98=""),F98,G97+IF(D98="",0,D98)-IF(E98="",0,E98))</f>
        <v/>
      </c>
    </row>
    <row r="99">
      <c r="A99" s="3" t="inlineStr">
        <is>
          <t>Hang Seng Savings Account</t>
        </is>
      </c>
      <c r="B99" s="4" t="n">
        <v>45888</v>
      </c>
      <c r="C99" s="3" t="inlineStr">
        <is>
          <t>FISERV MERCHANT SOLU HD12581986932363 19AUG</t>
        </is>
      </c>
      <c r="D99" s="5" t="n">
        <v>2685.73</v>
      </c>
      <c r="E99" s="6" t="n"/>
      <c r="F99" s="7" t="n"/>
      <c r="G99" s="8">
        <f>IF(AND(D99="",E99=""),F99,G98+IF(D99="",0,D99)-IF(E99="",0,E99))</f>
        <v/>
      </c>
    </row>
    <row r="100">
      <c r="A100" s="3" t="inlineStr">
        <is>
          <t>Hang Seng Savings Account</t>
        </is>
      </c>
      <c r="B100" s="4" t="n">
        <v>45888</v>
      </c>
      <c r="C100" s="3" t="inlineStr">
        <is>
          <t>DS19462225081903 DS1946222508(19AUG25)</t>
        </is>
      </c>
      <c r="D100" s="5" t="n">
        <v>3282</v>
      </c>
      <c r="E100" s="6" t="n"/>
      <c r="F100" s="7" t="n"/>
      <c r="G100" s="8">
        <f>IF(AND(D100="",E100=""),F100,G99+IF(D100="",0,D100)-IF(E100="",0,E100))</f>
        <v/>
      </c>
    </row>
    <row r="101">
      <c r="A101" s="3" t="inlineStr">
        <is>
          <t>Hang Seng Savings Account</t>
        </is>
      </c>
      <c r="B101" s="4" t="n">
        <v>45888</v>
      </c>
      <c r="C101" s="3" t="inlineStr">
        <is>
          <t>DS05810125081903 DS0581012508(19AUG25)</t>
        </is>
      </c>
      <c r="D101" s="5" t="n">
        <v>1550.4</v>
      </c>
      <c r="E101" s="6" t="n"/>
      <c r="F101" s="7" t="n"/>
      <c r="G101" s="8">
        <f>IF(AND(D101="",E101=""),F101,G100+IF(D101="",0,D101)-IF(E101="",0,E101))</f>
        <v/>
      </c>
    </row>
    <row r="102">
      <c r="A102" s="3" t="inlineStr">
        <is>
          <t>Hang Seng Savings Account</t>
        </is>
      </c>
      <c r="B102" s="4" t="n">
        <v>45888</v>
      </c>
      <c r="C102" s="3" t="inlineStr">
        <is>
          <t>EASYLINK PAYMENT NET HD12581988284225 19AUG</t>
        </is>
      </c>
      <c r="D102" s="5" t="n">
        <v>169.89</v>
      </c>
      <c r="E102" s="6" t="n"/>
      <c r="F102" s="7" t="n"/>
      <c r="G102" s="8">
        <f>IF(AND(D102="",E102=""),F102,G101+IF(D102="",0,D102)-IF(E102="",0,E102))</f>
        <v/>
      </c>
    </row>
    <row r="103">
      <c r="A103" s="3" t="inlineStr">
        <is>
          <t>Hang Seng Savings Account</t>
        </is>
      </c>
      <c r="B103" s="4" t="n">
        <v>45888</v>
      </c>
      <c r="C103" s="3" t="inlineStr">
        <is>
          <t>BINDO LABS LIMITED HD12581988469962 19AUG</t>
        </is>
      </c>
      <c r="D103" s="5" t="n">
        <v>143.26</v>
      </c>
      <c r="E103" s="6" t="n"/>
      <c r="F103" s="7" t="n">
        <v>285881.67</v>
      </c>
      <c r="G103" s="8">
        <f>IF(AND(D103="",E103=""),F103,G102+IF(D103="",0,D103)-IF(E103="",0,E103))</f>
        <v/>
      </c>
    </row>
    <row r="104">
      <c r="A104" s="3" t="inlineStr">
        <is>
          <t>Hang Seng Savings Account</t>
        </is>
      </c>
      <c r="B104" s="4" t="n">
        <v>45889</v>
      </c>
      <c r="C104" s="3" t="inlineStr">
        <is>
          <t>EFT PAYMENTS (ASIA) HD12582089266087 20AUG</t>
        </is>
      </c>
      <c r="D104" s="5" t="n">
        <v>1831.83</v>
      </c>
      <c r="E104" s="6" t="n"/>
      <c r="F104" s="7" t="n"/>
      <c r="G104" s="8">
        <f>IF(AND(D104="",E104=""),F104,G103+IF(D104="",0,D104)-IF(E104="",0,E104))</f>
        <v/>
      </c>
    </row>
    <row r="105">
      <c r="A105" s="3" t="inlineStr">
        <is>
          <t>Hang Seng Savings Account</t>
        </is>
      </c>
      <c r="B105" s="4" t="n">
        <v>45889</v>
      </c>
      <c r="C105" s="3" t="inlineStr">
        <is>
          <t>FISERV MERCHANT SOLU HD12582089660602 20AUG</t>
        </is>
      </c>
      <c r="D105" s="5" t="n">
        <v>2695</v>
      </c>
      <c r="E105" s="6" t="n"/>
      <c r="F105" s="7" t="n"/>
      <c r="G105" s="8">
        <f>IF(AND(D105="",E105=""),F105,G104+IF(D105="",0,D105)-IF(E105="",0,E105))</f>
        <v/>
      </c>
    </row>
    <row r="106">
      <c r="A106" s="3" t="inlineStr">
        <is>
          <t>Hang Seng Savings Account</t>
        </is>
      </c>
      <c r="B106" s="4" t="n">
        <v>45889</v>
      </c>
      <c r="C106" s="3" t="inlineStr">
        <is>
          <t>FISERV MERCHANT SOLU HD12582089662459 20AUG</t>
        </is>
      </c>
      <c r="D106" s="5" t="n">
        <v>1431.14</v>
      </c>
      <c r="E106" s="6" t="n"/>
      <c r="F106" s="7" t="n"/>
      <c r="G106" s="8">
        <f>IF(AND(D106="",E106=""),F106,G105+IF(D106="",0,D106)-IF(E106="",0,E106))</f>
        <v/>
      </c>
    </row>
    <row r="107">
      <c r="A107" s="3" t="inlineStr">
        <is>
          <t>Hang Seng Savings Account</t>
        </is>
      </c>
      <c r="B107" s="4" t="n">
        <v>45889</v>
      </c>
      <c r="C107" s="3" t="inlineStr">
        <is>
          <t>DS19462225082003 DS1946222508(20AUG25)</t>
        </is>
      </c>
      <c r="D107" s="5" t="n">
        <v>2868.3</v>
      </c>
      <c r="E107" s="6" t="n"/>
      <c r="F107" s="7" t="n"/>
      <c r="G107" s="8">
        <f>IF(AND(D107="",E107=""),F107,G106+IF(D107="",0,D107)-IF(E107="",0,E107))</f>
        <v/>
      </c>
    </row>
    <row r="108">
      <c r="A108" s="3" t="inlineStr">
        <is>
          <t>Hang Seng Savings Account</t>
        </is>
      </c>
      <c r="B108" s="4" t="n">
        <v>45889</v>
      </c>
      <c r="C108" s="3" t="inlineStr">
        <is>
          <t>DS05810125082003 DS0581012508(20AUG25)</t>
        </is>
      </c>
      <c r="D108" s="5" t="n">
        <v>1970</v>
      </c>
      <c r="E108" s="6" t="n"/>
      <c r="F108" s="7" t="n"/>
      <c r="G108" s="8">
        <f>IF(AND(D108="",E108=""),F108,G107+IF(D108="",0,D108)-IF(E108="",0,E108))</f>
        <v/>
      </c>
    </row>
    <row r="109">
      <c r="A109" s="3" t="inlineStr">
        <is>
          <t>Hang Seng Savings Account</t>
        </is>
      </c>
      <c r="B109" s="4" t="n">
        <v>45889</v>
      </c>
      <c r="C109" s="3" t="inlineStr">
        <is>
          <t>BINDO LABS LIMITED HD12582091083154 20AUG</t>
        </is>
      </c>
      <c r="D109" s="5" t="n">
        <v>763.65</v>
      </c>
      <c r="E109" s="6" t="n"/>
      <c r="F109" s="7" t="n">
        <v>297441.59</v>
      </c>
      <c r="G109" s="8">
        <f>IF(AND(D109="",E109=""),F109,G108+IF(D109="",0,D109)-IF(E109="",0,E109))</f>
        <v/>
      </c>
    </row>
    <row r="110">
      <c r="A110" s="3" t="inlineStr">
        <is>
          <t>Hang Seng Savings Account</t>
        </is>
      </c>
      <c r="B110" s="4" t="n">
        <v>45890</v>
      </c>
      <c r="C110" s="3" t="inlineStr">
        <is>
          <t>EFT PAYMENTS (ASIA) HD12582192144943 21AUG</t>
        </is>
      </c>
      <c r="D110" s="5" t="n">
        <v>1336.37</v>
      </c>
      <c r="E110" s="6" t="n"/>
      <c r="F110" s="7" t="n"/>
      <c r="G110" s="8">
        <f>IF(AND(D110="",E110=""),F110,G109+IF(D110="",0,D110)-IF(E110="",0,E110))</f>
        <v/>
      </c>
    </row>
    <row r="111">
      <c r="A111" s="3" t="inlineStr">
        <is>
          <t>Hang Seng Savings Account</t>
        </is>
      </c>
      <c r="B111" s="4" t="n">
        <v>45890</v>
      </c>
      <c r="C111" s="3" t="inlineStr">
        <is>
          <t>FISERV MERCHANT SOLU HD12582192465375 21AUG</t>
        </is>
      </c>
      <c r="D111" s="5" t="n">
        <v>3117.51</v>
      </c>
      <c r="E111" s="6" t="n"/>
      <c r="F111" s="7" t="n"/>
      <c r="G111" s="8">
        <f>IF(AND(D111="",E111=""),F111,G110+IF(D111="",0,D111)-IF(E111="",0,E111))</f>
        <v/>
      </c>
    </row>
    <row r="112">
      <c r="A112" s="3" t="inlineStr">
        <is>
          <t>Hang Seng Savings Account</t>
        </is>
      </c>
      <c r="B112" s="4" t="n">
        <v>45890</v>
      </c>
      <c r="C112" s="3" t="inlineStr">
        <is>
          <t>FISERV MERCHANT SOLU HD12582192469777 21AUG</t>
        </is>
      </c>
      <c r="D112" s="5" t="n">
        <v>3360.42</v>
      </c>
      <c r="E112" s="6" t="n"/>
      <c r="F112" s="7" t="n"/>
      <c r="G112" s="8">
        <f>IF(AND(D112="",E112=""),F112,G111+IF(D112="",0,D112)-IF(E112="",0,E112))</f>
        <v/>
      </c>
    </row>
    <row r="113">
      <c r="A113" s="3" t="inlineStr">
        <is>
          <t>Hang Seng Savings Account</t>
        </is>
      </c>
      <c r="B113" s="4" t="n">
        <v>45890</v>
      </c>
      <c r="C113" s="3" t="inlineStr">
        <is>
          <t>DS19462225082103 DS1946222508(21AUG25)</t>
        </is>
      </c>
      <c r="D113" s="5" t="n">
        <v>3238.7</v>
      </c>
      <c r="E113" s="6" t="n"/>
      <c r="F113" s="7" t="n"/>
      <c r="G113" s="8">
        <f>IF(AND(D113="",E113=""),F113,G112+IF(D113="",0,D113)-IF(E113="",0,E113))</f>
        <v/>
      </c>
    </row>
    <row r="114">
      <c r="A114" s="3" t="inlineStr">
        <is>
          <t>Hang Seng Savings Account</t>
        </is>
      </c>
      <c r="B114" s="4" t="n">
        <v>45890</v>
      </c>
      <c r="C114" s="3" t="inlineStr">
        <is>
          <t>DS05810125082103 DS0581012508(21AUG25)</t>
        </is>
      </c>
      <c r="D114" s="5" t="n">
        <v>3281</v>
      </c>
      <c r="E114" s="6" t="n"/>
      <c r="F114" s="7" t="n"/>
      <c r="G114" s="8">
        <f>IF(AND(D114="",E114=""),F114,G113+IF(D114="",0,D114)-IF(E114="",0,E114))</f>
        <v/>
      </c>
    </row>
    <row r="115">
      <c r="A115" s="3" t="inlineStr">
        <is>
          <t>Hang Seng Savings Account</t>
        </is>
      </c>
      <c r="B115" s="4" t="n">
        <v>45890</v>
      </c>
      <c r="C115" s="3" t="inlineStr">
        <is>
          <t>BINDO LABS LIMITED HD12582194034189 21AUG</t>
        </is>
      </c>
      <c r="D115" s="5" t="n">
        <v>242.06</v>
      </c>
      <c r="E115" s="6" t="n"/>
      <c r="F115" s="7" t="n">
        <v>312017.65</v>
      </c>
      <c r="G115" s="8">
        <f>IF(AND(D115="",E115=""),F115,G114+IF(D115="",0,D115)-IF(E115="",0,E115))</f>
        <v/>
      </c>
    </row>
    <row r="116">
      <c r="A116" s="3" t="inlineStr">
        <is>
          <t>Hang Seng Savings Account</t>
        </is>
      </c>
      <c r="B116" s="4" t="n">
        <v>45891</v>
      </c>
      <c r="C116" s="3" t="inlineStr">
        <is>
          <t>EFT PAYMENTS (ASIA) HD12582294914862 22AUG</t>
        </is>
      </c>
      <c r="D116" s="5" t="n">
        <v>2400.34</v>
      </c>
      <c r="E116" s="6" t="n"/>
      <c r="F116" s="7" t="n"/>
      <c r="G116" s="8">
        <f>IF(AND(D116="",E116=""),F116,G115+IF(D116="",0,D116)-IF(E116="",0,E116))</f>
        <v/>
      </c>
    </row>
    <row r="117">
      <c r="A117" s="3" t="inlineStr">
        <is>
          <t>Hang Seng Savings Account</t>
        </is>
      </c>
      <c r="B117" s="4" t="n">
        <v>45891</v>
      </c>
      <c r="C117" s="3" t="inlineStr">
        <is>
          <t>FISERV MERCHANT SOLU HD12582295270245 22AUG</t>
        </is>
      </c>
      <c r="D117" s="5" t="n">
        <v>3217.34</v>
      </c>
      <c r="E117" s="6" t="n"/>
      <c r="F117" s="7" t="n"/>
      <c r="G117" s="8">
        <f>IF(AND(D117="",E117=""),F117,G116+IF(D117="",0,D117)-IF(E117="",0,E117))</f>
        <v/>
      </c>
    </row>
    <row r="118">
      <c r="A118" s="3" t="inlineStr">
        <is>
          <t>Hang Seng Savings Account</t>
        </is>
      </c>
      <c r="B118" s="4" t="n">
        <v>45891</v>
      </c>
      <c r="C118" s="3" t="inlineStr">
        <is>
          <t>FISERV MERCHANT SOLU HD12582295277088 22AUG</t>
        </is>
      </c>
      <c r="D118" s="5" t="n">
        <v>3641.11</v>
      </c>
      <c r="E118" s="6" t="n"/>
      <c r="F118" s="7" t="n"/>
      <c r="G118" s="8">
        <f>IF(AND(D118="",E118=""),F118,G117+IF(D118="",0,D118)-IF(E118="",0,E118))</f>
        <v/>
      </c>
    </row>
    <row r="119">
      <c r="A119" s="3" t="inlineStr">
        <is>
          <t>Hang Seng Savings Account</t>
        </is>
      </c>
      <c r="B119" s="4" t="n">
        <v>45891</v>
      </c>
      <c r="C119" s="3" t="inlineStr">
        <is>
          <t>DS05810125082203 DS0581012508(22AUG25)</t>
        </is>
      </c>
      <c r="D119" s="5" t="n">
        <v>2286.2</v>
      </c>
      <c r="E119" s="6" t="n"/>
      <c r="F119" s="7" t="n"/>
      <c r="G119" s="8">
        <f>IF(AND(D119="",E119=""),F119,G118+IF(D119="",0,D119)-IF(E119="",0,E119))</f>
        <v/>
      </c>
    </row>
    <row r="120">
      <c r="A120" s="3" t="inlineStr">
        <is>
          <t>Hang Seng Savings Account</t>
        </is>
      </c>
      <c r="B120" s="4" t="n">
        <v>45891</v>
      </c>
      <c r="C120" s="3" t="inlineStr">
        <is>
          <t>DS19462225082203 DS1946222508(22AUG25)</t>
        </is>
      </c>
      <c r="D120" s="5" t="n">
        <v>3780.4</v>
      </c>
      <c r="E120" s="6" t="n"/>
      <c r="F120" s="7" t="n"/>
      <c r="G120" s="8">
        <f>IF(AND(D120="",E120=""),F120,G119+IF(D120="",0,D120)-IF(E120="",0,E120))</f>
        <v/>
      </c>
    </row>
    <row r="121">
      <c r="A121" s="3" t="inlineStr">
        <is>
          <t>Hang Seng Savings Account</t>
        </is>
      </c>
      <c r="B121" s="4" t="n">
        <v>45891</v>
      </c>
      <c r="C121" s="3" t="inlineStr">
        <is>
          <t>EASYLINK PAYMENT NET HD12582296480799 22AUG</t>
        </is>
      </c>
      <c r="D121" s="5" t="n">
        <v>44.1</v>
      </c>
      <c r="E121" s="6" t="n"/>
      <c r="F121" s="7" t="n"/>
      <c r="G121" s="8">
        <f>IF(AND(D121="",E121=""),F121,G120+IF(D121="",0,D121)-IF(E121="",0,E121))</f>
        <v/>
      </c>
    </row>
    <row r="122">
      <c r="A122" s="3" t="inlineStr">
        <is>
          <t>Hang Seng Savings Account</t>
        </is>
      </c>
      <c r="B122" s="4" t="n">
        <v>45891</v>
      </c>
      <c r="C122" s="3" t="inlineStr">
        <is>
          <t>BINDO LABS LIMITED HD12582296724252 22AUG</t>
        </is>
      </c>
      <c r="D122" s="5" t="n">
        <v>319.12</v>
      </c>
      <c r="E122" s="6" t="n"/>
      <c r="F122" s="7" t="n">
        <v>327706.26</v>
      </c>
      <c r="G122" s="8">
        <f>IF(AND(D122="",E122=""),F122,G121+IF(D122="",0,D122)-IF(E122="",0,E122))</f>
        <v/>
      </c>
    </row>
    <row r="123">
      <c r="A123" s="3" t="inlineStr">
        <is>
          <t>Hang Seng Savings Account</t>
        </is>
      </c>
      <c r="B123" s="4" t="n">
        <v>45892</v>
      </c>
      <c r="C123" s="3" t="inlineStr">
        <is>
          <t>FISERV MERCHANT SOLU HD12582398075534 23AUG</t>
        </is>
      </c>
      <c r="D123" s="5" t="n">
        <v>8925.84</v>
      </c>
      <c r="E123" s="6" t="n"/>
      <c r="F123" s="7" t="n"/>
      <c r="G123" s="8">
        <f>IF(AND(D123="",E123=""),F123,G122+IF(D123="",0,D123)-IF(E123="",0,E123))</f>
        <v/>
      </c>
    </row>
    <row r="124">
      <c r="A124" s="3" t="inlineStr">
        <is>
          <t>Hang Seng Savings Account</t>
        </is>
      </c>
      <c r="B124" s="4" t="n">
        <v>45892</v>
      </c>
      <c r="C124" s="3" t="inlineStr">
        <is>
          <t>FISERV MERCHANT SOLU HD12582398076634 23AUG</t>
        </is>
      </c>
      <c r="D124" s="5" t="n">
        <v>4538.98</v>
      </c>
      <c r="E124" s="6" t="n"/>
      <c r="F124" s="7" t="n">
        <v>341171.08</v>
      </c>
      <c r="G124" s="8">
        <f>IF(AND(D124="",E124=""),F124,G123+IF(D124="",0,D124)-IF(E124="",0,E124))</f>
        <v/>
      </c>
    </row>
    <row r="125">
      <c r="A125" s="3" t="inlineStr">
        <is>
          <t>Hang Seng Savings Account</t>
        </is>
      </c>
      <c r="B125" s="4" t="n">
        <v>45894</v>
      </c>
      <c r="C125" s="3" t="inlineStr">
        <is>
          <t>EFT PAYMENTS (ASIA) HD12582502325975 25AUG</t>
        </is>
      </c>
      <c r="D125" s="5" t="n">
        <v>2872.13</v>
      </c>
      <c r="E125" s="6" t="n"/>
      <c r="F125" s="7" t="n"/>
      <c r="G125" s="8">
        <f>IF(AND(D125="",E125=""),F125,G124+IF(D125="",0,D125)-IF(E125="",0,E125))</f>
        <v/>
      </c>
    </row>
    <row r="126">
      <c r="A126" s="3" t="inlineStr">
        <is>
          <t>Hang Seng Savings Account</t>
        </is>
      </c>
      <c r="B126" s="4" t="n">
        <v>45894</v>
      </c>
      <c r="C126" s="3" t="inlineStr">
        <is>
          <t>AMERICAN EXPRESS INT HD12582503013267 25AUG</t>
        </is>
      </c>
      <c r="D126" s="5" t="n">
        <v>107.91</v>
      </c>
      <c r="E126" s="6" t="n"/>
      <c r="F126" s="7" t="n"/>
      <c r="G126" s="8">
        <f>IF(AND(D126="",E126=""),F126,G125+IF(D126="",0,D126)-IF(E126="",0,E126))</f>
        <v/>
      </c>
    </row>
    <row r="127">
      <c r="A127" s="3" t="inlineStr">
        <is>
          <t>Hang Seng Savings Account</t>
        </is>
      </c>
      <c r="B127" s="4" t="n">
        <v>45894</v>
      </c>
      <c r="C127" s="3" t="inlineStr">
        <is>
          <t>AMERICAN EXPRESS INT HD12582503019572 25AUG</t>
        </is>
      </c>
      <c r="D127" s="5" t="n">
        <v>284.48</v>
      </c>
      <c r="E127" s="6" t="n"/>
      <c r="F127" s="7" t="n"/>
      <c r="G127" s="8">
        <f>IF(AND(D127="",E127=""),F127,G126+IF(D127="",0,D127)-IF(E127="",0,E127))</f>
        <v/>
      </c>
    </row>
    <row r="128">
      <c r="A128" s="3" t="inlineStr">
        <is>
          <t>Hang Seng Savings Account</t>
        </is>
      </c>
      <c r="B128" s="4" t="n">
        <v>45894</v>
      </c>
      <c r="C128" s="3" t="inlineStr">
        <is>
          <t>DS19462225082503 DS1946222508(25AUG25)</t>
        </is>
      </c>
      <c r="D128" s="5" t="n">
        <v>13873.7</v>
      </c>
      <c r="E128" s="6" t="n"/>
      <c r="F128" s="7" t="n"/>
      <c r="G128" s="8">
        <f>IF(AND(D128="",E128=""),F128,G127+IF(D128="",0,D128)-IF(E128="",0,E128))</f>
        <v/>
      </c>
    </row>
    <row r="129">
      <c r="A129" s="3" t="inlineStr">
        <is>
          <t>Hang Seng Savings Account</t>
        </is>
      </c>
      <c r="B129" s="4" t="n">
        <v>45894</v>
      </c>
      <c r="C129" s="3" t="inlineStr">
        <is>
          <t>DS05810125082503 DS0581012508(25AUG25)</t>
        </is>
      </c>
      <c r="D129" s="5" t="n">
        <v>11504.7</v>
      </c>
      <c r="E129" s="6" t="n"/>
      <c r="F129" s="7" t="n"/>
      <c r="G129" s="8">
        <f>IF(AND(D129="",E129=""),F129,G128+IF(D129="",0,D129)-IF(E129="",0,E129))</f>
        <v/>
      </c>
    </row>
    <row r="130">
      <c r="A130" s="3" t="inlineStr">
        <is>
          <t>Hang Seng Savings Account</t>
        </is>
      </c>
      <c r="B130" s="4" t="n">
        <v>45894</v>
      </c>
      <c r="C130" s="3" t="inlineStr">
        <is>
          <t>FISERV MERCHANT SOLU HD12582503722604 25AUG</t>
        </is>
      </c>
      <c r="D130" s="5" t="n">
        <v>7486.42</v>
      </c>
      <c r="E130" s="6" t="n"/>
      <c r="F130" s="7" t="n"/>
      <c r="G130" s="8">
        <f>IF(AND(D130="",E130=""),F130,G129+IF(D130="",0,D130)-IF(E130="",0,E130))</f>
        <v/>
      </c>
    </row>
    <row r="131">
      <c r="A131" s="3" t="inlineStr">
        <is>
          <t>Hang Seng Savings Account</t>
        </is>
      </c>
      <c r="B131" s="4" t="n">
        <v>45894</v>
      </c>
      <c r="C131" s="3" t="inlineStr">
        <is>
          <t>FISERV MERCHANT SOLU HD12582503722692 25AUG</t>
        </is>
      </c>
      <c r="D131" s="5" t="n">
        <v>6670.91</v>
      </c>
      <c r="E131" s="6" t="n"/>
      <c r="F131" s="7" t="n"/>
      <c r="G131" s="8">
        <f>IF(AND(D131="",E131=""),F131,G130+IF(D131="",0,D131)-IF(E131="",0,E131))</f>
        <v/>
      </c>
    </row>
    <row r="132">
      <c r="A132" s="3" t="inlineStr">
        <is>
          <t>Hang Seng Savings Account</t>
        </is>
      </c>
      <c r="B132" s="4" t="n">
        <v>45894</v>
      </c>
      <c r="C132" s="3" t="inlineStr">
        <is>
          <t>FISERV MERCHANT SOLU HD12582503723005 25AUG</t>
        </is>
      </c>
      <c r="D132" s="5" t="n">
        <v>8452.5</v>
      </c>
      <c r="E132" s="6" t="n"/>
      <c r="F132" s="7" t="n"/>
      <c r="G132" s="8">
        <f>IF(AND(D132="",E132=""),F132,G131+IF(D132="",0,D132)-IF(E132="",0,E132))</f>
        <v/>
      </c>
    </row>
    <row r="133">
      <c r="A133" s="3" t="inlineStr">
        <is>
          <t>Hang Seng Savings Account</t>
        </is>
      </c>
      <c r="B133" s="4" t="n">
        <v>45894</v>
      </c>
      <c r="C133" s="3" t="inlineStr">
        <is>
          <t>FISERV MERCHANT SOLU HD12582503724534 25AUG</t>
        </is>
      </c>
      <c r="D133" s="5" t="n">
        <v>9571.66</v>
      </c>
      <c r="E133" s="6" t="n"/>
      <c r="F133" s="7" t="n"/>
      <c r="G133" s="8">
        <f>IF(AND(D133="",E133=""),F133,G132+IF(D133="",0,D133)-IF(E133="",0,E133))</f>
        <v/>
      </c>
    </row>
    <row r="134">
      <c r="A134" s="3" t="inlineStr">
        <is>
          <t>Hang Seng Savings Account</t>
        </is>
      </c>
      <c r="B134" s="4" t="n">
        <v>45894</v>
      </c>
      <c r="C134" s="3" t="inlineStr">
        <is>
          <t>EASYLINK PAYMENT NET HD12582504324151 25AUG</t>
        </is>
      </c>
      <c r="D134" s="5" t="n">
        <v>311.64</v>
      </c>
      <c r="E134" s="6" t="n"/>
      <c r="F134" s="7" t="n"/>
      <c r="G134" s="8">
        <f>IF(AND(D134="",E134=""),F134,G133+IF(D134="",0,D134)-IF(E134="",0,E134))</f>
        <v/>
      </c>
    </row>
    <row r="135">
      <c r="A135" s="3" t="inlineStr">
        <is>
          <t>Hang Seng Savings Account</t>
        </is>
      </c>
      <c r="B135" s="4" t="n">
        <v>45894</v>
      </c>
      <c r="C135" s="3" t="inlineStr">
        <is>
          <t>EASYLINK PAYMENT NET HD12582504324601 25AUG</t>
        </is>
      </c>
      <c r="D135" s="5" t="n">
        <v>776.61</v>
      </c>
      <c r="E135" s="6" t="n"/>
      <c r="F135" s="7" t="n"/>
      <c r="G135" s="8">
        <f>IF(AND(D135="",E135=""),F135,G134+IF(D135="",0,D135)-IF(E135="",0,E135))</f>
        <v/>
      </c>
    </row>
    <row r="136">
      <c r="A136" s="3" t="inlineStr">
        <is>
          <t>Hang Seng Savings Account</t>
        </is>
      </c>
      <c r="B136" s="4" t="n">
        <v>45894</v>
      </c>
      <c r="C136" s="3" t="inlineStr">
        <is>
          <t>EASYLINK PAYMENT NET HD12582504325706 25AUG</t>
        </is>
      </c>
      <c r="D136" s="5" t="n">
        <v>458.64</v>
      </c>
      <c r="E136" s="6" t="n"/>
      <c r="F136" s="7" t="n"/>
      <c r="G136" s="8">
        <f>IF(AND(D136="",E136=""),F136,G135+IF(D136="",0,D136)-IF(E136="",0,E136))</f>
        <v/>
      </c>
    </row>
    <row r="137">
      <c r="A137" s="3" t="inlineStr">
        <is>
          <t>Hang Seng Savings Account</t>
        </is>
      </c>
      <c r="B137" s="4" t="n">
        <v>45894</v>
      </c>
      <c r="C137" s="3" t="inlineStr">
        <is>
          <t>BINDO LABS LIMITED HD12582504432599 25AUG</t>
        </is>
      </c>
      <c r="D137" s="5" t="n">
        <v>187.72</v>
      </c>
      <c r="E137" s="6" t="n"/>
      <c r="F137" s="7" t="n">
        <v>403730.1</v>
      </c>
      <c r="G137" s="8">
        <f>IF(AND(D137="",E137=""),F137,G136+IF(D137="",0,D137)-IF(E137="",0,E137))</f>
        <v/>
      </c>
    </row>
    <row r="138">
      <c r="A138" s="3" t="inlineStr">
        <is>
          <t>Hang Seng Savings Account</t>
        </is>
      </c>
      <c r="B138" s="4" t="n">
        <v>45895</v>
      </c>
      <c r="C138" s="3" t="inlineStr">
        <is>
          <t>CREDIT INTEREST</t>
        </is>
      </c>
      <c r="D138" s="5" t="n">
        <v>74.18000000000001</v>
      </c>
      <c r="E138" s="6" t="n"/>
      <c r="F138" s="7" t="n"/>
      <c r="G138" s="8">
        <f>IF(AND(D138="",E138=""),F138,G137+IF(D138="",0,D138)-IF(E138="",0,E138))</f>
        <v/>
      </c>
    </row>
    <row r="139">
      <c r="A139" s="3" t="inlineStr">
        <is>
          <t>Hang Seng Savings Account</t>
        </is>
      </c>
      <c r="B139" s="4" t="n">
        <v>45895</v>
      </c>
      <c r="C139" s="3" t="inlineStr">
        <is>
          <t>EFT PAYMENTS (ASIA) HD12582605334808 26AUG</t>
        </is>
      </c>
      <c r="D139" s="5" t="n">
        <v>9440.540000000001</v>
      </c>
      <c r="E139" s="6" t="n"/>
      <c r="F139" s="7" t="n"/>
      <c r="G139" s="8">
        <f>IF(AND(D139="",E139=""),F139,G138+IF(D139="",0,D139)-IF(E139="",0,E139))</f>
        <v/>
      </c>
    </row>
    <row r="140">
      <c r="A140" s="3" t="inlineStr">
        <is>
          <t>Hang Seng Savings Account</t>
        </is>
      </c>
      <c r="B140" s="4" t="n">
        <v>45895</v>
      </c>
      <c r="C140" s="3" t="inlineStr">
        <is>
          <t>FISERV MERCHANT SOLU HD12582605687602 26AUG</t>
        </is>
      </c>
      <c r="D140" s="5" t="n">
        <v>4085.62</v>
      </c>
      <c r="E140" s="6" t="n"/>
      <c r="F140" s="7" t="n"/>
      <c r="G140" s="8">
        <f>IF(AND(D140="",E140=""),F140,G139+IF(D140="",0,D140)-IF(E140="",0,E140))</f>
        <v/>
      </c>
    </row>
    <row r="141">
      <c r="A141" s="3" t="inlineStr">
        <is>
          <t>Hang Seng Savings Account</t>
        </is>
      </c>
      <c r="B141" s="4" t="n">
        <v>45895</v>
      </c>
      <c r="C141" s="3" t="inlineStr">
        <is>
          <t>FISERV MERCHANT SOLU HD12582605688863 26AUG</t>
        </is>
      </c>
      <c r="D141" s="5" t="n">
        <v>3226.05</v>
      </c>
      <c r="E141" s="6" t="n"/>
      <c r="F141" s="7" t="n"/>
      <c r="G141" s="8">
        <f>IF(AND(D141="",E141=""),F141,G140+IF(D141="",0,D141)-IF(E141="",0,E141))</f>
        <v/>
      </c>
    </row>
    <row r="142">
      <c r="A142" s="3" t="inlineStr">
        <is>
          <t>Hang Seng Savings Account</t>
        </is>
      </c>
      <c r="B142" s="4" t="n">
        <v>45895</v>
      </c>
      <c r="C142" s="3" t="inlineStr">
        <is>
          <t>DS05810125082603 DS0581012508(26AUG25)</t>
        </is>
      </c>
      <c r="D142" s="5" t="n">
        <v>2529.5</v>
      </c>
      <c r="E142" s="6" t="n"/>
      <c r="F142" s="7" t="n"/>
      <c r="G142" s="8">
        <f>IF(AND(D142="",E142=""),F142,G141+IF(D142="",0,D142)-IF(E142="",0,E142))</f>
        <v/>
      </c>
    </row>
    <row r="143">
      <c r="A143" s="3" t="inlineStr">
        <is>
          <t>Hang Seng Savings Account</t>
        </is>
      </c>
      <c r="B143" s="4" t="n">
        <v>45895</v>
      </c>
      <c r="C143" s="3" t="inlineStr">
        <is>
          <t>DS19462225082603 DS1946222508(26AUG25)</t>
        </is>
      </c>
      <c r="D143" s="5" t="n">
        <v>3526.3</v>
      </c>
      <c r="E143" s="6" t="n"/>
      <c r="F143" s="7" t="n"/>
      <c r="G143" s="8">
        <f>IF(AND(D143="",E143=""),F143,G142+IF(D143="",0,D143)-IF(E143="",0,E143))</f>
        <v/>
      </c>
    </row>
    <row r="144">
      <c r="A144" s="3" t="inlineStr">
        <is>
          <t>Hang Seng Savings Account</t>
        </is>
      </c>
      <c r="B144" s="4" t="n">
        <v>45895</v>
      </c>
      <c r="C144" s="3" t="inlineStr">
        <is>
          <t>EASYLINK PAYMENT NET HD12582607031196 26AUG</t>
        </is>
      </c>
      <c r="D144" s="5" t="n">
        <v>98</v>
      </c>
      <c r="E144" s="6" t="n"/>
      <c r="F144" s="7" t="n"/>
      <c r="G144" s="8">
        <f>IF(AND(D144="",E144=""),F144,G143+IF(D144="",0,D144)-IF(E144="",0,E144))</f>
        <v/>
      </c>
    </row>
    <row r="145">
      <c r="A145" s="3" t="inlineStr">
        <is>
          <t>Hang Seng Savings Account</t>
        </is>
      </c>
      <c r="B145" s="4" t="n">
        <v>45895</v>
      </c>
      <c r="C145" s="3" t="inlineStr">
        <is>
          <t>BINDO LABS LIMITED HD12582607202868 26AUG</t>
        </is>
      </c>
      <c r="D145" s="5" t="n">
        <v>427.8</v>
      </c>
      <c r="E145" s="6" t="n"/>
      <c r="F145" s="7" t="n">
        <v>427138.09</v>
      </c>
      <c r="G145" s="8">
        <f>IF(AND(D145="",E145=""),F145,G144+IF(D145="",0,D145)-IF(E145="",0,E145))</f>
        <v/>
      </c>
    </row>
    <row r="146">
      <c r="A146" s="3" t="inlineStr">
        <is>
          <t>Hang Seng Savings Account</t>
        </is>
      </c>
      <c r="B146" s="4" t="n">
        <v>45896</v>
      </c>
      <c r="C146" s="3" t="inlineStr">
        <is>
          <t>EFT PAYMENTS (ASIA) HD12582708180944 27AUG</t>
        </is>
      </c>
      <c r="D146" s="5" t="n">
        <v>3442.62</v>
      </c>
      <c r="E146" s="6" t="n"/>
      <c r="F146" s="7" t="n"/>
      <c r="G146" s="8">
        <f>IF(AND(D146="",E146=""),F146,G145+IF(D146="",0,D146)-IF(E146="",0,E146))</f>
        <v/>
      </c>
    </row>
    <row r="147">
      <c r="A147" s="3" t="inlineStr">
        <is>
          <t>Hang Seng Savings Account</t>
        </is>
      </c>
      <c r="B147" s="4" t="n">
        <v>45896</v>
      </c>
      <c r="C147" s="3" t="inlineStr">
        <is>
          <t>FISERV MERCHANT SOLU HD12582708531251 27AUG</t>
        </is>
      </c>
      <c r="D147" s="5" t="n">
        <v>3782.8</v>
      </c>
      <c r="E147" s="6" t="n"/>
      <c r="F147" s="7" t="n"/>
      <c r="G147" s="8">
        <f>IF(AND(D147="",E147=""),F147,G146+IF(D147="",0,D147)-IF(E147="",0,E147))</f>
        <v/>
      </c>
    </row>
    <row r="148">
      <c r="A148" s="3" t="inlineStr">
        <is>
          <t>Hang Seng Savings Account</t>
        </is>
      </c>
      <c r="B148" s="4" t="n">
        <v>45896</v>
      </c>
      <c r="C148" s="3" t="inlineStr">
        <is>
          <t>FISERV MERCHANT SOLU HD12582708533676 27AUG</t>
        </is>
      </c>
      <c r="D148" s="5" t="n">
        <v>4949.84</v>
      </c>
      <c r="E148" s="6" t="n"/>
      <c r="F148" s="7" t="n"/>
      <c r="G148" s="8">
        <f>IF(AND(D148="",E148=""),F148,G147+IF(D148="",0,D148)-IF(E148="",0,E148))</f>
        <v/>
      </c>
    </row>
    <row r="149">
      <c r="A149" s="3" t="inlineStr">
        <is>
          <t>Hang Seng Savings Account</t>
        </is>
      </c>
      <c r="B149" s="4" t="n">
        <v>45896</v>
      </c>
      <c r="C149" s="3" t="inlineStr">
        <is>
          <t>AMERICAN EXPRESS INT HD12582708716326 27AUG</t>
        </is>
      </c>
      <c r="D149" s="5" t="n">
        <v>49.05</v>
      </c>
      <c r="E149" s="6" t="n"/>
      <c r="F149" s="7" t="n"/>
      <c r="G149" s="8">
        <f>IF(AND(D149="",E149=""),F149,G148+IF(D149="",0,D149)-IF(E149="",0,E149))</f>
        <v/>
      </c>
    </row>
    <row r="150">
      <c r="A150" s="3" t="inlineStr">
        <is>
          <t>Hang Seng Savings Account</t>
        </is>
      </c>
      <c r="B150" s="4" t="n">
        <v>45896</v>
      </c>
      <c r="C150" s="3" t="inlineStr">
        <is>
          <t>AMERICAN EXPRESS INT HD12582708720373 27AUG</t>
        </is>
      </c>
      <c r="D150" s="5" t="n">
        <v>641.5700000000001</v>
      </c>
      <c r="E150" s="6" t="n"/>
      <c r="F150" s="7" t="n"/>
      <c r="G150" s="8">
        <f>IF(AND(D150="",E150=""),F150,G149+IF(D150="",0,D150)-IF(E150="",0,E150))</f>
        <v/>
      </c>
    </row>
    <row r="151">
      <c r="A151" s="3" t="inlineStr">
        <is>
          <t>Hang Seng Savings Account</t>
        </is>
      </c>
      <c r="B151" s="4" t="n">
        <v>45896</v>
      </c>
      <c r="C151" s="3" t="inlineStr">
        <is>
          <t>EPS123133 (27AUG25)3 EASTERN MAGISTRACY</t>
        </is>
      </c>
      <c r="D151" s="5" t="n"/>
      <c r="E151" s="6" t="n">
        <v>4500</v>
      </c>
      <c r="F151" s="7" t="n"/>
      <c r="G151" s="8">
        <f>IF(AND(D151="",E151=""),F151,G150+IF(D151="",0,D151)-IF(E151="",0,E151))</f>
        <v/>
      </c>
    </row>
    <row r="152">
      <c r="A152" s="3" t="inlineStr">
        <is>
          <t>Hang Seng Savings Account</t>
        </is>
      </c>
      <c r="B152" s="4" t="n">
        <v>45896</v>
      </c>
      <c r="C152" s="3" t="inlineStr">
        <is>
          <t>DS05810125082703 DS0581012508(27AUG25)</t>
        </is>
      </c>
      <c r="D152" s="5" t="n">
        <v>2079.3</v>
      </c>
      <c r="E152" s="6" t="n"/>
      <c r="F152" s="7" t="n"/>
      <c r="G152" s="8">
        <f>IF(AND(D152="",E152=""),F152,G151+IF(D152="",0,D152)-IF(E152="",0,E152))</f>
        <v/>
      </c>
    </row>
    <row r="153">
      <c r="A153" s="3" t="inlineStr">
        <is>
          <t>Hang Seng Savings Account</t>
        </is>
      </c>
      <c r="B153" s="4" t="n">
        <v>45896</v>
      </c>
      <c r="C153" s="3" t="inlineStr">
        <is>
          <t>DS19462225082703 DS1946222508(27AUG25)</t>
        </is>
      </c>
      <c r="D153" s="5" t="n">
        <v>3369.7</v>
      </c>
      <c r="E153" s="6" t="n"/>
      <c r="F153" s="7" t="n"/>
      <c r="G153" s="8">
        <f>IF(AND(D153="",E153=""),F153,G152+IF(D153="",0,D153)-IF(E153="",0,E153))</f>
        <v/>
      </c>
    </row>
    <row r="154">
      <c r="A154" s="3" t="inlineStr">
        <is>
          <t>Hang Seng Savings Account</t>
        </is>
      </c>
      <c r="B154" s="4" t="n">
        <v>45896</v>
      </c>
      <c r="C154" s="3" t="inlineStr">
        <is>
          <t>BINDO LABS LIMITED HD12582710001199 27AUG</t>
        </is>
      </c>
      <c r="D154" s="5" t="n">
        <v>1482.98</v>
      </c>
      <c r="E154" s="6" t="n"/>
      <c r="F154" s="7" t="n">
        <v>442435.95</v>
      </c>
      <c r="G154" s="8">
        <f>IF(AND(D154="",E154=""),F154,G153+IF(D154="",0,D154)-IF(E154="",0,E154))</f>
        <v/>
      </c>
    </row>
    <row r="155">
      <c r="A155" s="3" t="inlineStr">
        <is>
          <t>Hang Seng Savings Account</t>
        </is>
      </c>
      <c r="B155" s="4" t="n">
        <v>45897</v>
      </c>
      <c r="C155" s="3" t="inlineStr">
        <is>
          <t>EFT PAYMENTS (ASIA) HD12582811022188 28AUG</t>
        </is>
      </c>
      <c r="D155" s="5" t="n">
        <v>2364.79</v>
      </c>
      <c r="E155" s="6" t="n"/>
      <c r="F155" s="7" t="n"/>
      <c r="G155" s="8">
        <f>IF(AND(D155="",E155=""),F155,G154+IF(D155="",0,D155)-IF(E155="",0,E155))</f>
        <v/>
      </c>
    </row>
    <row r="156">
      <c r="A156" s="3" t="inlineStr">
        <is>
          <t>Hang Seng Savings Account</t>
        </is>
      </c>
      <c r="B156" s="4" t="n">
        <v>45897</v>
      </c>
      <c r="C156" s="3" t="inlineStr">
        <is>
          <t>FISERV MERCHANT SOLU HD12582811598165 28AUG</t>
        </is>
      </c>
      <c r="D156" s="5" t="n">
        <v>4979.38</v>
      </c>
      <c r="E156" s="6" t="n"/>
      <c r="F156" s="7" t="n"/>
      <c r="G156" s="8">
        <f>IF(AND(D156="",E156=""),F156,G155+IF(D156="",0,D156)-IF(E156="",0,E156))</f>
        <v/>
      </c>
    </row>
    <row r="157">
      <c r="A157" s="3" t="inlineStr">
        <is>
          <t>Hang Seng Savings Account</t>
        </is>
      </c>
      <c r="B157" s="4" t="n">
        <v>45897</v>
      </c>
      <c r="C157" s="3" t="inlineStr">
        <is>
          <t>FISERV MERCHANT SOLU HD12582811599431 28AUG</t>
        </is>
      </c>
      <c r="D157" s="5" t="n">
        <v>4670.68</v>
      </c>
      <c r="E157" s="6" t="n"/>
      <c r="F157" s="7" t="n"/>
      <c r="G157" s="8">
        <f>IF(AND(D157="",E157=""),F157,G156+IF(D157="",0,D157)-IF(E157="",0,E157))</f>
        <v/>
      </c>
    </row>
    <row r="158">
      <c r="A158" s="3" t="inlineStr">
        <is>
          <t>Hang Seng Savings Account</t>
        </is>
      </c>
      <c r="B158" s="4" t="n">
        <v>45897</v>
      </c>
      <c r="C158" s="3" t="inlineStr">
        <is>
          <t>AMERICAN EXPRESS INT HD12582811846585 28AUG</t>
        </is>
      </c>
      <c r="D158" s="5" t="n">
        <v>58.86</v>
      </c>
      <c r="E158" s="6" t="n"/>
      <c r="F158" s="7" t="n"/>
      <c r="G158" s="8">
        <f>IF(AND(D158="",E158=""),F158,G157+IF(D158="",0,D158)-IF(E158="",0,E158))</f>
        <v/>
      </c>
    </row>
    <row r="159">
      <c r="A159" s="3" t="inlineStr">
        <is>
          <t>Hang Seng Savings Account</t>
        </is>
      </c>
      <c r="B159" s="4" t="n">
        <v>45897</v>
      </c>
      <c r="C159" s="3" t="inlineStr">
        <is>
          <t>DS05810125082803 DS0581012508(28AUG25)</t>
        </is>
      </c>
      <c r="D159" s="5" t="n">
        <v>2360.1</v>
      </c>
      <c r="E159" s="6" t="n"/>
      <c r="F159" s="7" t="n"/>
      <c r="G159" s="8">
        <f>IF(AND(D159="",E159=""),F159,G158+IF(D159="",0,D159)-IF(E159="",0,E159))</f>
        <v/>
      </c>
    </row>
    <row r="160">
      <c r="A160" s="3" t="inlineStr">
        <is>
          <t>Hang Seng Savings Account</t>
        </is>
      </c>
      <c r="B160" s="4" t="n">
        <v>45897</v>
      </c>
      <c r="C160" s="3" t="inlineStr">
        <is>
          <t>DS19462225082803 DS1946222508(28AUG25)</t>
        </is>
      </c>
      <c r="D160" s="5" t="n">
        <v>4342.9</v>
      </c>
      <c r="E160" s="6" t="n"/>
      <c r="F160" s="7" t="n"/>
      <c r="G160" s="8">
        <f>IF(AND(D160="",E160=""),F160,G159+IF(D160="",0,D160)-IF(E160="",0,E160))</f>
        <v/>
      </c>
    </row>
    <row r="161">
      <c r="A161" s="3" t="inlineStr">
        <is>
          <t>Hang Seng Savings Account</t>
        </is>
      </c>
      <c r="B161" s="4" t="n">
        <v>45897</v>
      </c>
      <c r="C161" s="3" t="inlineStr">
        <is>
          <t>EASYLINK PAYMENT NET HD12582813027430 28AUG</t>
        </is>
      </c>
      <c r="D161" s="5" t="n">
        <v>49.1</v>
      </c>
      <c r="E161" s="6" t="n"/>
      <c r="F161" s="7" t="n"/>
      <c r="G161" s="8">
        <f>IF(AND(D161="",E161=""),F161,G160+IF(D161="",0,D161)-IF(E161="",0,E161))</f>
        <v/>
      </c>
    </row>
    <row r="162">
      <c r="A162" s="3" t="inlineStr">
        <is>
          <t>Hang Seng Savings Account</t>
        </is>
      </c>
      <c r="B162" s="4" t="n">
        <v>45897</v>
      </c>
      <c r="C162" s="3" t="inlineStr">
        <is>
          <t>ATM TRANSFER TO 3 788-338051-001 (28AUG25)</t>
        </is>
      </c>
      <c r="D162" s="5" t="n"/>
      <c r="E162" s="6" t="n">
        <v>260000</v>
      </c>
      <c r="F162" s="7" t="n"/>
      <c r="G162" s="8">
        <f>IF(AND(D162="",E162=""),F162,G161+IF(D162="",0,D162)-IF(E162="",0,E162))</f>
        <v/>
      </c>
    </row>
    <row r="163">
      <c r="A163" s="3" t="inlineStr">
        <is>
          <t>Hang Seng Savings Account</t>
        </is>
      </c>
      <c r="B163" s="4" t="n">
        <v>45897</v>
      </c>
      <c r="C163" s="3" t="inlineStr">
        <is>
          <t>ATM BILPYT3(28AUG25) TRAFFIC TICKETS</t>
        </is>
      </c>
      <c r="D163" s="5" t="n"/>
      <c r="E163" s="6" t="n">
        <v>320</v>
      </c>
      <c r="F163" s="7" t="n"/>
      <c r="G163" s="8">
        <f>IF(AND(D163="",E163=""),F163,G162+IF(D163="",0,D163)-IF(E163="",0,E163))</f>
        <v/>
      </c>
    </row>
    <row r="164">
      <c r="A164" s="3" t="inlineStr">
        <is>
          <t>Hang Seng Savings Account</t>
        </is>
      </c>
      <c r="B164" s="4" t="n">
        <v>45897</v>
      </c>
      <c r="C164" s="3" t="inlineStr">
        <is>
          <t>ATM BILPYT3(28AUG25) TRAFFIC TICKETS</t>
        </is>
      </c>
      <c r="D164" s="5" t="n"/>
      <c r="E164" s="6" t="n">
        <v>320</v>
      </c>
      <c r="F164" s="7" t="n"/>
      <c r="G164" s="8">
        <f>IF(AND(D164="",E164=""),F164,G163+IF(D164="",0,D164)-IF(E164="",0,E164))</f>
        <v/>
      </c>
    </row>
    <row r="165">
      <c r="A165" s="3" t="inlineStr">
        <is>
          <t>Hang Seng Savings Account</t>
        </is>
      </c>
      <c r="B165" s="4" t="n">
        <v>45897</v>
      </c>
      <c r="C165" s="3" t="inlineStr">
        <is>
          <t>ATM TRANSFER TO 3 273-234104-882 (28AUG25)</t>
        </is>
      </c>
      <c r="D165" s="5" t="n"/>
      <c r="E165" s="6" t="n">
        <v>33000</v>
      </c>
      <c r="F165" s="7" t="n"/>
      <c r="G165" s="8">
        <f>IF(AND(D165="",E165=""),F165,G164+IF(D165="",0,D165)-IF(E165="",0,E165))</f>
        <v/>
      </c>
    </row>
    <row r="166">
      <c r="A166" s="3" t="inlineStr">
        <is>
          <t>Hang Seng Savings Account</t>
        </is>
      </c>
      <c r="B166" s="4" t="n">
        <v>45897</v>
      </c>
      <c r="C166" s="3" t="inlineStr">
        <is>
          <t>BINDO LABS LIMITED HD12582813443037 28AUG</t>
        </is>
      </c>
      <c r="D166" s="5" t="n">
        <v>286.52</v>
      </c>
      <c r="E166" s="6" t="n"/>
      <c r="F166" s="7" t="n">
        <v>167908.28</v>
      </c>
      <c r="G166" s="8">
        <f>IF(AND(D166="",E166=""),F166,G165+IF(D166="",0,D166)-IF(E166="",0,E166))</f>
        <v/>
      </c>
    </row>
    <row r="167">
      <c r="A167" s="3" t="inlineStr">
        <is>
          <t>Hang Seng Savings Account</t>
        </is>
      </c>
      <c r="B167" s="4" t="n">
        <v>45898</v>
      </c>
      <c r="C167" s="3" t="inlineStr">
        <is>
          <t>EFT PAYMENTS (ASIA) HD12582914353380 29AUG</t>
        </is>
      </c>
      <c r="D167" s="5" t="n">
        <v>2075.63</v>
      </c>
      <c r="E167" s="6" t="n"/>
      <c r="F167" s="7" t="n"/>
      <c r="G167" s="8">
        <f>IF(AND(D167="",E167=""),F167,G166+IF(D167="",0,D167)-IF(E167="",0,E167))</f>
        <v/>
      </c>
    </row>
    <row r="168">
      <c r="A168" s="3" t="inlineStr">
        <is>
          <t>Hang Seng Savings Account</t>
        </is>
      </c>
      <c r="B168" s="4" t="n">
        <v>45898</v>
      </c>
      <c r="C168" s="3" t="inlineStr">
        <is>
          <t>FISERV MERCHANT SOLU HD12582915151743 29AUG</t>
        </is>
      </c>
      <c r="D168" s="5" t="n">
        <v>3360.71</v>
      </c>
      <c r="E168" s="6" t="n"/>
      <c r="F168" s="7" t="n"/>
      <c r="G168" s="8">
        <f>IF(AND(D168="",E168=""),F168,G167+IF(D168="",0,D168)-IF(E168="",0,E168))</f>
        <v/>
      </c>
    </row>
    <row r="169">
      <c r="A169" s="3" t="inlineStr">
        <is>
          <t>Hang Seng Savings Account</t>
        </is>
      </c>
      <c r="B169" s="4" t="n">
        <v>45898</v>
      </c>
      <c r="C169" s="3" t="inlineStr">
        <is>
          <t>FISERV MERCHANT SOLU HD12582915156797 29AUG</t>
        </is>
      </c>
      <c r="D169" s="5" t="n">
        <v>3890.6</v>
      </c>
      <c r="E169" s="6" t="n"/>
      <c r="F169" s="7" t="n"/>
      <c r="G169" s="8">
        <f>IF(AND(D169="",E169=""),F169,G168+IF(D169="",0,D169)-IF(E169="",0,E169))</f>
        <v/>
      </c>
    </row>
    <row r="170">
      <c r="A170" s="3" t="inlineStr">
        <is>
          <t>Hang Seng Savings Account</t>
        </is>
      </c>
      <c r="B170" s="4" t="n">
        <v>45898</v>
      </c>
      <c r="C170" s="3" t="inlineStr">
        <is>
          <t>AMERICAN EXPRESS INT HD12582915460155 29AUG</t>
        </is>
      </c>
      <c r="D170" s="5" t="n">
        <v>63.76</v>
      </c>
      <c r="E170" s="6" t="n"/>
      <c r="F170" s="7" t="n"/>
      <c r="G170" s="8">
        <f>IF(AND(D170="",E170=""),F170,G169+IF(D170="",0,D170)-IF(E170="",0,E170))</f>
        <v/>
      </c>
    </row>
    <row r="171">
      <c r="A171" s="3" t="inlineStr">
        <is>
          <t>Hang Seng Savings Account</t>
        </is>
      </c>
      <c r="B171" s="4" t="n">
        <v>45898</v>
      </c>
      <c r="C171" s="3" t="inlineStr">
        <is>
          <t>DS19462225082903 DS1946222508(29AUG25)</t>
        </is>
      </c>
      <c r="D171" s="5" t="n">
        <v>4229.6</v>
      </c>
      <c r="E171" s="6" t="n"/>
      <c r="F171" s="7" t="n"/>
      <c r="G171" s="8">
        <f>IF(AND(D171="",E171=""),F171,G170+IF(D171="",0,D171)-IF(E171="",0,E171))</f>
        <v/>
      </c>
    </row>
    <row r="172">
      <c r="A172" s="3" t="inlineStr">
        <is>
          <t>Hang Seng Savings Account</t>
        </is>
      </c>
      <c r="B172" s="4" t="n">
        <v>45898</v>
      </c>
      <c r="C172" s="3" t="inlineStr">
        <is>
          <t>DS05810125082903 DS0581012508(29AUG25)</t>
        </is>
      </c>
      <c r="D172" s="5" t="n">
        <v>2993.4</v>
      </c>
      <c r="E172" s="6" t="n"/>
      <c r="F172" s="7" t="n"/>
      <c r="G172" s="8">
        <f>IF(AND(D172="",E172=""),F172,G171+IF(D172="",0,D172)-IF(E172="",0,E172))</f>
        <v/>
      </c>
    </row>
    <row r="173">
      <c r="A173" s="3" t="inlineStr">
        <is>
          <t>Hang Seng Savings Account</t>
        </is>
      </c>
      <c r="B173" s="4" t="n">
        <v>45898</v>
      </c>
      <c r="C173" s="3" t="inlineStr">
        <is>
          <t>BINDO LABS LIMITED HD12582917349997 29AUG</t>
        </is>
      </c>
      <c r="D173" s="5" t="n">
        <v>183.95</v>
      </c>
      <c r="E173" s="6" t="n"/>
      <c r="F173" s="7" t="n">
        <v>184705.93</v>
      </c>
      <c r="G173" s="8">
        <f>IF(AND(D173="",E173=""),F173,G172+IF(D173="",0,D173)-IF(E173="",0,E173))</f>
        <v/>
      </c>
    </row>
    <row r="174">
      <c r="A174" s="3" t="inlineStr">
        <is>
          <t>Hang Seng Savings Account</t>
        </is>
      </c>
      <c r="B174" s="4" t="n">
        <v>45899</v>
      </c>
      <c r="C174" s="3" t="inlineStr">
        <is>
          <t>FISERV MERCHANT SOLU HD12583018489823 30AUG</t>
        </is>
      </c>
      <c r="D174" s="5" t="n">
        <v>3606.74</v>
      </c>
      <c r="E174" s="6" t="n"/>
      <c r="F174" s="7" t="n"/>
      <c r="G174" s="8">
        <f>IF(AND(D174="",E174=""),F174,G173+IF(D174="",0,D174)-IF(E174="",0,E174))</f>
        <v/>
      </c>
    </row>
    <row r="175">
      <c r="A175" s="3" t="inlineStr">
        <is>
          <t>Hang Seng Savings Account</t>
        </is>
      </c>
      <c r="B175" s="4" t="n">
        <v>45899</v>
      </c>
      <c r="C175" s="3" t="inlineStr">
        <is>
          <t>FISERV MERCHANT SOLU HD12583018489843 30AUG</t>
        </is>
      </c>
      <c r="D175" s="5" t="n">
        <v>7072.66</v>
      </c>
      <c r="E175" s="6" t="n"/>
      <c r="F175" s="7" t="n">
        <v>195385.33</v>
      </c>
      <c r="G175" s="8">
        <f>IF(AND(D175="",E175=""),F175,G174+IF(D175="",0,D175)-IF(E175="",0,E175))</f>
        <v/>
      </c>
    </row>
    <row r="176">
      <c r="A176" s="3" t="inlineStr">
        <is>
          <t>Hang Seng Savings Account</t>
        </is>
      </c>
      <c r="B176" s="4" t="n">
        <v>45901</v>
      </c>
      <c r="C176" s="3" t="inlineStr">
        <is>
          <t>EFT PAYMENTS (ASIA) HD12590123722187 01SEP</t>
        </is>
      </c>
      <c r="D176" s="5" t="n">
        <v>2009.48</v>
      </c>
      <c r="E176" s="6" t="n"/>
      <c r="F176" s="7" t="n"/>
      <c r="G176" s="8">
        <f>IF(AND(D176="",E176=""),F176,G175+IF(D176="",0,D176)-IF(E176="",0,E176))</f>
        <v/>
      </c>
    </row>
    <row r="177">
      <c r="A177" s="3" t="inlineStr">
        <is>
          <t>Hang Seng Savings Account</t>
        </is>
      </c>
      <c r="B177" s="4" t="n">
        <v>45901</v>
      </c>
      <c r="C177" s="3" t="inlineStr">
        <is>
          <t>AMERICAN EXPRESS INT HD12590124571122 01SEP</t>
        </is>
      </c>
      <c r="D177" s="5" t="n">
        <v>587.62</v>
      </c>
      <c r="E177" s="6" t="n"/>
      <c r="F177" s="7" t="n"/>
      <c r="G177" s="8">
        <f>IF(AND(D177="",E177=""),F177,G176+IF(D177="",0,D177)-IF(E177="",0,E177))</f>
        <v/>
      </c>
    </row>
    <row r="178">
      <c r="A178" s="3" t="inlineStr">
        <is>
          <t>Hang Seng Savings Account</t>
        </is>
      </c>
      <c r="B178" s="4" t="n">
        <v>45901</v>
      </c>
      <c r="C178" s="3" t="inlineStr">
        <is>
          <t>FISERV MERCHANT SOLU HD12590124802321 01SEP</t>
        </is>
      </c>
      <c r="D178" s="5" t="n">
        <v>7637.1</v>
      </c>
      <c r="E178" s="6" t="n"/>
      <c r="F178" s="7" t="n"/>
      <c r="G178" s="8">
        <f>IF(AND(D178="",E178=""),F178,G177+IF(D178="",0,D178)-IF(E178="",0,E178))</f>
        <v/>
      </c>
    </row>
    <row r="179">
      <c r="A179" s="3" t="inlineStr">
        <is>
          <t>Hang Seng Savings Account</t>
        </is>
      </c>
      <c r="B179" s="4" t="n">
        <v>45901</v>
      </c>
      <c r="C179" s="3" t="inlineStr">
        <is>
          <t>FISERV MERCHANT SOLU HD12590124804177 01SEP</t>
        </is>
      </c>
      <c r="D179" s="5" t="n">
        <v>8868.02</v>
      </c>
      <c r="E179" s="6" t="n"/>
      <c r="F179" s="7" t="n"/>
      <c r="G179" s="8">
        <f>IF(AND(D179="",E179=""),F179,G178+IF(D179="",0,D179)-IF(E179="",0,E179))</f>
        <v/>
      </c>
    </row>
    <row r="180">
      <c r="A180" s="3" t="inlineStr">
        <is>
          <t>Hang Seng Savings Account</t>
        </is>
      </c>
      <c r="B180" s="4" t="n">
        <v>45901</v>
      </c>
      <c r="C180" s="3" t="inlineStr">
        <is>
          <t>DS19462225090103 DS1946222509(01SEP25)</t>
        </is>
      </c>
      <c r="D180" s="5" t="n">
        <v>16787.3</v>
      </c>
      <c r="E180" s="6" t="n"/>
      <c r="F180" s="7" t="n"/>
      <c r="G180" s="8">
        <f>IF(AND(D180="",E180=""),F180,G179+IF(D180="",0,D180)-IF(E180="",0,E180))</f>
        <v/>
      </c>
    </row>
    <row r="181">
      <c r="A181" s="3" t="inlineStr">
        <is>
          <t>Hang Seng Savings Account</t>
        </is>
      </c>
      <c r="B181" s="4" t="n">
        <v>45901</v>
      </c>
      <c r="C181" s="3" t="inlineStr">
        <is>
          <t>DS05810125090103 DS0581012509(01SEP25)</t>
        </is>
      </c>
      <c r="D181" s="5" t="n">
        <v>11783.6</v>
      </c>
      <c r="E181" s="6" t="n"/>
      <c r="F181" s="7" t="n"/>
      <c r="G181" s="8">
        <f>IF(AND(D181="",E181=""),F181,G180+IF(D181="",0,D181)-IF(E181="",0,E181))</f>
        <v/>
      </c>
    </row>
    <row r="182">
      <c r="A182" s="3" t="inlineStr">
        <is>
          <t>Hang Seng Savings Account</t>
        </is>
      </c>
      <c r="B182" s="4" t="n">
        <v>45901</v>
      </c>
      <c r="C182" s="3" t="inlineStr">
        <is>
          <t>FISERV MERCHANT SOLU HD12590125142773 01SEP</t>
        </is>
      </c>
      <c r="D182" s="5" t="n">
        <v>8894.48</v>
      </c>
      <c r="E182" s="6" t="n"/>
      <c r="F182" s="7" t="n"/>
      <c r="G182" s="8">
        <f>IF(AND(D182="",E182=""),F182,G181+IF(D182="",0,D182)-IF(E182="",0,E182))</f>
        <v/>
      </c>
    </row>
    <row r="183">
      <c r="A183" s="3" t="inlineStr">
        <is>
          <t>Hang Seng Savings Account</t>
        </is>
      </c>
      <c r="B183" s="4" t="n">
        <v>45901</v>
      </c>
      <c r="C183" s="3" t="inlineStr">
        <is>
          <t>FISERV MERCHANT SOLU HD12590125147530 01SEP</t>
        </is>
      </c>
      <c r="D183" s="5" t="n">
        <v>8144.65</v>
      </c>
      <c r="E183" s="6" t="n"/>
      <c r="F183" s="7" t="n"/>
      <c r="G183" s="8">
        <f>IF(AND(D183="",E183=""),F183,G182+IF(D183="",0,D183)-IF(E183="",0,E183))</f>
        <v/>
      </c>
    </row>
    <row r="184">
      <c r="A184" s="3" t="inlineStr">
        <is>
          <t>Hang Seng Savings Account</t>
        </is>
      </c>
      <c r="B184" s="4" t="n">
        <v>45901</v>
      </c>
      <c r="C184" s="3" t="inlineStr">
        <is>
          <t>EASYLINK PAYMENT NET HD12590126333275 01SEP</t>
        </is>
      </c>
      <c r="D184" s="5" t="n">
        <v>301.84</v>
      </c>
      <c r="E184" s="6" t="n"/>
      <c r="F184" s="7" t="n"/>
      <c r="G184" s="8">
        <f>IF(AND(D184="",E184=""),F184,G183+IF(D184="",0,D184)-IF(E184="",0,E184))</f>
        <v/>
      </c>
    </row>
    <row r="185">
      <c r="A185" s="3" t="inlineStr">
        <is>
          <t>Hang Seng Savings Account</t>
        </is>
      </c>
      <c r="B185" s="4" t="n">
        <v>45901</v>
      </c>
      <c r="C185" s="3" t="inlineStr">
        <is>
          <t>EASYLINK PAYMENT NET HD12590126333315 01SEP</t>
        </is>
      </c>
      <c r="D185" s="5" t="n">
        <v>554.96</v>
      </c>
      <c r="E185" s="6" t="n"/>
      <c r="F185" s="7" t="n"/>
      <c r="G185" s="8">
        <f>IF(AND(D185="",E185=""),F185,G184+IF(D185="",0,D185)-IF(E185="",0,E185))</f>
        <v/>
      </c>
    </row>
    <row r="186">
      <c r="A186" s="3" t="inlineStr">
        <is>
          <t>Hang Seng Savings Account</t>
        </is>
      </c>
      <c r="B186" s="4" t="n">
        <v>45901</v>
      </c>
      <c r="C186" s="3" t="inlineStr">
        <is>
          <t>BINDO LABS LIMITED HD12590126461525 01SEP</t>
        </is>
      </c>
      <c r="D186" s="5" t="n">
        <v>217.01</v>
      </c>
      <c r="E186" s="6" t="n"/>
      <c r="F186" s="7" t="n">
        <v>261171.39</v>
      </c>
      <c r="G186" s="8">
        <f>IF(AND(D186="",E186=""),F186,G185+IF(D186="",0,D186)-IF(E186="",0,E186))</f>
        <v/>
      </c>
    </row>
    <row r="187">
      <c r="A187" s="3" t="inlineStr">
        <is>
          <t>Hang Seng Savings Account</t>
        </is>
      </c>
      <c r="B187" s="4" t="n">
        <v>45901</v>
      </c>
      <c r="C187" s="3" t="inlineStr">
        <is>
          <t>C/F BALANCE</t>
        </is>
      </c>
      <c r="D187" s="5" t="n"/>
      <c r="E187" s="6" t="n"/>
      <c r="F187" s="7" t="n">
        <v>261171.39</v>
      </c>
      <c r="G187" s="8">
        <f>IF(AND(D187="",E187=""),F187,G186+IF(D187="",0,D187)-IF(E187="",0,E187))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Current Account</t>
        </is>
      </c>
      <c r="B2" s="4" t="n">
        <v>45870</v>
      </c>
      <c r="C2" s="3" t="inlineStr">
        <is>
          <t>B/F BALANCE</t>
        </is>
      </c>
      <c r="D2" s="5" t="n"/>
      <c r="E2" s="6" t="n"/>
      <c r="F2" s="7" t="n">
        <v>578914.4399999999</v>
      </c>
      <c r="G2" s="8">
        <f>IF(AND(D2="",E2=""),F2,IF(D2="",0,D2)-IF(E2="",0,E2))</f>
        <v/>
      </c>
    </row>
    <row r="3">
      <c r="A3" s="3" t="inlineStr">
        <is>
          <t>Hang Seng Current Account</t>
        </is>
      </c>
      <c r="B3" s="4" t="n">
        <v>45873</v>
      </c>
      <c r="C3" s="3" t="inlineStr">
        <is>
          <t>CHEQUE 809168</t>
        </is>
      </c>
      <c r="D3" s="5" t="n"/>
      <c r="E3" s="6" t="n">
        <v>1775.35</v>
      </c>
      <c r="F3" s="7" t="n"/>
      <c r="G3" s="8">
        <f>IF(AND(D3="",E3=""),F3,G2+IF(D3="",0,D3)-IF(E3="",0,E3))</f>
        <v/>
      </c>
    </row>
    <row r="4">
      <c r="A4" s="3" t="inlineStr">
        <is>
          <t>Hang Seng Current Account</t>
        </is>
      </c>
      <c r="B4" s="4" t="n">
        <v>45873</v>
      </c>
      <c r="C4" s="3" t="inlineStr">
        <is>
          <t>CHEQUE 809160</t>
        </is>
      </c>
      <c r="D4" s="5" t="n"/>
      <c r="E4" s="6" t="n">
        <v>2200</v>
      </c>
      <c r="F4" s="7" t="n"/>
      <c r="G4" s="8">
        <f>IF(AND(D4="",E4=""),F4,G3+IF(D4="",0,D4)-IF(E4="",0,E4))</f>
        <v/>
      </c>
    </row>
    <row r="5">
      <c r="A5" s="3" t="inlineStr">
        <is>
          <t>Hang Seng Current Account</t>
        </is>
      </c>
      <c r="B5" s="4" t="n">
        <v>45873</v>
      </c>
      <c r="C5" s="3" t="inlineStr">
        <is>
          <t>CHEQUE 809161</t>
        </is>
      </c>
      <c r="D5" s="5" t="n"/>
      <c r="E5" s="6" t="n">
        <v>6300.2</v>
      </c>
      <c r="F5" s="7" t="n"/>
      <c r="G5" s="8">
        <f>IF(AND(D5="",E5=""),F5,G4+IF(D5="",0,D5)-IF(E5="",0,E5))</f>
        <v/>
      </c>
    </row>
    <row r="6">
      <c r="A6" s="3" t="inlineStr">
        <is>
          <t>Hang Seng Current Account</t>
        </is>
      </c>
      <c r="B6" s="4" t="n">
        <v>45873</v>
      </c>
      <c r="C6" s="3" t="inlineStr">
        <is>
          <t>CHEQUE 809166</t>
        </is>
      </c>
      <c r="D6" s="5" t="n"/>
      <c r="E6" s="6" t="n">
        <v>6410</v>
      </c>
      <c r="F6" s="7" t="n"/>
      <c r="G6" s="8">
        <f>IF(AND(D6="",E6=""),F6,G5+IF(D6="",0,D6)-IF(E6="",0,E6))</f>
        <v/>
      </c>
    </row>
    <row r="7">
      <c r="A7" s="3" t="inlineStr">
        <is>
          <t>Hang Seng Current Account</t>
        </is>
      </c>
      <c r="B7" s="4" t="n">
        <v>45873</v>
      </c>
      <c r="C7" s="3" t="inlineStr">
        <is>
          <t>CHEQUE 809165</t>
        </is>
      </c>
      <c r="D7" s="5" t="n"/>
      <c r="E7" s="6" t="n">
        <v>10000</v>
      </c>
      <c r="F7" s="7" t="n"/>
      <c r="G7" s="8">
        <f>IF(AND(D7="",E7=""),F7,G6+IF(D7="",0,D7)-IF(E7="",0,E7))</f>
        <v/>
      </c>
    </row>
    <row r="8">
      <c r="A8" s="3" t="inlineStr">
        <is>
          <t>Hang Seng Current Account</t>
        </is>
      </c>
      <c r="B8" s="4" t="n">
        <v>45873</v>
      </c>
      <c r="C8" s="3" t="inlineStr">
        <is>
          <t>CHEQUE 809130</t>
        </is>
      </c>
      <c r="D8" s="5" t="n"/>
      <c r="E8" s="6" t="n">
        <v>14731.5</v>
      </c>
      <c r="F8" s="7" t="n"/>
      <c r="G8" s="8">
        <f>IF(AND(D8="",E8=""),F8,G7+IF(D8="",0,D8)-IF(E8="",0,E8))</f>
        <v/>
      </c>
    </row>
    <row r="9">
      <c r="A9" s="3" t="inlineStr">
        <is>
          <t>Hang Seng Current Account</t>
        </is>
      </c>
      <c r="B9" s="4" t="n">
        <v>45873</v>
      </c>
      <c r="C9" s="3" t="inlineStr">
        <is>
          <t>CHEQUE 809132</t>
        </is>
      </c>
      <c r="D9" s="5" t="n"/>
      <c r="E9" s="6" t="n">
        <v>20900</v>
      </c>
      <c r="F9" s="7" t="n"/>
      <c r="G9" s="8">
        <f>IF(AND(D9="",E9=""),F9,G8+IF(D9="",0,D9)-IF(E9="",0,E9))</f>
        <v/>
      </c>
    </row>
    <row r="10">
      <c r="A10" s="3" t="inlineStr">
        <is>
          <t>Hang Seng Current Account</t>
        </is>
      </c>
      <c r="B10" s="4" t="n">
        <v>45873</v>
      </c>
      <c r="C10" s="3" t="inlineStr">
        <is>
          <t>CHEQUE 809133</t>
        </is>
      </c>
      <c r="D10" s="5" t="n"/>
      <c r="E10" s="6" t="n">
        <v>20900</v>
      </c>
      <c r="F10" s="7" t="n"/>
      <c r="G10" s="8">
        <f>IF(AND(D10="",E10=""),F10,G9+IF(D10="",0,D10)-IF(E10="",0,E10))</f>
        <v/>
      </c>
    </row>
    <row r="11">
      <c r="A11" s="3" t="inlineStr">
        <is>
          <t>Hang Seng Current Account</t>
        </is>
      </c>
      <c r="B11" s="4" t="n">
        <v>45873</v>
      </c>
      <c r="C11" s="3" t="inlineStr">
        <is>
          <t>CHEQUE 809126</t>
        </is>
      </c>
      <c r="D11" s="5" t="n"/>
      <c r="E11" s="6" t="n">
        <v>23750</v>
      </c>
      <c r="F11" s="7" t="n"/>
      <c r="G11" s="8">
        <f>IF(AND(D11="",E11=""),F11,G10+IF(D11="",0,D11)-IF(E11="",0,E11))</f>
        <v/>
      </c>
    </row>
    <row r="12">
      <c r="A12" s="3" t="inlineStr">
        <is>
          <t>Hang Seng Current Account</t>
        </is>
      </c>
      <c r="B12" s="4" t="n">
        <v>45873</v>
      </c>
      <c r="C12" s="3" t="inlineStr">
        <is>
          <t>CHEQUE 809129</t>
        </is>
      </c>
      <c r="D12" s="5" t="n"/>
      <c r="E12" s="6" t="n">
        <v>23750</v>
      </c>
      <c r="F12" s="7" t="n"/>
      <c r="G12" s="8">
        <f>IF(AND(D12="",E12=""),F12,G11+IF(D12="",0,D12)-IF(E12="",0,E12))</f>
        <v/>
      </c>
    </row>
    <row r="13">
      <c r="A13" s="3" t="inlineStr">
        <is>
          <t>Hang Seng Current Account</t>
        </is>
      </c>
      <c r="B13" s="4" t="n">
        <v>45873</v>
      </c>
      <c r="C13" s="3" t="inlineStr">
        <is>
          <t>CHEQUE 809131</t>
        </is>
      </c>
      <c r="D13" s="5" t="n"/>
      <c r="E13" s="6" t="n">
        <v>24700</v>
      </c>
      <c r="F13" s="7" t="n"/>
      <c r="G13" s="8">
        <f>IF(AND(D13="",E13=""),F13,G12+IF(D13="",0,D13)-IF(E13="",0,E13))</f>
        <v/>
      </c>
    </row>
    <row r="14">
      <c r="A14" s="3" t="inlineStr">
        <is>
          <t>Hang Seng Current Account</t>
        </is>
      </c>
      <c r="B14" s="4" t="n">
        <v>45873</v>
      </c>
      <c r="C14" s="3" t="inlineStr">
        <is>
          <t>CHEQUE 809127</t>
        </is>
      </c>
      <c r="D14" s="5" t="n"/>
      <c r="E14" s="6" t="n">
        <v>25650</v>
      </c>
      <c r="F14" s="7" t="n"/>
      <c r="G14" s="8">
        <f>IF(AND(D14="",E14=""),F14,G13+IF(D14="",0,D14)-IF(E14="",0,E14))</f>
        <v/>
      </c>
    </row>
    <row r="15">
      <c r="A15" s="3" t="inlineStr">
        <is>
          <t>Hang Seng Current Account</t>
        </is>
      </c>
      <c r="B15" s="4" t="n">
        <v>45873</v>
      </c>
      <c r="C15" s="3" t="inlineStr">
        <is>
          <t>CHEQUE 809128</t>
        </is>
      </c>
      <c r="D15" s="5" t="n"/>
      <c r="E15" s="6" t="n">
        <v>26600</v>
      </c>
      <c r="F15" s="7" t="n"/>
      <c r="G15" s="8">
        <f>IF(AND(D15="",E15=""),F15,G14+IF(D15="",0,D15)-IF(E15="",0,E15))</f>
        <v/>
      </c>
    </row>
    <row r="16">
      <c r="A16" s="3" t="inlineStr">
        <is>
          <t>Hang Seng Current Account</t>
        </is>
      </c>
      <c r="B16" s="4" t="n">
        <v>45873</v>
      </c>
      <c r="C16" s="3" t="inlineStr">
        <is>
          <t>CHEQUE 809164</t>
        </is>
      </c>
      <c r="D16" s="5" t="n"/>
      <c r="E16" s="6" t="n">
        <v>30000</v>
      </c>
      <c r="F16" s="7" t="n"/>
      <c r="G16" s="8">
        <f>IF(AND(D16="",E16=""),F16,G15+IF(D16="",0,D16)-IF(E16="",0,E16))</f>
        <v/>
      </c>
    </row>
    <row r="17">
      <c r="A17" s="3" t="inlineStr">
        <is>
          <t>Hang Seng Current Account</t>
        </is>
      </c>
      <c r="B17" s="4" t="n">
        <v>45873</v>
      </c>
      <c r="C17" s="3" t="inlineStr">
        <is>
          <t>CHEQUE 809122</t>
        </is>
      </c>
      <c r="D17" s="5" t="n"/>
      <c r="E17" s="6" t="n">
        <v>31000</v>
      </c>
      <c r="F17" s="7" t="n"/>
      <c r="G17" s="8">
        <f>IF(AND(D17="",E17=""),F17,G16+IF(D17="",0,D17)-IF(E17="",0,E17))</f>
        <v/>
      </c>
    </row>
    <row r="18">
      <c r="A18" s="3" t="inlineStr">
        <is>
          <t>Hang Seng Current Account</t>
        </is>
      </c>
      <c r="B18" s="4" t="n">
        <v>45873</v>
      </c>
      <c r="C18" s="3" t="inlineStr">
        <is>
          <t>CHEQUE 809124</t>
        </is>
      </c>
      <c r="D18" s="5" t="n"/>
      <c r="E18" s="6" t="n">
        <v>31500</v>
      </c>
      <c r="F18" s="7" t="n"/>
      <c r="G18" s="8">
        <f>IF(AND(D18="",E18=""),F18,G17+IF(D18="",0,D18)-IF(E18="",0,E18))</f>
        <v/>
      </c>
    </row>
    <row r="19">
      <c r="A19" s="3" t="inlineStr">
        <is>
          <t>Hang Seng Current Account</t>
        </is>
      </c>
      <c r="B19" s="4" t="n">
        <v>45873</v>
      </c>
      <c r="C19" s="3" t="inlineStr">
        <is>
          <t>CHEQUE 809125</t>
        </is>
      </c>
      <c r="D19" s="5" t="n"/>
      <c r="E19" s="6" t="n">
        <v>31500</v>
      </c>
      <c r="F19" s="7" t="n"/>
      <c r="G19" s="8">
        <f>IF(AND(D19="",E19=""),F19,G18+IF(D19="",0,D19)-IF(E19="",0,E19))</f>
        <v/>
      </c>
    </row>
    <row r="20">
      <c r="A20" s="3" t="inlineStr">
        <is>
          <t>Hang Seng Current Account</t>
        </is>
      </c>
      <c r="B20" s="4" t="n">
        <v>45873</v>
      </c>
      <c r="C20" s="3" t="inlineStr">
        <is>
          <t>CHEQUE 809116</t>
        </is>
      </c>
      <c r="D20" s="5" t="n"/>
      <c r="E20" s="6" t="n">
        <v>40000</v>
      </c>
      <c r="F20" s="7" t="n"/>
      <c r="G20" s="8">
        <f>IF(AND(D20="",E20=""),F20,G19+IF(D20="",0,D20)-IF(E20="",0,E20))</f>
        <v/>
      </c>
    </row>
    <row r="21">
      <c r="A21" s="3" t="inlineStr">
        <is>
          <t>Hang Seng Current Account</t>
        </is>
      </c>
      <c r="B21" s="4" t="n">
        <v>45873</v>
      </c>
      <c r="C21" s="3" t="inlineStr">
        <is>
          <t>CHEQUE 809163</t>
        </is>
      </c>
      <c r="D21" s="5" t="n"/>
      <c r="E21" s="6" t="n">
        <v>50000</v>
      </c>
      <c r="F21" s="7" t="n"/>
      <c r="G21" s="8">
        <f>IF(AND(D21="",E21=""),F21,G20+IF(D21="",0,D21)-IF(E21="",0,E21))</f>
        <v/>
      </c>
    </row>
    <row r="22">
      <c r="A22" s="3" t="inlineStr">
        <is>
          <t>Hang Seng Current Account</t>
        </is>
      </c>
      <c r="B22" s="4" t="n">
        <v>45873</v>
      </c>
      <c r="C22" s="3" t="inlineStr">
        <is>
          <t>H K ELECTRIC CO LTD 4378505907 04AUG</t>
        </is>
      </c>
      <c r="D22" s="5" t="n"/>
      <c r="E22" s="6" t="n">
        <v>9074</v>
      </c>
      <c r="F22" s="7" t="n"/>
      <c r="G22" s="8">
        <f>IF(AND(D22="",E22=""),F22,G21+IF(D22="",0,D22)-IF(E22="",0,E22))</f>
        <v/>
      </c>
    </row>
    <row r="23">
      <c r="A23" s="3" t="inlineStr">
        <is>
          <t>Hang Seng Current Account</t>
        </is>
      </c>
      <c r="B23" s="4" t="n">
        <v>45873</v>
      </c>
      <c r="C23" s="3" t="inlineStr">
        <is>
          <t>CMBWLB MERCHANT PYMT HD12580342660554 03AUG</t>
        </is>
      </c>
      <c r="D23" s="5" t="n">
        <v>2431.78</v>
      </c>
      <c r="E23" s="6" t="n"/>
      <c r="F23" s="7" t="n"/>
      <c r="G23" s="8">
        <f>IF(AND(D23="",E23=""),F23,G22+IF(D23="",0,D23)-IF(E23="",0,E23))</f>
        <v/>
      </c>
    </row>
    <row r="24">
      <c r="A24" s="3" t="inlineStr">
        <is>
          <t>Hang Seng Current Account</t>
        </is>
      </c>
      <c r="B24" s="4" t="n">
        <v>45873</v>
      </c>
      <c r="C24" s="3" t="inlineStr">
        <is>
          <t>CMBWLB MERCHANT PYMT HD12580342660557 03AUG</t>
        </is>
      </c>
      <c r="D24" s="5" t="n">
        <v>4337.9</v>
      </c>
      <c r="E24" s="6" t="n"/>
      <c r="F24" s="7" t="n"/>
      <c r="G24" s="8">
        <f>IF(AND(D24="",E24=""),F24,G23+IF(D24="",0,D24)-IF(E24="",0,E24))</f>
        <v/>
      </c>
    </row>
    <row r="25">
      <c r="A25" s="3" t="inlineStr">
        <is>
          <t>Hang Seng Current Account</t>
        </is>
      </c>
      <c r="B25" s="4" t="n">
        <v>45873</v>
      </c>
      <c r="C25" s="3" t="inlineStr">
        <is>
          <t>CMBWLB MERCHANT PYMT HD12580342660622 03AUG</t>
        </is>
      </c>
      <c r="D25" s="5" t="n">
        <v>754.8</v>
      </c>
      <c r="E25" s="6" t="n"/>
      <c r="F25" s="7" t="n"/>
      <c r="G25" s="8">
        <f>IF(AND(D25="",E25=""),F25,G24+IF(D25="",0,D25)-IF(E25="",0,E25))</f>
        <v/>
      </c>
    </row>
    <row r="26">
      <c r="A26" s="3" t="inlineStr">
        <is>
          <t>Hang Seng Current Account</t>
        </is>
      </c>
      <c r="B26" s="4" t="n">
        <v>45873</v>
      </c>
      <c r="C26" s="3" t="inlineStr">
        <is>
          <t>CMBWLB MERCHANT PYMT HD12580342660599 03AUG</t>
        </is>
      </c>
      <c r="D26" s="5" t="n">
        <v>12212.83</v>
      </c>
      <c r="E26" s="6" t="n"/>
      <c r="F26" s="7" t="n"/>
      <c r="G26" s="8">
        <f>IF(AND(D26="",E26=""),F26,G25+IF(D26="",0,D26)-IF(E26="",0,E26))</f>
        <v/>
      </c>
    </row>
    <row r="27">
      <c r="A27" s="3" t="inlineStr">
        <is>
          <t>Hang Seng Current Account</t>
        </is>
      </c>
      <c r="B27" s="4" t="n">
        <v>45873</v>
      </c>
      <c r="C27" s="3" t="inlineStr">
        <is>
          <t>CMBWLB MERCHANT PYMT HD12580342660590 03AUG</t>
        </is>
      </c>
      <c r="D27" s="5" t="n">
        <v>13276.13</v>
      </c>
      <c r="E27" s="6" t="n"/>
      <c r="F27" s="7" t="n"/>
      <c r="G27" s="8">
        <f>IF(AND(D27="",E27=""),F27,G26+IF(D27="",0,D27)-IF(E27="",0,E27))</f>
        <v/>
      </c>
    </row>
    <row r="28">
      <c r="A28" s="3" t="inlineStr">
        <is>
          <t>Hang Seng Current Account</t>
        </is>
      </c>
      <c r="B28" s="4" t="n">
        <v>45873</v>
      </c>
      <c r="C28" s="3" t="inlineStr">
        <is>
          <t>CMBWLB MERCHANT PYMT HD12580342660661 03AUG</t>
        </is>
      </c>
      <c r="D28" s="5" t="n">
        <v>2783.26</v>
      </c>
      <c r="E28" s="6" t="n"/>
      <c r="F28" s="7" t="n"/>
      <c r="G28" s="8">
        <f>IF(AND(D28="",E28=""),F28,G27+IF(D28="",0,D28)-IF(E28="",0,E28))</f>
        <v/>
      </c>
    </row>
    <row r="29">
      <c r="A29" s="3" t="inlineStr">
        <is>
          <t>Hang Seng Current Account</t>
        </is>
      </c>
      <c r="B29" s="4" t="n">
        <v>45873</v>
      </c>
      <c r="C29" s="3" t="inlineStr">
        <is>
          <t>CMBWLB MERCHANT PYMT HD12580342660649 03AUG</t>
        </is>
      </c>
      <c r="D29" s="5" t="n">
        <v>3469.5</v>
      </c>
      <c r="E29" s="6" t="n"/>
      <c r="F29" s="7" t="n"/>
      <c r="G29" s="8">
        <f>IF(AND(D29="",E29=""),F29,G28+IF(D29="",0,D29)-IF(E29="",0,E29))</f>
        <v/>
      </c>
    </row>
    <row r="30">
      <c r="A30" s="3" t="inlineStr">
        <is>
          <t>Hang Seng Current Account</t>
        </is>
      </c>
      <c r="B30" s="4" t="n">
        <v>45873</v>
      </c>
      <c r="C30" s="3" t="inlineStr">
        <is>
          <t>FROM HALFWAY COFFEE N80406622385(04AUG25)</t>
        </is>
      </c>
      <c r="D30" s="5" t="n">
        <v>280000</v>
      </c>
      <c r="E30" s="6" t="n"/>
      <c r="F30" s="7" t="n">
        <v>467439.59</v>
      </c>
      <c r="G30" s="8">
        <f>IF(AND(D30="",E30=""),F30,G29+IF(D30="",0,D30)-IF(E30="",0,E30))</f>
        <v/>
      </c>
    </row>
    <row r="31">
      <c r="A31" s="3" t="inlineStr">
        <is>
          <t>Hang Seng Current Account</t>
        </is>
      </c>
      <c r="B31" s="4" t="n">
        <v>45874</v>
      </c>
      <c r="C31" s="3" t="inlineStr">
        <is>
          <t>CMBWLB MERCHANT PYMT HD12580548857437 05AUG</t>
        </is>
      </c>
      <c r="D31" s="5" t="n">
        <v>6030.54</v>
      </c>
      <c r="E31" s="6" t="n"/>
      <c r="F31" s="7" t="n"/>
      <c r="G31" s="8">
        <f>IF(AND(D31="",E31=""),F31,G30+IF(D31="",0,D31)-IF(E31="",0,E31))</f>
        <v/>
      </c>
    </row>
    <row r="32">
      <c r="A32" s="3" t="inlineStr">
        <is>
          <t>Hang Seng Current Account</t>
        </is>
      </c>
      <c r="B32" s="4" t="n">
        <v>45874</v>
      </c>
      <c r="C32" s="3" t="inlineStr">
        <is>
          <t>CMBWLB MERCHANT PYMT HD12580548858966 05AUG</t>
        </is>
      </c>
      <c r="D32" s="5" t="n">
        <v>4160.68</v>
      </c>
      <c r="E32" s="6" t="n"/>
      <c r="F32" s="7" t="n"/>
      <c r="G32" s="8">
        <f>IF(AND(D32="",E32=""),F32,G31+IF(D32="",0,D32)-IF(E32="",0,E32))</f>
        <v/>
      </c>
    </row>
    <row r="33">
      <c r="A33" s="3" t="inlineStr">
        <is>
          <t>Hang Seng Current Account</t>
        </is>
      </c>
      <c r="B33" s="4" t="n">
        <v>45874</v>
      </c>
      <c r="C33" s="3" t="inlineStr">
        <is>
          <t>CMBWLB MERCHANT PYMT HD12580548861308 05AUG</t>
        </is>
      </c>
      <c r="D33" s="5" t="n">
        <v>996.61</v>
      </c>
      <c r="E33" s="6" t="n"/>
      <c r="F33" s="7" t="n"/>
      <c r="G33" s="8">
        <f>IF(AND(D33="",E33=""),F33,G32+IF(D33="",0,D33)-IF(E33="",0,E33))</f>
        <v/>
      </c>
    </row>
    <row r="34">
      <c r="A34" s="3" t="inlineStr">
        <is>
          <t>Hang Seng Current Account</t>
        </is>
      </c>
      <c r="B34" s="4" t="n">
        <v>45874</v>
      </c>
      <c r="C34" s="3" t="inlineStr">
        <is>
          <t>CMBWLB MERCHANT PYMT HD12580548864610 05AUG</t>
        </is>
      </c>
      <c r="D34" s="5" t="n">
        <v>28781.37</v>
      </c>
      <c r="E34" s="6" t="n"/>
      <c r="F34" s="7" t="n">
        <v>507408.79</v>
      </c>
      <c r="G34" s="8">
        <f>IF(AND(D34="",E34=""),F34,G33+IF(D34="",0,D34)-IF(E34="",0,E34))</f>
        <v/>
      </c>
    </row>
    <row r="35">
      <c r="A35" s="3" t="inlineStr">
        <is>
          <t>Hang Seng Current Account</t>
        </is>
      </c>
      <c r="B35" s="4" t="n">
        <v>45875</v>
      </c>
      <c r="C35" s="3" t="inlineStr">
        <is>
          <t>CHEQUE 809172</t>
        </is>
      </c>
      <c r="D35" s="5" t="n"/>
      <c r="E35" s="6" t="n">
        <v>483</v>
      </c>
      <c r="F35" s="7" t="n"/>
      <c r="G35" s="8">
        <f>IF(AND(D35="",E35=""),F35,G34+IF(D35="",0,D35)-IF(E35="",0,E35))</f>
        <v/>
      </c>
    </row>
    <row r="36">
      <c r="A36" s="3" t="inlineStr">
        <is>
          <t>Hang Seng Current Account</t>
        </is>
      </c>
      <c r="B36" s="4" t="n">
        <v>45875</v>
      </c>
      <c r="C36" s="3" t="inlineStr">
        <is>
          <t>CHEQUE 809146</t>
        </is>
      </c>
      <c r="D36" s="5" t="n"/>
      <c r="E36" s="6" t="n">
        <v>1100</v>
      </c>
      <c r="F36" s="7" t="n"/>
      <c r="G36" s="8">
        <f>IF(AND(D36="",E36=""),F36,G35+IF(D36="",0,D36)-IF(E36="",0,E36))</f>
        <v/>
      </c>
    </row>
    <row r="37">
      <c r="A37" s="3" t="inlineStr">
        <is>
          <t>Hang Seng Current Account</t>
        </is>
      </c>
      <c r="B37" s="4" t="n">
        <v>45875</v>
      </c>
      <c r="C37" s="3" t="inlineStr">
        <is>
          <t>CHEQUE 809153</t>
        </is>
      </c>
      <c r="D37" s="5" t="n"/>
      <c r="E37" s="6" t="n">
        <v>1785</v>
      </c>
      <c r="F37" s="7" t="n"/>
      <c r="G37" s="8">
        <f>IF(AND(D37="",E37=""),F37,G36+IF(D37="",0,D37)-IF(E37="",0,E37))</f>
        <v/>
      </c>
    </row>
    <row r="38">
      <c r="A38" s="3" t="inlineStr">
        <is>
          <t>Hang Seng Current Account</t>
        </is>
      </c>
      <c r="B38" s="4" t="n">
        <v>45875</v>
      </c>
      <c r="C38" s="3" t="inlineStr">
        <is>
          <t>CHEQUE 809151</t>
        </is>
      </c>
      <c r="D38" s="5" t="n"/>
      <c r="E38" s="6" t="n">
        <v>1950</v>
      </c>
      <c r="F38" s="7" t="n"/>
      <c r="G38" s="8">
        <f>IF(AND(D38="",E38=""),F38,G37+IF(D38="",0,D38)-IF(E38="",0,E38))</f>
        <v/>
      </c>
    </row>
    <row r="39">
      <c r="A39" s="3" t="inlineStr">
        <is>
          <t>Hang Seng Current Account</t>
        </is>
      </c>
      <c r="B39" s="4" t="n">
        <v>45875</v>
      </c>
      <c r="C39" s="3" t="inlineStr">
        <is>
          <t>CHEQUE 809148</t>
        </is>
      </c>
      <c r="D39" s="5" t="n"/>
      <c r="E39" s="6" t="n">
        <v>2340</v>
      </c>
      <c r="F39" s="7" t="n"/>
      <c r="G39" s="8">
        <f>IF(AND(D39="",E39=""),F39,G38+IF(D39="",0,D39)-IF(E39="",0,E39))</f>
        <v/>
      </c>
    </row>
    <row r="40">
      <c r="A40" s="3" t="inlineStr">
        <is>
          <t>Hang Seng Current Account</t>
        </is>
      </c>
      <c r="B40" s="4" t="n">
        <v>45875</v>
      </c>
      <c r="C40" s="3" t="inlineStr">
        <is>
          <t>CHEQUE 809154</t>
        </is>
      </c>
      <c r="D40" s="5" t="n"/>
      <c r="E40" s="6" t="n">
        <v>2625</v>
      </c>
      <c r="F40" s="7" t="n"/>
      <c r="G40" s="8">
        <f>IF(AND(D40="",E40=""),F40,G39+IF(D40="",0,D40)-IF(E40="",0,E40))</f>
        <v/>
      </c>
    </row>
    <row r="41">
      <c r="A41" s="3" t="inlineStr">
        <is>
          <t>Hang Seng Current Account</t>
        </is>
      </c>
      <c r="B41" s="4" t="n">
        <v>45875</v>
      </c>
      <c r="C41" s="3" t="inlineStr">
        <is>
          <t>CHEQUE 809142</t>
        </is>
      </c>
      <c r="D41" s="5" t="n"/>
      <c r="E41" s="6" t="n">
        <v>3465</v>
      </c>
      <c r="F41" s="7" t="n"/>
      <c r="G41" s="8">
        <f>IF(AND(D41="",E41=""),F41,G40+IF(D41="",0,D41)-IF(E41="",0,E41))</f>
        <v/>
      </c>
    </row>
    <row r="42">
      <c r="A42" s="3" t="inlineStr">
        <is>
          <t>Hang Seng Current Account</t>
        </is>
      </c>
      <c r="B42" s="4" t="n">
        <v>45875</v>
      </c>
      <c r="C42" s="3" t="inlineStr">
        <is>
          <t>CHEQUE 809150</t>
        </is>
      </c>
      <c r="D42" s="5" t="n"/>
      <c r="E42" s="6" t="n">
        <v>3555</v>
      </c>
      <c r="F42" s="7" t="n"/>
      <c r="G42" s="8">
        <f>IF(AND(D42="",E42=""),F42,G41+IF(D42="",0,D42)-IF(E42="",0,E42))</f>
        <v/>
      </c>
    </row>
    <row r="43">
      <c r="A43" s="3" t="inlineStr">
        <is>
          <t>Hang Seng Current Account</t>
        </is>
      </c>
      <c r="B43" s="4" t="n">
        <v>45875</v>
      </c>
      <c r="C43" s="3" t="inlineStr">
        <is>
          <t>CHEQUE 809175</t>
        </is>
      </c>
      <c r="D43" s="5" t="n"/>
      <c r="E43" s="6" t="n">
        <v>3595</v>
      </c>
      <c r="F43" s="7" t="n"/>
      <c r="G43" s="8">
        <f>IF(AND(D43="",E43=""),F43,G42+IF(D43="",0,D43)-IF(E43="",0,E43))</f>
        <v/>
      </c>
    </row>
    <row r="44">
      <c r="A44" s="3" t="inlineStr">
        <is>
          <t>Hang Seng Current Account</t>
        </is>
      </c>
      <c r="B44" s="4" t="n">
        <v>45875</v>
      </c>
      <c r="C44" s="3" t="inlineStr">
        <is>
          <t>CHEQUE 809140</t>
        </is>
      </c>
      <c r="D44" s="5" t="n"/>
      <c r="E44" s="6" t="n">
        <v>4080</v>
      </c>
      <c r="F44" s="7" t="n"/>
      <c r="G44" s="8">
        <f>IF(AND(D44="",E44=""),F44,G43+IF(D44="",0,D44)-IF(E44="",0,E44))</f>
        <v/>
      </c>
    </row>
    <row r="45">
      <c r="A45" s="3" t="inlineStr">
        <is>
          <t>Hang Seng Current Account</t>
        </is>
      </c>
      <c r="B45" s="4" t="n">
        <v>45875</v>
      </c>
      <c r="C45" s="3" t="inlineStr">
        <is>
          <t>CHEQUE 809141</t>
        </is>
      </c>
      <c r="D45" s="5" t="n"/>
      <c r="E45" s="6" t="n">
        <v>4095</v>
      </c>
      <c r="F45" s="7" t="n"/>
      <c r="G45" s="8">
        <f>IF(AND(D45="",E45=""),F45,G44+IF(D45="",0,D45)-IF(E45="",0,E45))</f>
        <v/>
      </c>
    </row>
    <row r="46">
      <c r="A46" s="3" t="inlineStr">
        <is>
          <t>Hang Seng Current Account</t>
        </is>
      </c>
      <c r="B46" s="4" t="n">
        <v>45875</v>
      </c>
      <c r="C46" s="3" t="inlineStr">
        <is>
          <t>CHEQUE 809147</t>
        </is>
      </c>
      <c r="D46" s="5" t="n"/>
      <c r="E46" s="6" t="n">
        <v>4600</v>
      </c>
      <c r="F46" s="7" t="n"/>
      <c r="G46" s="8">
        <f>IF(AND(D46="",E46=""),F46,G45+IF(D46="",0,D46)-IF(E46="",0,E46))</f>
        <v/>
      </c>
    </row>
    <row r="47">
      <c r="A47" s="3" t="inlineStr">
        <is>
          <t>Hang Seng Current Account</t>
        </is>
      </c>
      <c r="B47" s="4" t="n">
        <v>45875</v>
      </c>
      <c r="C47" s="3" t="inlineStr">
        <is>
          <t>CHEQUE 809169</t>
        </is>
      </c>
      <c r="D47" s="5" t="n"/>
      <c r="E47" s="6" t="n">
        <v>5000</v>
      </c>
      <c r="F47" s="7" t="n"/>
      <c r="G47" s="8">
        <f>IF(AND(D47="",E47=""),F47,G46+IF(D47="",0,D47)-IF(E47="",0,E47))</f>
        <v/>
      </c>
    </row>
    <row r="48">
      <c r="A48" s="3" t="inlineStr">
        <is>
          <t>Hang Seng Current Account</t>
        </is>
      </c>
      <c r="B48" s="4" t="n">
        <v>45875</v>
      </c>
      <c r="C48" s="3" t="inlineStr">
        <is>
          <t>CHEQUE 809137</t>
        </is>
      </c>
      <c r="D48" s="5" t="n"/>
      <c r="E48" s="6" t="n">
        <v>6949.25</v>
      </c>
      <c r="F48" s="7" t="n"/>
      <c r="G48" s="8">
        <f>IF(AND(D48="",E48=""),F48,G47+IF(D48="",0,D48)-IF(E48="",0,E48))</f>
        <v/>
      </c>
    </row>
    <row r="49">
      <c r="A49" s="3" t="inlineStr">
        <is>
          <t>Hang Seng Current Account</t>
        </is>
      </c>
      <c r="B49" s="4" t="n">
        <v>45875</v>
      </c>
      <c r="C49" s="3" t="inlineStr">
        <is>
          <t>CHEQUE 809162</t>
        </is>
      </c>
      <c r="D49" s="5" t="n"/>
      <c r="E49" s="6" t="n">
        <v>9165.120000000001</v>
      </c>
      <c r="F49" s="7" t="n"/>
      <c r="G49" s="8">
        <f>IF(AND(D49="",E49=""),F49,G48+IF(D49="",0,D49)-IF(E49="",0,E49))</f>
        <v/>
      </c>
    </row>
    <row r="50">
      <c r="A50" s="3" t="inlineStr">
        <is>
          <t>Hang Seng Current Account</t>
        </is>
      </c>
      <c r="B50" s="4" t="n">
        <v>45875</v>
      </c>
      <c r="C50" s="3" t="inlineStr">
        <is>
          <t>CHEQUE 809152</t>
        </is>
      </c>
      <c r="D50" s="5" t="n"/>
      <c r="E50" s="6" t="n">
        <v>9675.75</v>
      </c>
      <c r="F50" s="7" t="n"/>
      <c r="G50" s="8">
        <f>IF(AND(D50="",E50=""),F50,G49+IF(D50="",0,D50)-IF(E50="",0,E50))</f>
        <v/>
      </c>
    </row>
    <row r="51">
      <c r="A51" s="3" t="inlineStr">
        <is>
          <t>Hang Seng Current Account</t>
        </is>
      </c>
      <c r="B51" s="4" t="n">
        <v>45875</v>
      </c>
      <c r="C51" s="3" t="inlineStr">
        <is>
          <t>CHEQUE 809171</t>
        </is>
      </c>
      <c r="D51" s="5" t="n"/>
      <c r="E51" s="6" t="n">
        <v>10309.5</v>
      </c>
      <c r="F51" s="7" t="n"/>
      <c r="G51" s="8">
        <f>IF(AND(D51="",E51=""),F51,G50+IF(D51="",0,D51)-IF(E51="",0,E51))</f>
        <v/>
      </c>
    </row>
    <row r="52">
      <c r="A52" s="3" t="inlineStr">
        <is>
          <t>Hang Seng Current Account</t>
        </is>
      </c>
      <c r="B52" s="4" t="n">
        <v>45875</v>
      </c>
      <c r="C52" s="3" t="inlineStr">
        <is>
          <t>CHEQUE 809145</t>
        </is>
      </c>
      <c r="D52" s="5" t="n"/>
      <c r="E52" s="6" t="n">
        <v>14022</v>
      </c>
      <c r="F52" s="7" t="n"/>
      <c r="G52" s="8">
        <f>IF(AND(D52="",E52=""),F52,G51+IF(D52="",0,D52)-IF(E52="",0,E52))</f>
        <v/>
      </c>
    </row>
    <row r="53">
      <c r="A53" s="3" t="inlineStr">
        <is>
          <t>Hang Seng Current Account</t>
        </is>
      </c>
      <c r="B53" s="4" t="n">
        <v>45875</v>
      </c>
      <c r="C53" s="3" t="inlineStr">
        <is>
          <t>CHEQUE 809135</t>
        </is>
      </c>
      <c r="D53" s="5" t="n"/>
      <c r="E53" s="6" t="n">
        <v>14385</v>
      </c>
      <c r="F53" s="7" t="n"/>
      <c r="G53" s="8">
        <f>IF(AND(D53="",E53=""),F53,G52+IF(D53="",0,D53)-IF(E53="",0,E53))</f>
        <v/>
      </c>
    </row>
    <row r="54">
      <c r="A54" s="3" t="inlineStr">
        <is>
          <t>Hang Seng Current Account</t>
        </is>
      </c>
      <c r="B54" s="4" t="n">
        <v>45875</v>
      </c>
      <c r="C54" s="3" t="inlineStr">
        <is>
          <t>CHEQUE 809167</t>
        </is>
      </c>
      <c r="D54" s="5" t="n"/>
      <c r="E54" s="6" t="n">
        <v>17100</v>
      </c>
      <c r="F54" s="7" t="n"/>
      <c r="G54" s="8">
        <f>IF(AND(D54="",E54=""),F54,G53+IF(D54="",0,D54)-IF(E54="",0,E54))</f>
        <v/>
      </c>
    </row>
    <row r="55">
      <c r="A55" s="3" t="inlineStr">
        <is>
          <t>Hang Seng Current Account</t>
        </is>
      </c>
      <c r="B55" s="4" t="n">
        <v>45875</v>
      </c>
      <c r="C55" s="3" t="inlineStr">
        <is>
          <t>CMBWLB MERCHANT PYMT HD12580651433739 06AUG</t>
        </is>
      </c>
      <c r="D55" s="5" t="n">
        <v>3068.11</v>
      </c>
      <c r="E55" s="6" t="n"/>
      <c r="F55" s="7" t="n">
        <v>390197.28</v>
      </c>
      <c r="G55" s="8">
        <f>IF(AND(D55="",E55=""),F55,G54+IF(D55="",0,D55)-IF(E55="",0,E55))</f>
        <v/>
      </c>
    </row>
    <row r="56">
      <c r="A56" s="3" t="inlineStr">
        <is>
          <t>Hang Seng Current Account</t>
        </is>
      </c>
      <c r="B56" s="4" t="n">
        <v>45876</v>
      </c>
      <c r="C56" s="3" t="inlineStr">
        <is>
          <t>CHEQUE 809139</t>
        </is>
      </c>
      <c r="D56" s="5" t="n"/>
      <c r="E56" s="6" t="n">
        <v>6992</v>
      </c>
      <c r="F56" s="7" t="n"/>
      <c r="G56" s="8">
        <f>IF(AND(D56="",E56=""),F56,G55+IF(D56="",0,D56)-IF(E56="",0,E56))</f>
        <v/>
      </c>
    </row>
    <row r="57">
      <c r="A57" s="3" t="inlineStr">
        <is>
          <t>Hang Seng Current Account</t>
        </is>
      </c>
      <c r="B57" s="4" t="n">
        <v>45876</v>
      </c>
      <c r="C57" s="3" t="inlineStr">
        <is>
          <t>CHEQUE 809173</t>
        </is>
      </c>
      <c r="D57" s="5" t="n"/>
      <c r="E57" s="6" t="n">
        <v>8575</v>
      </c>
      <c r="F57" s="7" t="n"/>
      <c r="G57" s="8">
        <f>IF(AND(D57="",E57=""),F57,G56+IF(D57="",0,D57)-IF(E57="",0,E57))</f>
        <v/>
      </c>
    </row>
    <row r="58">
      <c r="A58" s="3" t="inlineStr">
        <is>
          <t>Hang Seng Current Account</t>
        </is>
      </c>
      <c r="B58" s="4" t="n">
        <v>45876</v>
      </c>
      <c r="C58" s="3" t="inlineStr">
        <is>
          <t>CMBWLB MERCHANT PYMT HD12580754702100 07AUG</t>
        </is>
      </c>
      <c r="D58" s="5" t="n">
        <v>343.63</v>
      </c>
      <c r="E58" s="6" t="n"/>
      <c r="F58" s="7" t="n"/>
      <c r="G58" s="8">
        <f>IF(AND(D58="",E58=""),F58,G57+IF(D58="",0,D58)-IF(E58="",0,E58))</f>
        <v/>
      </c>
    </row>
    <row r="59">
      <c r="A59" s="3" t="inlineStr">
        <is>
          <t>Hang Seng Current Account</t>
        </is>
      </c>
      <c r="B59" s="4" t="n">
        <v>45876</v>
      </c>
      <c r="C59" s="3" t="inlineStr">
        <is>
          <t>CMBWLB MERCHANT PYMT HD12580754710698 07AUG</t>
        </is>
      </c>
      <c r="D59" s="5" t="n">
        <v>3766.14</v>
      </c>
      <c r="E59" s="6" t="n"/>
      <c r="F59" s="7" t="n"/>
      <c r="G59" s="8">
        <f>IF(AND(D59="",E59=""),F59,G58+IF(D59="",0,D59)-IF(E59="",0,E59))</f>
        <v/>
      </c>
    </row>
    <row r="60">
      <c r="A60" s="3" t="inlineStr">
        <is>
          <t>Hang Seng Current Account</t>
        </is>
      </c>
      <c r="B60" s="4" t="n">
        <v>45876</v>
      </c>
      <c r="C60" s="3" t="inlineStr">
        <is>
          <t>CMBWLB MERCHANT PYMT HD12580754715179 07AUG</t>
        </is>
      </c>
      <c r="D60" s="5" t="n">
        <v>1592.79</v>
      </c>
      <c r="E60" s="6" t="n"/>
      <c r="F60" s="7" t="n"/>
      <c r="G60" s="8">
        <f>IF(AND(D60="",E60=""),F60,G59+IF(D60="",0,D60)-IF(E60="",0,E60))</f>
        <v/>
      </c>
    </row>
    <row r="61">
      <c r="A61" s="3" t="inlineStr">
        <is>
          <t>Hang Seng Current Account</t>
        </is>
      </c>
      <c r="B61" s="4" t="n">
        <v>45876</v>
      </c>
      <c r="C61" s="3" t="inlineStr">
        <is>
          <t>CMBWLB MERCHANT PYMT HD12580754719773 07AUG</t>
        </is>
      </c>
      <c r="D61" s="5" t="n">
        <v>10001.35</v>
      </c>
      <c r="E61" s="6" t="n"/>
      <c r="F61" s="7" t="n">
        <v>390334.19</v>
      </c>
      <c r="G61" s="8">
        <f>IF(AND(D61="",E61=""),F61,G60+IF(D61="",0,D61)-IF(E61="",0,E61))</f>
        <v/>
      </c>
    </row>
    <row r="62">
      <c r="A62" s="3" t="inlineStr">
        <is>
          <t>Hang Seng Current Account</t>
        </is>
      </c>
      <c r="B62" s="4" t="n">
        <v>45877</v>
      </c>
      <c r="C62" s="3" t="inlineStr">
        <is>
          <t>CMBWLB MERCHANT PYMT HD12580857960490 08AUG</t>
        </is>
      </c>
      <c r="D62" s="5" t="n">
        <v>4032.39</v>
      </c>
      <c r="E62" s="6" t="n"/>
      <c r="F62" s="7" t="n"/>
      <c r="G62" s="8">
        <f>IF(AND(D62="",E62=""),F62,G61+IF(D62="",0,D62)-IF(E62="",0,E62))</f>
        <v/>
      </c>
    </row>
    <row r="63">
      <c r="A63" s="3" t="inlineStr">
        <is>
          <t>Hang Seng Current Account</t>
        </is>
      </c>
      <c r="B63" s="4" t="n">
        <v>45877</v>
      </c>
      <c r="C63" s="3" t="inlineStr">
        <is>
          <t>CMBWLB MERCHANT PYMT HD12580857964163 08AUG</t>
        </is>
      </c>
      <c r="D63" s="5" t="n">
        <v>2904.6</v>
      </c>
      <c r="E63" s="6" t="n"/>
      <c r="F63" s="7" t="n"/>
      <c r="G63" s="8">
        <f>IF(AND(D63="",E63=""),F63,G62+IF(D63="",0,D63)-IF(E63="",0,E63))</f>
        <v/>
      </c>
    </row>
    <row r="64">
      <c r="A64" s="3" t="inlineStr">
        <is>
          <t>Hang Seng Current Account</t>
        </is>
      </c>
      <c r="B64" s="4" t="n">
        <v>45877</v>
      </c>
      <c r="C64" s="3" t="inlineStr">
        <is>
          <t>CMBWLB MERCHANT PYMT HD12580857968327 08AUG</t>
        </is>
      </c>
      <c r="D64" s="5" t="n">
        <v>10888.35</v>
      </c>
      <c r="E64" s="6" t="n"/>
      <c r="F64" s="7" t="n"/>
      <c r="G64" s="8">
        <f>IF(AND(D64="",E64=""),F64,G63+IF(D64="",0,D64)-IF(E64="",0,E64))</f>
        <v/>
      </c>
    </row>
    <row r="65">
      <c r="A65" s="3" t="inlineStr">
        <is>
          <t>Hang Seng Current Account</t>
        </is>
      </c>
      <c r="B65" s="4" t="n">
        <v>45877</v>
      </c>
      <c r="C65" s="3" t="inlineStr">
        <is>
          <t>CMBWLB MERCHANT PYMT HD12580857973050 08AUG</t>
        </is>
      </c>
      <c r="D65" s="5" t="n">
        <v>166.43</v>
      </c>
      <c r="E65" s="6" t="n"/>
      <c r="F65" s="7" t="n">
        <v>408325.96</v>
      </c>
      <c r="G65" s="8">
        <f>IF(AND(D65="",E65=""),F65,G64+IF(D65="",0,D65)-IF(E65="",0,E65))</f>
        <v/>
      </c>
    </row>
    <row r="66">
      <c r="A66" s="3" t="inlineStr">
        <is>
          <t>Hang Seng Current Account</t>
        </is>
      </c>
      <c r="B66" s="4" t="n">
        <v>45878</v>
      </c>
      <c r="C66" s="3" t="inlineStr">
        <is>
          <t>FROM HALFWAY COFFEE N80921942684(09AUG25)</t>
        </is>
      </c>
      <c r="D66" s="5" t="n">
        <v>300000</v>
      </c>
      <c r="E66" s="6" t="n"/>
      <c r="F66" s="7" t="n">
        <v>708325.96</v>
      </c>
      <c r="G66" s="8">
        <f>IF(AND(D66="",E66=""),F66,G65+IF(D66="",0,D66)-IF(E66="",0,E66))</f>
        <v/>
      </c>
    </row>
    <row r="67">
      <c r="A67" s="3" t="inlineStr">
        <is>
          <t>Hang Seng Current Account</t>
        </is>
      </c>
      <c r="B67" s="4" t="n">
        <v>45880</v>
      </c>
      <c r="C67" s="3" t="inlineStr">
        <is>
          <t>CHEQUE 809143</t>
        </is>
      </c>
      <c r="D67" s="5" t="n"/>
      <c r="E67" s="6" t="n">
        <v>735</v>
      </c>
      <c r="F67" s="7" t="n"/>
      <c r="G67" s="8">
        <f>IF(AND(D67="",E67=""),F67,G66+IF(D67="",0,D67)-IF(E67="",0,E67))</f>
        <v/>
      </c>
    </row>
    <row r="68">
      <c r="A68" s="3" t="inlineStr">
        <is>
          <t>Hang Seng Current Account</t>
        </is>
      </c>
      <c r="B68" s="4" t="n">
        <v>45880</v>
      </c>
      <c r="C68" s="3" t="inlineStr">
        <is>
          <t>CHEQUE 809136</t>
        </is>
      </c>
      <c r="D68" s="5" t="n"/>
      <c r="E68" s="6" t="n">
        <v>4590</v>
      </c>
      <c r="F68" s="7" t="n"/>
      <c r="G68" s="8">
        <f>IF(AND(D68="",E68=""),F68,G67+IF(D68="",0,D68)-IF(E68="",0,E68))</f>
        <v/>
      </c>
    </row>
    <row r="69">
      <c r="A69" s="3" t="inlineStr">
        <is>
          <t>Hang Seng Current Account</t>
        </is>
      </c>
      <c r="B69" s="4" t="n">
        <v>45880</v>
      </c>
      <c r="C69" s="3" t="inlineStr">
        <is>
          <t>CHEQUE 809177</t>
        </is>
      </c>
      <c r="D69" s="5" t="n"/>
      <c r="E69" s="6" t="n">
        <v>14905</v>
      </c>
      <c r="F69" s="7" t="n"/>
      <c r="G69" s="8">
        <f>IF(AND(D69="",E69=""),F69,G68+IF(D69="",0,D69)-IF(E69="",0,E69))</f>
        <v/>
      </c>
    </row>
    <row r="70">
      <c r="A70" s="3" t="inlineStr">
        <is>
          <t>Hang Seng Current Account</t>
        </is>
      </c>
      <c r="B70" s="4" t="n">
        <v>45880</v>
      </c>
      <c r="C70" s="3" t="inlineStr">
        <is>
          <t>CMBWLB MERCHANT PYMT HD12581063138293 10AUG</t>
        </is>
      </c>
      <c r="D70" s="5" t="n">
        <v>841.9400000000001</v>
      </c>
      <c r="E70" s="6" t="n"/>
      <c r="F70" s="7" t="n"/>
      <c r="G70" s="8">
        <f>IF(AND(D70="",E70=""),F70,G69+IF(D70="",0,D70)-IF(E70="",0,E70))</f>
        <v/>
      </c>
    </row>
    <row r="71">
      <c r="A71" s="3" t="inlineStr">
        <is>
          <t>Hang Seng Current Account</t>
        </is>
      </c>
      <c r="B71" s="4" t="n">
        <v>45880</v>
      </c>
      <c r="C71" s="3" t="inlineStr">
        <is>
          <t>CMBWLB MERCHANT PYMT HD12581063138331 10AUG</t>
        </is>
      </c>
      <c r="D71" s="5" t="n">
        <v>3229.66</v>
      </c>
      <c r="E71" s="6" t="n"/>
      <c r="F71" s="7" t="n"/>
      <c r="G71" s="8">
        <f>IF(AND(D71="",E71=""),F71,G70+IF(D71="",0,D71)-IF(E71="",0,E71))</f>
        <v/>
      </c>
    </row>
    <row r="72">
      <c r="A72" s="3" t="inlineStr">
        <is>
          <t>Hang Seng Current Account</t>
        </is>
      </c>
      <c r="B72" s="4" t="n">
        <v>45880</v>
      </c>
      <c r="C72" s="3" t="inlineStr">
        <is>
          <t>CMBWLB MERCHANT PYMT HD12581063138313 10AUG</t>
        </is>
      </c>
      <c r="D72" s="5" t="n">
        <v>11252.5</v>
      </c>
      <c r="E72" s="6" t="n"/>
      <c r="F72" s="7" t="n"/>
      <c r="G72" s="8">
        <f>IF(AND(D72="",E72=""),F72,G71+IF(D72="",0,D72)-IF(E72="",0,E72))</f>
        <v/>
      </c>
    </row>
    <row r="73">
      <c r="A73" s="3" t="inlineStr">
        <is>
          <t>Hang Seng Current Account</t>
        </is>
      </c>
      <c r="B73" s="4" t="n">
        <v>45880</v>
      </c>
      <c r="C73" s="3" t="inlineStr">
        <is>
          <t>CMBWLB MERCHANT PYMT HD12581063138356 10AUG</t>
        </is>
      </c>
      <c r="D73" s="5" t="n">
        <v>8060</v>
      </c>
      <c r="E73" s="6" t="n"/>
      <c r="F73" s="7" t="n"/>
      <c r="G73" s="8">
        <f>IF(AND(D73="",E73=""),F73,G72+IF(D73="",0,D73)-IF(E73="",0,E73))</f>
        <v/>
      </c>
    </row>
    <row r="74">
      <c r="A74" s="3" t="inlineStr">
        <is>
          <t>Hang Seng Current Account</t>
        </is>
      </c>
      <c r="B74" s="4" t="n">
        <v>45880</v>
      </c>
      <c r="C74" s="3" t="inlineStr">
        <is>
          <t>CMBWLB MERCHANT PYMT HD12581063138383 10AUG</t>
        </is>
      </c>
      <c r="D74" s="5" t="n">
        <v>19416.3</v>
      </c>
      <c r="E74" s="6" t="n"/>
      <c r="F74" s="7" t="n"/>
      <c r="G74" s="8">
        <f>IF(AND(D74="",E74=""),F74,G73+IF(D74="",0,D74)-IF(E74="",0,E74))</f>
        <v/>
      </c>
    </row>
    <row r="75">
      <c r="A75" s="3" t="inlineStr">
        <is>
          <t>Hang Seng Current Account</t>
        </is>
      </c>
      <c r="B75" s="4" t="n">
        <v>45880</v>
      </c>
      <c r="C75" s="3" t="inlineStr">
        <is>
          <t>CMBWLB MERCHANT PYMT HD12581063138418 10AUG</t>
        </is>
      </c>
      <c r="D75" s="5" t="n">
        <v>326.01</v>
      </c>
      <c r="E75" s="6" t="n"/>
      <c r="F75" s="7" t="n"/>
      <c r="G75" s="8">
        <f>IF(AND(D75="",E75=""),F75,G74+IF(D75="",0,D75)-IF(E75="",0,E75))</f>
        <v/>
      </c>
    </row>
    <row r="76">
      <c r="A76" s="3" t="inlineStr">
        <is>
          <t>Hang Seng Current Account</t>
        </is>
      </c>
      <c r="B76" s="4" t="n">
        <v>45880</v>
      </c>
      <c r="C76" s="3" t="inlineStr">
        <is>
          <t>CMBWLB MERCHANT PYMT HD12581063138449 10AUG</t>
        </is>
      </c>
      <c r="D76" s="5" t="n">
        <v>4824.43</v>
      </c>
      <c r="E76" s="6" t="n"/>
      <c r="F76" s="7" t="n"/>
      <c r="G76" s="8">
        <f>IF(AND(D76="",E76=""),F76,G75+IF(D76="",0,D76)-IF(E76="",0,E76))</f>
        <v/>
      </c>
    </row>
    <row r="77">
      <c r="A77" s="3" t="inlineStr">
        <is>
          <t>Hang Seng Current Account</t>
        </is>
      </c>
      <c r="B77" s="4" t="n">
        <v>45880</v>
      </c>
      <c r="C77" s="3" t="inlineStr">
        <is>
          <t>CMBWLB MERCHANT PYMT HD12581063138491 10AUG</t>
        </is>
      </c>
      <c r="D77" s="5" t="n">
        <v>5424.55</v>
      </c>
      <c r="E77" s="6" t="n"/>
      <c r="F77" s="7" t="n">
        <v>741471.35</v>
      </c>
      <c r="G77" s="8">
        <f>IF(AND(D77="",E77=""),F77,G76+IF(D77="",0,D77)-IF(E77="",0,E77))</f>
        <v/>
      </c>
    </row>
    <row r="78">
      <c r="A78" s="3" t="inlineStr">
        <is>
          <t>Hang Seng Current Account</t>
        </is>
      </c>
      <c r="B78" s="4" t="n">
        <v>45881</v>
      </c>
      <c r="C78" s="3" t="inlineStr">
        <is>
          <t>HK BROADBAND N LTD 001082158</t>
        </is>
      </c>
      <c r="D78" s="5" t="n"/>
      <c r="E78" s="6" t="n">
        <v>370</v>
      </c>
      <c r="F78" s="7" t="n"/>
      <c r="G78" s="8">
        <f>IF(AND(D78="",E78=""),F78,G77+IF(D78="",0,D78)-IF(E78="",0,E78))</f>
        <v/>
      </c>
    </row>
    <row r="79">
      <c r="A79" s="3" t="inlineStr">
        <is>
          <t>Hang Seng Current Account</t>
        </is>
      </c>
      <c r="B79" s="4" t="n">
        <v>45881</v>
      </c>
      <c r="C79" s="3" t="inlineStr">
        <is>
          <t>CMBWLB MERCHANT PYMT HD12581268700839 12AUG</t>
        </is>
      </c>
      <c r="D79" s="5" t="n">
        <v>7559.74</v>
      </c>
      <c r="E79" s="6" t="n"/>
      <c r="F79" s="7" t="n"/>
      <c r="G79" s="8">
        <f>IF(AND(D79="",E79=""),F79,G78+IF(D79="",0,D79)-IF(E79="",0,E79))</f>
        <v/>
      </c>
    </row>
    <row r="80">
      <c r="A80" s="3" t="inlineStr">
        <is>
          <t>Hang Seng Current Account</t>
        </is>
      </c>
      <c r="B80" s="4" t="n">
        <v>45881</v>
      </c>
      <c r="C80" s="3" t="inlineStr">
        <is>
          <t>CMBWLB MERCHANT PYMT HD12581268700955 12AUG</t>
        </is>
      </c>
      <c r="D80" s="5" t="n">
        <v>35531.42</v>
      </c>
      <c r="E80" s="6" t="n"/>
      <c r="F80" s="7" t="n"/>
      <c r="G80" s="8">
        <f>IF(AND(D80="",E80=""),F80,G79+IF(D80="",0,D80)-IF(E80="",0,E80))</f>
        <v/>
      </c>
    </row>
    <row r="81">
      <c r="A81" s="3" t="inlineStr">
        <is>
          <t>Hang Seng Current Account</t>
        </is>
      </c>
      <c r="B81" s="4" t="n">
        <v>45881</v>
      </c>
      <c r="C81" s="3" t="inlineStr">
        <is>
          <t>CMBWLB MERCHANT PYMT HD12581268701153 12AUG</t>
        </is>
      </c>
      <c r="D81" s="5" t="n">
        <v>9777.120000000001</v>
      </c>
      <c r="E81" s="6" t="n"/>
      <c r="F81" s="7" t="n"/>
      <c r="G81" s="8">
        <f>IF(AND(D81="",E81=""),F81,G80+IF(D81="",0,D81)-IF(E81="",0,E81))</f>
        <v/>
      </c>
    </row>
    <row r="82">
      <c r="A82" s="3" t="inlineStr">
        <is>
          <t>Hang Seng Current Account</t>
        </is>
      </c>
      <c r="B82" s="4" t="n">
        <v>45881</v>
      </c>
      <c r="C82" s="3" t="inlineStr">
        <is>
          <t>CMBWLB MERCHANT PYMT HD12581268701456 12AUG</t>
        </is>
      </c>
      <c r="D82" s="5" t="n">
        <v>602.0700000000001</v>
      </c>
      <c r="E82" s="6" t="n"/>
      <c r="F82" s="7" t="n">
        <v>794571.7</v>
      </c>
      <c r="G82" s="8">
        <f>IF(AND(D82="",E82=""),F82,G81+IF(D82="",0,D82)-IF(E82="",0,E82))</f>
        <v/>
      </c>
    </row>
    <row r="83">
      <c r="A83" s="3" t="inlineStr">
        <is>
          <t>Hang Seng Current Account</t>
        </is>
      </c>
      <c r="B83" s="4" t="n">
        <v>45882</v>
      </c>
      <c r="C83" s="3" t="inlineStr">
        <is>
          <t>CHEQUE 809540</t>
        </is>
      </c>
      <c r="D83" s="5" t="n"/>
      <c r="E83" s="6" t="n">
        <v>500</v>
      </c>
      <c r="F83" s="7" t="n"/>
      <c r="G83" s="8">
        <f>IF(AND(D83="",E83=""),F83,G82+IF(D83="",0,D83)-IF(E83="",0,E83))</f>
        <v/>
      </c>
    </row>
    <row r="84">
      <c r="A84" s="3" t="inlineStr">
        <is>
          <t>Hang Seng Current Account</t>
        </is>
      </c>
      <c r="B84" s="4" t="n">
        <v>45882</v>
      </c>
      <c r="C84" s="3" t="inlineStr">
        <is>
          <t>CHEQUE 809179</t>
        </is>
      </c>
      <c r="D84" s="5" t="n"/>
      <c r="E84" s="6" t="n">
        <v>800</v>
      </c>
      <c r="F84" s="7" t="n"/>
      <c r="G84" s="8">
        <f>IF(AND(D84="",E84=""),F84,G83+IF(D84="",0,D84)-IF(E84="",0,E84))</f>
        <v/>
      </c>
    </row>
    <row r="85">
      <c r="A85" s="3" t="inlineStr">
        <is>
          <t>Hang Seng Current Account</t>
        </is>
      </c>
      <c r="B85" s="4" t="n">
        <v>45882</v>
      </c>
      <c r="C85" s="3" t="inlineStr">
        <is>
          <t>CHEQUE 809535</t>
        </is>
      </c>
      <c r="D85" s="5" t="n"/>
      <c r="E85" s="6" t="n">
        <v>800</v>
      </c>
      <c r="F85" s="7" t="n"/>
      <c r="G85" s="8">
        <f>IF(AND(D85="",E85=""),F85,G84+IF(D85="",0,D85)-IF(E85="",0,E85))</f>
        <v/>
      </c>
    </row>
    <row r="86">
      <c r="A86" s="3" t="inlineStr">
        <is>
          <t>Hang Seng Current Account</t>
        </is>
      </c>
      <c r="B86" s="4" t="n">
        <v>45882</v>
      </c>
      <c r="C86" s="3" t="inlineStr">
        <is>
          <t>CHEQUE 809531</t>
        </is>
      </c>
      <c r="D86" s="5" t="n"/>
      <c r="E86" s="6" t="n">
        <v>964</v>
      </c>
      <c r="F86" s="7" t="n"/>
      <c r="G86" s="8">
        <f>IF(AND(D86="",E86=""),F86,G85+IF(D86="",0,D86)-IF(E86="",0,E86))</f>
        <v/>
      </c>
    </row>
    <row r="87">
      <c r="A87" s="3" t="inlineStr">
        <is>
          <t>Hang Seng Current Account</t>
        </is>
      </c>
      <c r="B87" s="4" t="n">
        <v>45882</v>
      </c>
      <c r="C87" s="3" t="inlineStr">
        <is>
          <t>CHEQUE 809533</t>
        </is>
      </c>
      <c r="D87" s="5" t="n"/>
      <c r="E87" s="6" t="n">
        <v>6370</v>
      </c>
      <c r="F87" s="7" t="n"/>
      <c r="G87" s="8">
        <f>IF(AND(D87="",E87=""),F87,G86+IF(D87="",0,D87)-IF(E87="",0,E87))</f>
        <v/>
      </c>
    </row>
    <row r="88">
      <c r="A88" s="3" t="inlineStr">
        <is>
          <t>Hang Seng Current Account</t>
        </is>
      </c>
      <c r="B88" s="4" t="n">
        <v>45882</v>
      </c>
      <c r="C88" s="3" t="inlineStr">
        <is>
          <t>CHEQUE 809532</t>
        </is>
      </c>
      <c r="D88" s="5" t="n"/>
      <c r="E88" s="6" t="n">
        <v>11760</v>
      </c>
      <c r="F88" s="7" t="n"/>
      <c r="G88" s="8">
        <f>IF(AND(D88="",E88=""),F88,G87+IF(D88="",0,D88)-IF(E88="",0,E88))</f>
        <v/>
      </c>
    </row>
    <row r="89">
      <c r="A89" s="3" t="inlineStr">
        <is>
          <t>Hang Seng Current Account</t>
        </is>
      </c>
      <c r="B89" s="4" t="n">
        <v>45882</v>
      </c>
      <c r="C89" s="3" t="inlineStr">
        <is>
          <t>HONG KONG T (HKT) L 1125965225 13AUG</t>
        </is>
      </c>
      <c r="D89" s="5" t="n"/>
      <c r="E89" s="6" t="n">
        <v>208</v>
      </c>
      <c r="F89" s="7" t="n"/>
      <c r="G89" s="8">
        <f>IF(AND(D89="",E89=""),F89,G88+IF(D89="",0,D89)-IF(E89="",0,E89))</f>
        <v/>
      </c>
    </row>
    <row r="90">
      <c r="A90" s="3" t="inlineStr">
        <is>
          <t>Hang Seng Current Account</t>
        </is>
      </c>
      <c r="B90" s="4" t="n">
        <v>45882</v>
      </c>
      <c r="C90" s="3" t="inlineStr">
        <is>
          <t>CMBWLB MERCHANT PYMT HD12581371509826 13AUG</t>
        </is>
      </c>
      <c r="D90" s="5" t="n">
        <v>498.31</v>
      </c>
      <c r="E90" s="6" t="n"/>
      <c r="F90" s="7" t="n"/>
      <c r="G90" s="8">
        <f>IF(AND(D90="",E90=""),F90,G89+IF(D90="",0,D90)-IF(E90="",0,E90))</f>
        <v/>
      </c>
    </row>
    <row r="91">
      <c r="A91" s="3" t="inlineStr">
        <is>
          <t>Hang Seng Current Account</t>
        </is>
      </c>
      <c r="B91" s="4" t="n">
        <v>45882</v>
      </c>
      <c r="C91" s="3" t="inlineStr">
        <is>
          <t>CMBWLB MERCHANT PYMT HD12581371509855 13AUG</t>
        </is>
      </c>
      <c r="D91" s="5" t="n">
        <v>2999.57</v>
      </c>
      <c r="E91" s="6" t="n"/>
      <c r="F91" s="7" t="n"/>
      <c r="G91" s="8">
        <f>IF(AND(D91="",E91=""),F91,G90+IF(D91="",0,D91)-IF(E91="",0,E91))</f>
        <v/>
      </c>
    </row>
    <row r="92">
      <c r="A92" s="3" t="inlineStr">
        <is>
          <t>Hang Seng Current Account</t>
        </is>
      </c>
      <c r="B92" s="4" t="n">
        <v>45882</v>
      </c>
      <c r="C92" s="3" t="inlineStr">
        <is>
          <t>CMBWLB MERCHANT PYMT HD12581371510063 13AUG</t>
        </is>
      </c>
      <c r="D92" s="5" t="n">
        <v>13166.42</v>
      </c>
      <c r="E92" s="6" t="n"/>
      <c r="F92" s="7" t="n"/>
      <c r="G92" s="8">
        <f>IF(AND(D92="",E92=""),F92,G91+IF(D92="",0,D92)-IF(E92="",0,E92))</f>
        <v/>
      </c>
    </row>
    <row r="93">
      <c r="A93" s="3" t="inlineStr">
        <is>
          <t>Hang Seng Current Account</t>
        </is>
      </c>
      <c r="B93" s="4" t="n">
        <v>45882</v>
      </c>
      <c r="C93" s="3" t="inlineStr">
        <is>
          <t>CMBWLB MERCHANT PYMT HD12581371510129 13AUG</t>
        </is>
      </c>
      <c r="D93" s="5" t="n">
        <v>2700.04</v>
      </c>
      <c r="E93" s="6" t="n"/>
      <c r="F93" s="7" t="n">
        <v>792534.04</v>
      </c>
      <c r="G93" s="8">
        <f>IF(AND(D93="",E93=""),F93,G92+IF(D93="",0,D93)-IF(E93="",0,E93))</f>
        <v/>
      </c>
    </row>
    <row r="94">
      <c r="A94" s="3" t="inlineStr">
        <is>
          <t>Hang Seng Current Account</t>
        </is>
      </c>
      <c r="B94" s="4" t="n">
        <v>45883</v>
      </c>
      <c r="C94" s="3" t="inlineStr">
        <is>
          <t>CHEQUE 809180</t>
        </is>
      </c>
      <c r="D94" s="5" t="n"/>
      <c r="E94" s="6" t="n">
        <v>14057.5</v>
      </c>
      <c r="F94" s="7" t="n"/>
      <c r="G94" s="8">
        <f>IF(AND(D94="",E94=""),F94,G93+IF(D94="",0,D94)-IF(E94="",0,E94))</f>
        <v/>
      </c>
    </row>
    <row r="95">
      <c r="A95" s="3" t="inlineStr">
        <is>
          <t>Hang Seng Current Account</t>
        </is>
      </c>
      <c r="B95" s="4" t="n">
        <v>45883</v>
      </c>
      <c r="C95" s="3" t="inlineStr">
        <is>
          <t>CMBWLB MERCHANT PYMT HD12581474300602 14AUG</t>
        </is>
      </c>
      <c r="D95" s="5" t="n">
        <v>3220.86</v>
      </c>
      <c r="E95" s="6" t="n"/>
      <c r="F95" s="7" t="n"/>
      <c r="G95" s="8">
        <f>IF(AND(D95="",E95=""),F95,G94+IF(D95="",0,D95)-IF(E95="",0,E95))</f>
        <v/>
      </c>
    </row>
    <row r="96">
      <c r="A96" s="3" t="inlineStr">
        <is>
          <t>Hang Seng Current Account</t>
        </is>
      </c>
      <c r="B96" s="4" t="n">
        <v>45883</v>
      </c>
      <c r="C96" s="3" t="inlineStr">
        <is>
          <t>CMBWLB MERCHANT PYMT HD12581474302272 14AUG</t>
        </is>
      </c>
      <c r="D96" s="5" t="n">
        <v>3347.12</v>
      </c>
      <c r="E96" s="6" t="n"/>
      <c r="F96" s="7" t="n"/>
      <c r="G96" s="8">
        <f>IF(AND(D96="",E96=""),F96,G95+IF(D96="",0,D96)-IF(E96="",0,E96))</f>
        <v/>
      </c>
    </row>
    <row r="97">
      <c r="A97" s="3" t="inlineStr">
        <is>
          <t>Hang Seng Current Account</t>
        </is>
      </c>
      <c r="B97" s="4" t="n">
        <v>45883</v>
      </c>
      <c r="C97" s="3" t="inlineStr">
        <is>
          <t>CMBWLB MERCHANT PYMT HD12581474303412 14AUG</t>
        </is>
      </c>
      <c r="D97" s="5" t="n">
        <v>220.27</v>
      </c>
      <c r="E97" s="6" t="n"/>
      <c r="F97" s="7" t="n"/>
      <c r="G97" s="8">
        <f>IF(AND(D97="",E97=""),F97,G96+IF(D97="",0,D97)-IF(E97="",0,E97))</f>
        <v/>
      </c>
    </row>
    <row r="98">
      <c r="A98" s="3" t="inlineStr">
        <is>
          <t>Hang Seng Current Account</t>
        </is>
      </c>
      <c r="B98" s="4" t="n">
        <v>45883</v>
      </c>
      <c r="C98" s="3" t="inlineStr">
        <is>
          <t>CMBWLB MERCHANT PYMT HD12581474305914 14AUG</t>
        </is>
      </c>
      <c r="D98" s="5" t="n">
        <v>11151.6</v>
      </c>
      <c r="E98" s="6" t="n"/>
      <c r="F98" s="7" t="n">
        <v>796416.39</v>
      </c>
      <c r="G98" s="8">
        <f>IF(AND(D98="",E98=""),F98,G97+IF(D98="",0,D98)-IF(E98="",0,E98))</f>
        <v/>
      </c>
    </row>
    <row r="99">
      <c r="A99" s="3" t="inlineStr">
        <is>
          <t>Hang Seng Current Account</t>
        </is>
      </c>
      <c r="B99" s="4" t="n">
        <v>45884</v>
      </c>
      <c r="C99" s="3" t="inlineStr">
        <is>
          <t>CHEQUE 809543</t>
        </is>
      </c>
      <c r="D99" s="5" t="n"/>
      <c r="E99" s="6" t="n">
        <v>40000</v>
      </c>
      <c r="F99" s="7" t="n"/>
      <c r="G99" s="8">
        <f>IF(AND(D99="",E99=""),F99,G98+IF(D99="",0,D99)-IF(E99="",0,E99))</f>
        <v/>
      </c>
    </row>
    <row r="100">
      <c r="A100" s="3" t="inlineStr">
        <is>
          <t>Hang Seng Current Account</t>
        </is>
      </c>
      <c r="B100" s="4" t="n">
        <v>45884</v>
      </c>
      <c r="C100" s="3" t="inlineStr">
        <is>
          <t>CHEQUE 809541</t>
        </is>
      </c>
      <c r="D100" s="5" t="n"/>
      <c r="E100" s="6" t="n">
        <v>50000</v>
      </c>
      <c r="F100" s="7" t="n"/>
      <c r="G100" s="8">
        <f>IF(AND(D100="",E100=""),F100,G99+IF(D100="",0,D100)-IF(E100="",0,E100))</f>
        <v/>
      </c>
    </row>
    <row r="101">
      <c r="A101" s="3" t="inlineStr">
        <is>
          <t>Hang Seng Current Account</t>
        </is>
      </c>
      <c r="B101" s="4" t="n">
        <v>45884</v>
      </c>
      <c r="C101" s="3" t="inlineStr">
        <is>
          <t>CHEQUE 809542</t>
        </is>
      </c>
      <c r="D101" s="5" t="n"/>
      <c r="E101" s="6" t="n">
        <v>50000</v>
      </c>
      <c r="F101" s="7" t="n"/>
      <c r="G101" s="8">
        <f>IF(AND(D101="",E101=""),F101,G100+IF(D101="",0,D101)-IF(E101="",0,E101))</f>
        <v/>
      </c>
    </row>
    <row r="102">
      <c r="A102" s="3" t="inlineStr">
        <is>
          <t>Hang Seng Current Account</t>
        </is>
      </c>
      <c r="B102" s="4" t="n">
        <v>45884</v>
      </c>
      <c r="C102" s="3" t="inlineStr">
        <is>
          <t>CLP POWER HK LTD 82853980487 15AUG</t>
        </is>
      </c>
      <c r="D102" s="5" t="n"/>
      <c r="E102" s="6" t="n">
        <v>6636</v>
      </c>
      <c r="F102" s="7" t="n"/>
      <c r="G102" s="8">
        <f>IF(AND(D102="",E102=""),F102,G101+IF(D102="",0,D102)-IF(E102="",0,E102))</f>
        <v/>
      </c>
    </row>
    <row r="103">
      <c r="A103" s="3" t="inlineStr">
        <is>
          <t>Hang Seng Current Account</t>
        </is>
      </c>
      <c r="B103" s="4" t="n">
        <v>45884</v>
      </c>
      <c r="C103" s="3" t="inlineStr">
        <is>
          <t>CMBWLB MERCHANT PYMT HD12581576980587 15AUG</t>
        </is>
      </c>
      <c r="D103" s="5" t="n">
        <v>1835.61</v>
      </c>
      <c r="E103" s="6" t="n"/>
      <c r="F103" s="7" t="n"/>
      <c r="G103" s="8">
        <f>IF(AND(D103="",E103=""),F103,G102+IF(D103="",0,D103)-IF(E103="",0,E103))</f>
        <v/>
      </c>
    </row>
    <row r="104">
      <c r="A104" s="3" t="inlineStr">
        <is>
          <t>Hang Seng Current Account</t>
        </is>
      </c>
      <c r="B104" s="4" t="n">
        <v>45884</v>
      </c>
      <c r="C104" s="3" t="inlineStr">
        <is>
          <t>CMBWLB MERCHANT PYMT HD12581576980619 15AUG</t>
        </is>
      </c>
      <c r="D104" s="5" t="n">
        <v>2108.69</v>
      </c>
      <c r="E104" s="6" t="n"/>
      <c r="F104" s="7" t="n">
        <v>653724.6899999999</v>
      </c>
      <c r="G104" s="8">
        <f>IF(AND(D104="",E104=""),F104,G103+IF(D104="",0,D104)-IF(E104="",0,E104))</f>
        <v/>
      </c>
    </row>
    <row r="105">
      <c r="A105" s="3" t="inlineStr">
        <is>
          <t>Hang Seng Current Account</t>
        </is>
      </c>
      <c r="B105" s="4" t="n">
        <v>45887</v>
      </c>
      <c r="C105" s="3" t="inlineStr">
        <is>
          <t>CMBWLB MERCHANT PYMT HD12581781932286 17AUG</t>
        </is>
      </c>
      <c r="D105" s="5" t="n">
        <v>13152.87</v>
      </c>
      <c r="E105" s="6" t="n"/>
      <c r="F105" s="7" t="n"/>
      <c r="G105" s="8">
        <f>IF(AND(D105="",E105=""),F105,G104+IF(D105="",0,D105)-IF(E105="",0,E105))</f>
        <v/>
      </c>
    </row>
    <row r="106">
      <c r="A106" s="3" t="inlineStr">
        <is>
          <t>Hang Seng Current Account</t>
        </is>
      </c>
      <c r="B106" s="4" t="n">
        <v>45887</v>
      </c>
      <c r="C106" s="3" t="inlineStr">
        <is>
          <t>CMBWLB MERCHANT PYMT HD12581781932330 17AUG</t>
        </is>
      </c>
      <c r="D106" s="5" t="n">
        <v>190.9</v>
      </c>
      <c r="E106" s="6" t="n"/>
      <c r="F106" s="7" t="n"/>
      <c r="G106" s="8">
        <f>IF(AND(D106="",E106=""),F106,G105+IF(D106="",0,D106)-IF(E106="",0,E106))</f>
        <v/>
      </c>
    </row>
    <row r="107">
      <c r="A107" s="3" t="inlineStr">
        <is>
          <t>Hang Seng Current Account</t>
        </is>
      </c>
      <c r="B107" s="4" t="n">
        <v>45887</v>
      </c>
      <c r="C107" s="3" t="inlineStr">
        <is>
          <t>CMBWLB MERCHANT PYMT HD12581781932331 17AUG</t>
        </is>
      </c>
      <c r="D107" s="5" t="n">
        <v>4315.31</v>
      </c>
      <c r="E107" s="6" t="n"/>
      <c r="F107" s="7" t="n"/>
      <c r="G107" s="8">
        <f>IF(AND(D107="",E107=""),F107,G106+IF(D107="",0,D107)-IF(E107="",0,E107))</f>
        <v/>
      </c>
    </row>
    <row r="108">
      <c r="A108" s="3" t="inlineStr">
        <is>
          <t>Hang Seng Current Account</t>
        </is>
      </c>
      <c r="B108" s="4" t="n">
        <v>45887</v>
      </c>
      <c r="C108" s="3" t="inlineStr">
        <is>
          <t>CMBWLB MERCHANT PYMT HD12581781932342 17AUG</t>
        </is>
      </c>
      <c r="D108" s="5" t="n">
        <v>5203.29</v>
      </c>
      <c r="E108" s="6" t="n"/>
      <c r="F108" s="7" t="n"/>
      <c r="G108" s="8">
        <f>IF(AND(D108="",E108=""),F108,G107+IF(D108="",0,D108)-IF(E108="",0,E108))</f>
        <v/>
      </c>
    </row>
    <row r="109">
      <c r="A109" s="3" t="inlineStr">
        <is>
          <t>Hang Seng Current Account</t>
        </is>
      </c>
      <c r="B109" s="4" t="n">
        <v>45887</v>
      </c>
      <c r="C109" s="3" t="inlineStr">
        <is>
          <t>CMBWLB MERCHANT PYMT HD12581781932340 17AUG</t>
        </is>
      </c>
      <c r="D109" s="5" t="n">
        <v>17663.9</v>
      </c>
      <c r="E109" s="6" t="n"/>
      <c r="F109" s="7" t="n"/>
      <c r="G109" s="8">
        <f>IF(AND(D109="",E109=""),F109,G108+IF(D109="",0,D109)-IF(E109="",0,E109))</f>
        <v/>
      </c>
    </row>
    <row r="110">
      <c r="A110" s="3" t="inlineStr">
        <is>
          <t>Hang Seng Current Account</t>
        </is>
      </c>
      <c r="B110" s="4" t="n">
        <v>45887</v>
      </c>
      <c r="C110" s="3" t="inlineStr">
        <is>
          <t>CMBWLB MERCHANT PYMT HD12581781932396 17AUG</t>
        </is>
      </c>
      <c r="D110" s="5" t="n">
        <v>732.28</v>
      </c>
      <c r="E110" s="6" t="n"/>
      <c r="F110" s="7" t="n"/>
      <c r="G110" s="8">
        <f>IF(AND(D110="",E110=""),F110,G109+IF(D110="",0,D110)-IF(E110="",0,E110))</f>
        <v/>
      </c>
    </row>
    <row r="111">
      <c r="A111" s="3" t="inlineStr">
        <is>
          <t>Hang Seng Current Account</t>
        </is>
      </c>
      <c r="B111" s="4" t="n">
        <v>45887</v>
      </c>
      <c r="C111" s="3" t="inlineStr">
        <is>
          <t>CMBWLB MERCHANT PYMT HD12581781932385 17AUG</t>
        </is>
      </c>
      <c r="D111" s="5" t="n">
        <v>4475.91</v>
      </c>
      <c r="E111" s="6" t="n"/>
      <c r="F111" s="7" t="n"/>
      <c r="G111" s="8">
        <f>IF(AND(D111="",E111=""),F111,G110+IF(D111="",0,D111)-IF(E111="",0,E111))</f>
        <v/>
      </c>
    </row>
    <row r="112">
      <c r="A112" s="3" t="inlineStr">
        <is>
          <t>Hang Seng Current Account</t>
        </is>
      </c>
      <c r="B112" s="4" t="n">
        <v>45887</v>
      </c>
      <c r="C112" s="3" t="inlineStr">
        <is>
          <t>CASH WITHDRAWAL 809138</t>
        </is>
      </c>
      <c r="D112" s="5" t="n"/>
      <c r="E112" s="6" t="n">
        <v>6360</v>
      </c>
      <c r="F112" s="7" t="n">
        <v>693099.15</v>
      </c>
      <c r="G112" s="8">
        <f>IF(AND(D112="",E112=""),F112,G111+IF(D112="",0,D112)-IF(E112="",0,E112))</f>
        <v/>
      </c>
    </row>
    <row r="113">
      <c r="A113" s="3" t="inlineStr">
        <is>
          <t>Hang Seng Current Account</t>
        </is>
      </c>
      <c r="B113" s="4" t="n">
        <v>45888</v>
      </c>
      <c r="C113" s="3" t="inlineStr">
        <is>
          <t>CMBWLB MERCHANT PYMT HD12581986997205 19AUG</t>
        </is>
      </c>
      <c r="D113" s="5" t="n">
        <v>8175.47</v>
      </c>
      <c r="E113" s="6" t="n"/>
      <c r="F113" s="7" t="n"/>
      <c r="G113" s="8">
        <f>IF(AND(D113="",E113=""),F113,G112+IF(D113="",0,D113)-IF(E113="",0,E113))</f>
        <v/>
      </c>
    </row>
    <row r="114">
      <c r="A114" s="3" t="inlineStr">
        <is>
          <t>Hang Seng Current Account</t>
        </is>
      </c>
      <c r="B114" s="4" t="n">
        <v>45888</v>
      </c>
      <c r="C114" s="3" t="inlineStr">
        <is>
          <t>CMBWLB MERCHANT PYMT HD12581986997272 19AUG</t>
        </is>
      </c>
      <c r="D114" s="5" t="n">
        <v>7847.52</v>
      </c>
      <c r="E114" s="6" t="n"/>
      <c r="F114" s="7" t="n"/>
      <c r="G114" s="8">
        <f>IF(AND(D114="",E114=""),F114,G113+IF(D114="",0,D114)-IF(E114="",0,E114))</f>
        <v/>
      </c>
    </row>
    <row r="115">
      <c r="A115" s="3" t="inlineStr">
        <is>
          <t>Hang Seng Current Account</t>
        </is>
      </c>
      <c r="B115" s="4" t="n">
        <v>45888</v>
      </c>
      <c r="C115" s="3" t="inlineStr">
        <is>
          <t>CMBWLB MERCHANT PYMT HD12581986997328 19AUG</t>
        </is>
      </c>
      <c r="D115" s="5" t="n">
        <v>483.62</v>
      </c>
      <c r="E115" s="6" t="n"/>
      <c r="F115" s="7" t="n"/>
      <c r="G115" s="8">
        <f>IF(AND(D115="",E115=""),F115,G114+IF(D115="",0,D115)-IF(E115="",0,E115))</f>
        <v/>
      </c>
    </row>
    <row r="116">
      <c r="A116" s="3" t="inlineStr">
        <is>
          <t>Hang Seng Current Account</t>
        </is>
      </c>
      <c r="B116" s="4" t="n">
        <v>45888</v>
      </c>
      <c r="C116" s="3" t="inlineStr">
        <is>
          <t>CMBWLB MERCHANT PYMT HD12581986997368 19AUG</t>
        </is>
      </c>
      <c r="D116" s="5" t="n">
        <v>31636.08</v>
      </c>
      <c r="E116" s="6" t="n"/>
      <c r="F116" s="7" t="n">
        <v>741241.84</v>
      </c>
      <c r="G116" s="8">
        <f>IF(AND(D116="",E116=""),F116,G115+IF(D116="",0,D116)-IF(E116="",0,E116))</f>
        <v/>
      </c>
    </row>
    <row r="117">
      <c r="A117" s="3" t="inlineStr">
        <is>
          <t>Hang Seng Current Account</t>
        </is>
      </c>
      <c r="B117" s="4" t="n">
        <v>45889</v>
      </c>
      <c r="C117" s="3" t="inlineStr">
        <is>
          <t>CHEQUE 809174</t>
        </is>
      </c>
      <c r="D117" s="5" t="n"/>
      <c r="E117" s="6" t="n">
        <v>259</v>
      </c>
      <c r="F117" s="7" t="n"/>
      <c r="G117" s="8">
        <f>IF(AND(D117="",E117=""),F117,G116+IF(D117="",0,D117)-IF(E117="",0,E117))</f>
        <v/>
      </c>
    </row>
    <row r="118">
      <c r="A118" s="3" t="inlineStr">
        <is>
          <t>Hang Seng Current Account</t>
        </is>
      </c>
      <c r="B118" s="4" t="n">
        <v>45889</v>
      </c>
      <c r="C118" s="3" t="inlineStr">
        <is>
          <t>CMBWLB MERCHANT PYMT HD12582089753515 20AUG</t>
        </is>
      </c>
      <c r="D118" s="5" t="n">
        <v>2090.1</v>
      </c>
      <c r="E118" s="6" t="n"/>
      <c r="F118" s="7" t="n"/>
      <c r="G118" s="8">
        <f>IF(AND(D118="",E118=""),F118,G117+IF(D118="",0,D118)-IF(E118="",0,E118))</f>
        <v/>
      </c>
    </row>
    <row r="119">
      <c r="A119" s="3" t="inlineStr">
        <is>
          <t>Hang Seng Current Account</t>
        </is>
      </c>
      <c r="B119" s="4" t="n">
        <v>45889</v>
      </c>
      <c r="C119" s="3" t="inlineStr">
        <is>
          <t>CMBWLB MERCHANT PYMT HD12582089753665 20AUG</t>
        </is>
      </c>
      <c r="D119" s="5" t="n">
        <v>2233.05</v>
      </c>
      <c r="E119" s="6" t="n"/>
      <c r="F119" s="7" t="n"/>
      <c r="G119" s="8">
        <f>IF(AND(D119="",E119=""),F119,G118+IF(D119="",0,D119)-IF(E119="",0,E119))</f>
        <v/>
      </c>
    </row>
    <row r="120">
      <c r="A120" s="3" t="inlineStr">
        <is>
          <t>Hang Seng Current Account</t>
        </is>
      </c>
      <c r="B120" s="4" t="n">
        <v>45889</v>
      </c>
      <c r="C120" s="3" t="inlineStr">
        <is>
          <t>CMBWLB MERCHANT PYMT HD12582089753826 20AUG</t>
        </is>
      </c>
      <c r="D120" s="5" t="n">
        <v>5794.63</v>
      </c>
      <c r="E120" s="6" t="n"/>
      <c r="F120" s="7" t="n"/>
      <c r="G120" s="8">
        <f>IF(AND(D120="",E120=""),F120,G119+IF(D120="",0,D120)-IF(E120="",0,E120))</f>
        <v/>
      </c>
    </row>
    <row r="121">
      <c r="A121" s="3" t="inlineStr">
        <is>
          <t>Hang Seng Current Account</t>
        </is>
      </c>
      <c r="B121" s="4" t="n">
        <v>45889</v>
      </c>
      <c r="C121" s="3" t="inlineStr">
        <is>
          <t>CMBWLB MERCHANT PYMT HD12582089754026 20AUG</t>
        </is>
      </c>
      <c r="D121" s="5" t="n">
        <v>93</v>
      </c>
      <c r="E121" s="6" t="n"/>
      <c r="F121" s="7" t="n">
        <v>751193.62</v>
      </c>
      <c r="G121" s="8">
        <f>IF(AND(D121="",E121=""),F121,G120+IF(D121="",0,D121)-IF(E121="",0,E121))</f>
        <v/>
      </c>
    </row>
    <row r="122">
      <c r="A122" s="3" t="inlineStr">
        <is>
          <t>Hang Seng Current Account</t>
        </is>
      </c>
      <c r="B122" s="4" t="n">
        <v>45890</v>
      </c>
      <c r="C122" s="3" t="inlineStr">
        <is>
          <t>WECHAT PAY HONG KONG HD12582192367361 21AUG</t>
        </is>
      </c>
      <c r="D122" s="5" t="n">
        <v>168</v>
      </c>
      <c r="E122" s="6" t="n"/>
      <c r="F122" s="7" t="n"/>
      <c r="G122" s="8">
        <f>IF(AND(D122="",E122=""),F122,G121+IF(D122="",0,D122)-IF(E122="",0,E122))</f>
        <v/>
      </c>
    </row>
    <row r="123">
      <c r="A123" s="3" t="inlineStr">
        <is>
          <t>Hang Seng Current Account</t>
        </is>
      </c>
      <c r="B123" s="4" t="n">
        <v>45890</v>
      </c>
      <c r="C123" s="3" t="inlineStr">
        <is>
          <t>CMBWLB MERCHANT PYMT HD12582192556196 21AUG</t>
        </is>
      </c>
      <c r="D123" s="5" t="n">
        <v>4274.22</v>
      </c>
      <c r="E123" s="6" t="n"/>
      <c r="F123" s="7" t="n"/>
      <c r="G123" s="8">
        <f>IF(AND(D123="",E123=""),F123,G122+IF(D123="",0,D123)-IF(E123="",0,E123))</f>
        <v/>
      </c>
    </row>
    <row r="124">
      <c r="A124" s="3" t="inlineStr">
        <is>
          <t>Hang Seng Current Account</t>
        </is>
      </c>
      <c r="B124" s="4" t="n">
        <v>45890</v>
      </c>
      <c r="C124" s="3" t="inlineStr">
        <is>
          <t>CMBWLB MERCHANT PYMT HD12582192557383 21AUG</t>
        </is>
      </c>
      <c r="D124" s="5" t="n">
        <v>2575.69</v>
      </c>
      <c r="E124" s="6" t="n"/>
      <c r="F124" s="7" t="n"/>
      <c r="G124" s="8">
        <f>IF(AND(D124="",E124=""),F124,G123+IF(D124="",0,D124)-IF(E124="",0,E124))</f>
        <v/>
      </c>
    </row>
    <row r="125">
      <c r="A125" s="3" t="inlineStr">
        <is>
          <t>Hang Seng Current Account</t>
        </is>
      </c>
      <c r="B125" s="4" t="n">
        <v>45890</v>
      </c>
      <c r="C125" s="3" t="inlineStr">
        <is>
          <t>CMBWLB MERCHANT PYMT HD12582192558568 21AUG</t>
        </is>
      </c>
      <c r="D125" s="5" t="n">
        <v>9451.18</v>
      </c>
      <c r="E125" s="6" t="n"/>
      <c r="F125" s="7" t="n">
        <v>767662.71</v>
      </c>
      <c r="G125" s="8">
        <f>IF(AND(D125="",E125=""),F125,G124+IF(D125="",0,D125)-IF(E125="",0,E125))</f>
        <v/>
      </c>
    </row>
    <row r="126">
      <c r="A126" s="3" t="inlineStr">
        <is>
          <t>Hang Seng Current Account</t>
        </is>
      </c>
      <c r="B126" s="4" t="n">
        <v>45891</v>
      </c>
      <c r="C126" s="3" t="inlineStr">
        <is>
          <t>CHEQUE 809539</t>
        </is>
      </c>
      <c r="D126" s="5" t="n"/>
      <c r="E126" s="6" t="n">
        <v>31500</v>
      </c>
      <c r="F126" s="7" t="n"/>
      <c r="G126" s="8">
        <f>IF(AND(D126="",E126=""),F126,G125+IF(D126="",0,D126)-IF(E126="",0,E126))</f>
        <v/>
      </c>
    </row>
    <row r="127">
      <c r="A127" s="3" t="inlineStr">
        <is>
          <t>Hang Seng Current Account</t>
        </is>
      </c>
      <c r="B127" s="4" t="n">
        <v>45891</v>
      </c>
      <c r="C127" s="3" t="inlineStr">
        <is>
          <t>CHEQUE 809538</t>
        </is>
      </c>
      <c r="D127" s="5" t="n"/>
      <c r="E127" s="6" t="n">
        <v>50000</v>
      </c>
      <c r="F127" s="7" t="n"/>
      <c r="G127" s="8">
        <f>IF(AND(D127="",E127=""),F127,G126+IF(D127="",0,D127)-IF(E127="",0,E127))</f>
        <v/>
      </c>
    </row>
    <row r="128">
      <c r="A128" s="3" t="inlineStr">
        <is>
          <t>Hang Seng Current Account</t>
        </is>
      </c>
      <c r="B128" s="4" t="n">
        <v>45891</v>
      </c>
      <c r="C128" s="3" t="inlineStr">
        <is>
          <t>CMBWLB MERCHANT PYMT HD12582295413455 22AUG</t>
        </is>
      </c>
      <c r="D128" s="5" t="n">
        <v>2689.27</v>
      </c>
      <c r="E128" s="6" t="n"/>
      <c r="F128" s="7" t="n"/>
      <c r="G128" s="8">
        <f>IF(AND(D128="",E128=""),F128,G127+IF(D128="",0,D128)-IF(E128="",0,E128))</f>
        <v/>
      </c>
    </row>
    <row r="129">
      <c r="A129" s="3" t="inlineStr">
        <is>
          <t>Hang Seng Current Account</t>
        </is>
      </c>
      <c r="B129" s="4" t="n">
        <v>45891</v>
      </c>
      <c r="C129" s="3" t="inlineStr">
        <is>
          <t>CMBWLB MERCHANT PYMT HD12582295422287 22AUG</t>
        </is>
      </c>
      <c r="D129" s="5" t="n">
        <v>156.64</v>
      </c>
      <c r="E129" s="6" t="n"/>
      <c r="F129" s="7" t="n"/>
      <c r="G129" s="8">
        <f>IF(AND(D129="",E129=""),F129,G128+IF(D129="",0,D129)-IF(E129="",0,E129))</f>
        <v/>
      </c>
    </row>
    <row r="130">
      <c r="A130" s="3" t="inlineStr">
        <is>
          <t>Hang Seng Current Account</t>
        </is>
      </c>
      <c r="B130" s="4" t="n">
        <v>45891</v>
      </c>
      <c r="C130" s="3" t="inlineStr">
        <is>
          <t>CMBWLB MERCHANT PYMT HD12582295430914 22AUG</t>
        </is>
      </c>
      <c r="D130" s="5" t="n">
        <v>3293.29</v>
      </c>
      <c r="E130" s="6" t="n"/>
      <c r="F130" s="7" t="n"/>
      <c r="G130" s="8">
        <f>IF(AND(D130="",E130=""),F130,G129+IF(D130="",0,D130)-IF(E130="",0,E130))</f>
        <v/>
      </c>
    </row>
    <row r="131">
      <c r="A131" s="3" t="inlineStr">
        <is>
          <t>Hang Seng Current Account</t>
        </is>
      </c>
      <c r="B131" s="4" t="n">
        <v>45891</v>
      </c>
      <c r="C131" s="3" t="inlineStr">
        <is>
          <t>CMBWLB MERCHANT PYMT HD12582295433279 22AUG</t>
        </is>
      </c>
      <c r="D131" s="5" t="n">
        <v>11834.02</v>
      </c>
      <c r="E131" s="6" t="n"/>
      <c r="F131" s="7" t="n">
        <v>704135.9300000001</v>
      </c>
      <c r="G131" s="8">
        <f>IF(AND(D131="",E131=""),F131,G130+IF(D131="",0,D131)-IF(E131="",0,E131))</f>
        <v/>
      </c>
    </row>
    <row r="132">
      <c r="A132" s="3" t="inlineStr">
        <is>
          <t>Hang Seng Current Account</t>
        </is>
      </c>
      <c r="B132" s="4" t="n">
        <v>45894</v>
      </c>
      <c r="C132" s="3" t="inlineStr">
        <is>
          <t>CMBWLB MERCHANT PYMT HD12582400374190 24AUG</t>
        </is>
      </c>
      <c r="D132" s="5" t="n">
        <v>3667.27</v>
      </c>
      <c r="E132" s="6" t="n"/>
      <c r="F132" s="7" t="n"/>
      <c r="G132" s="8">
        <f>IF(AND(D132="",E132=""),F132,G131+IF(D132="",0,D132)-IF(E132="",0,E132))</f>
        <v/>
      </c>
    </row>
    <row r="133">
      <c r="A133" s="3" t="inlineStr">
        <is>
          <t>Hang Seng Current Account</t>
        </is>
      </c>
      <c r="B133" s="4" t="n">
        <v>45894</v>
      </c>
      <c r="C133" s="3" t="inlineStr">
        <is>
          <t>CMBWLB MERCHANT PYMT HD12582400374237 24AUG</t>
        </is>
      </c>
      <c r="D133" s="5" t="n">
        <v>846.84</v>
      </c>
      <c r="E133" s="6" t="n"/>
      <c r="F133" s="7" t="n"/>
      <c r="G133" s="8">
        <f>IF(AND(D133="",E133=""),F133,G132+IF(D133="",0,D133)-IF(E133="",0,E133))</f>
        <v/>
      </c>
    </row>
    <row r="134">
      <c r="A134" s="3" t="inlineStr">
        <is>
          <t>Hang Seng Current Account</t>
        </is>
      </c>
      <c r="B134" s="4" t="n">
        <v>45894</v>
      </c>
      <c r="C134" s="3" t="inlineStr">
        <is>
          <t>CMBWLB MERCHANT PYMT HD12582400374240 24AUG</t>
        </is>
      </c>
      <c r="D134" s="5" t="n">
        <v>5698.72</v>
      </c>
      <c r="E134" s="6" t="n"/>
      <c r="F134" s="7" t="n"/>
      <c r="G134" s="8">
        <f>IF(AND(D134="",E134=""),F134,G133+IF(D134="",0,D134)-IF(E134="",0,E134))</f>
        <v/>
      </c>
    </row>
    <row r="135">
      <c r="A135" s="3" t="inlineStr">
        <is>
          <t>Hang Seng Current Account</t>
        </is>
      </c>
      <c r="B135" s="4" t="n">
        <v>45894</v>
      </c>
      <c r="C135" s="3" t="inlineStr">
        <is>
          <t>CMBWLB MERCHANT PYMT HD12582400374282 24AUG</t>
        </is>
      </c>
      <c r="D135" s="5" t="n">
        <v>11926.07</v>
      </c>
      <c r="E135" s="6" t="n"/>
      <c r="F135" s="7" t="n"/>
      <c r="G135" s="8">
        <f>IF(AND(D135="",E135=""),F135,G134+IF(D135="",0,D135)-IF(E135="",0,E135))</f>
        <v/>
      </c>
    </row>
    <row r="136">
      <c r="A136" s="3" t="inlineStr">
        <is>
          <t>Hang Seng Current Account</t>
        </is>
      </c>
      <c r="B136" s="4" t="n">
        <v>45894</v>
      </c>
      <c r="C136" s="3" t="inlineStr">
        <is>
          <t>CMBWLB MERCHANT PYMT HD12582400374277 24AUG</t>
        </is>
      </c>
      <c r="D136" s="5" t="n">
        <v>9421.74</v>
      </c>
      <c r="E136" s="6" t="n"/>
      <c r="F136" s="7" t="n"/>
      <c r="G136" s="8">
        <f>IF(AND(D136="",E136=""),F136,G135+IF(D136="",0,D136)-IF(E136="",0,E136))</f>
        <v/>
      </c>
    </row>
    <row r="137">
      <c r="A137" s="3" t="inlineStr">
        <is>
          <t>Hang Seng Current Account</t>
        </is>
      </c>
      <c r="B137" s="4" t="n">
        <v>45894</v>
      </c>
      <c r="C137" s="3" t="inlineStr">
        <is>
          <t>CMBWLB MERCHANT PYMT HD12582400374307 24AUG</t>
        </is>
      </c>
      <c r="D137" s="5" t="n">
        <v>6354.59</v>
      </c>
      <c r="E137" s="6" t="n"/>
      <c r="F137" s="7" t="n"/>
      <c r="G137" s="8">
        <f>IF(AND(D137="",E137=""),F137,G136+IF(D137="",0,D137)-IF(E137="",0,E137))</f>
        <v/>
      </c>
    </row>
    <row r="138">
      <c r="A138" s="3" t="inlineStr">
        <is>
          <t>Hang Seng Current Account</t>
        </is>
      </c>
      <c r="B138" s="4" t="n">
        <v>45894</v>
      </c>
      <c r="C138" s="3" t="inlineStr">
        <is>
          <t>CMBWLB MERCHANT PYMT HD12582400374388 24AUG</t>
        </is>
      </c>
      <c r="D138" s="5" t="n">
        <v>20034.03</v>
      </c>
      <c r="E138" s="6" t="n"/>
      <c r="F138" s="7" t="n"/>
      <c r="G138" s="8">
        <f>IF(AND(D138="",E138=""),F138,G137+IF(D138="",0,D138)-IF(E138="",0,E138))</f>
        <v/>
      </c>
    </row>
    <row r="139">
      <c r="A139" s="3" t="inlineStr">
        <is>
          <t>Hang Seng Current Account</t>
        </is>
      </c>
      <c r="B139" s="4" t="n">
        <v>45894</v>
      </c>
      <c r="C139" s="3" t="inlineStr">
        <is>
          <t>CMBWLB MERCHANT PYMT HD12582400374416 24AUG</t>
        </is>
      </c>
      <c r="D139" s="5" t="n">
        <v>293.69</v>
      </c>
      <c r="E139" s="6" t="n"/>
      <c r="F139" s="7" t="n">
        <v>762378.88</v>
      </c>
      <c r="G139" s="8">
        <f>IF(AND(D139="",E139=""),F139,G138+IF(D139="",0,D139)-IF(E139="",0,E139))</f>
        <v/>
      </c>
    </row>
    <row r="140">
      <c r="A140" s="3" t="inlineStr">
        <is>
          <t>Hang Seng Current Account</t>
        </is>
      </c>
      <c r="B140" s="4" t="n">
        <v>45895</v>
      </c>
      <c r="C140" s="3" t="inlineStr">
        <is>
          <t>CHEQUE 809560</t>
        </is>
      </c>
      <c r="D140" s="5" t="n"/>
      <c r="E140" s="6" t="n">
        <v>782</v>
      </c>
      <c r="F140" s="7" t="n"/>
      <c r="G140" s="8">
        <f>IF(AND(D140="",E140=""),F140,G139+IF(D140="",0,D140)-IF(E140="",0,E140))</f>
        <v/>
      </c>
    </row>
    <row r="141">
      <c r="A141" s="3" t="inlineStr">
        <is>
          <t>Hang Seng Current Account</t>
        </is>
      </c>
      <c r="B141" s="4" t="n">
        <v>45895</v>
      </c>
      <c r="C141" s="3" t="inlineStr">
        <is>
          <t>CHEQUE 809546</t>
        </is>
      </c>
      <c r="D141" s="5" t="n"/>
      <c r="E141" s="6" t="n">
        <v>25029.52</v>
      </c>
      <c r="F141" s="7" t="n"/>
      <c r="G141" s="8">
        <f>IF(AND(D141="",E141=""),F141,G140+IF(D141="",0,D141)-IF(E141="",0,E141))</f>
        <v/>
      </c>
    </row>
    <row r="142">
      <c r="A142" s="3" t="inlineStr">
        <is>
          <t>Hang Seng Current Account</t>
        </is>
      </c>
      <c r="B142" s="4" t="n">
        <v>45895</v>
      </c>
      <c r="C142" s="3" t="inlineStr">
        <is>
          <t>HONG KONG T (HKT) L 1116541580 26AUG</t>
        </is>
      </c>
      <c r="D142" s="5" t="n"/>
      <c r="E142" s="6" t="n">
        <v>398</v>
      </c>
      <c r="F142" s="7" t="n"/>
      <c r="G142" s="8">
        <f>IF(AND(D142="",E142=""),F142,G141+IF(D142="",0,D142)-IF(E142="",0,E142))</f>
        <v/>
      </c>
    </row>
    <row r="143">
      <c r="A143" s="3" t="inlineStr">
        <is>
          <t>Hang Seng Current Account</t>
        </is>
      </c>
      <c r="B143" s="4" t="n">
        <v>45895</v>
      </c>
      <c r="C143" s="3" t="inlineStr">
        <is>
          <t>CMBWLB MERCHANT PYMT HD12582605783515 26AUG</t>
        </is>
      </c>
      <c r="D143" s="5" t="n">
        <v>443.48</v>
      </c>
      <c r="E143" s="6" t="n"/>
      <c r="F143" s="7" t="n"/>
      <c r="G143" s="8">
        <f>IF(AND(D143="",E143=""),F143,G142+IF(D143="",0,D143)-IF(E143="",0,E143))</f>
        <v/>
      </c>
    </row>
    <row r="144">
      <c r="A144" s="3" t="inlineStr">
        <is>
          <t>Hang Seng Current Account</t>
        </is>
      </c>
      <c r="B144" s="4" t="n">
        <v>45895</v>
      </c>
      <c r="C144" s="3" t="inlineStr">
        <is>
          <t>CMBWLB MERCHANT PYMT HD12582605783976 26AUG</t>
        </is>
      </c>
      <c r="D144" s="5" t="n">
        <v>8970.459999999999</v>
      </c>
      <c r="E144" s="6" t="n"/>
      <c r="F144" s="7" t="n"/>
      <c r="G144" s="8">
        <f>IF(AND(D144="",E144=""),F144,G143+IF(D144="",0,D144)-IF(E144="",0,E144))</f>
        <v/>
      </c>
    </row>
    <row r="145">
      <c r="A145" s="3" t="inlineStr">
        <is>
          <t>Hang Seng Current Account</t>
        </is>
      </c>
      <c r="B145" s="4" t="n">
        <v>45895</v>
      </c>
      <c r="C145" s="3" t="inlineStr">
        <is>
          <t>CMBWLB MERCHANT PYMT HD12582605783997 26AUG</t>
        </is>
      </c>
      <c r="D145" s="5" t="n">
        <v>32557.25</v>
      </c>
      <c r="E145" s="6" t="n"/>
      <c r="F145" s="7" t="n"/>
      <c r="G145" s="8">
        <f>IF(AND(D145="",E145=""),F145,G144+IF(D145="",0,D145)-IF(E145="",0,E145))</f>
        <v/>
      </c>
    </row>
    <row r="146">
      <c r="A146" s="3" t="inlineStr">
        <is>
          <t>Hang Seng Current Account</t>
        </is>
      </c>
      <c r="B146" s="4" t="n">
        <v>45895</v>
      </c>
      <c r="C146" s="3" t="inlineStr">
        <is>
          <t>CMBWLB MERCHANT PYMT HD12582605784069 26AUG</t>
        </is>
      </c>
      <c r="D146" s="5" t="n">
        <v>9169.16</v>
      </c>
      <c r="E146" s="6" t="n"/>
      <c r="F146" s="7" t="n">
        <v>787309.71</v>
      </c>
      <c r="G146" s="8">
        <f>IF(AND(D146="",E146=""),F146,G145+IF(D146="",0,D146)-IF(E146="",0,E146))</f>
        <v/>
      </c>
    </row>
    <row r="147">
      <c r="A147" s="3" t="inlineStr">
        <is>
          <t>Hang Seng Current Account</t>
        </is>
      </c>
      <c r="B147" s="4" t="n">
        <v>45896</v>
      </c>
      <c r="C147" s="3" t="inlineStr">
        <is>
          <t>CHEQUE 809544</t>
        </is>
      </c>
      <c r="D147" s="5" t="n"/>
      <c r="E147" s="6" t="n">
        <v>1200</v>
      </c>
      <c r="F147" s="7" t="n"/>
      <c r="G147" s="8">
        <f>IF(AND(D147="",E147=""),F147,G146+IF(D147="",0,D147)-IF(E147="",0,E147))</f>
        <v/>
      </c>
    </row>
    <row r="148">
      <c r="A148" s="3" t="inlineStr">
        <is>
          <t>Hang Seng Current Account</t>
        </is>
      </c>
      <c r="B148" s="4" t="n">
        <v>45896</v>
      </c>
      <c r="C148" s="3" t="inlineStr">
        <is>
          <t>CHEQUE 809552</t>
        </is>
      </c>
      <c r="D148" s="5" t="n"/>
      <c r="E148" s="6" t="n">
        <v>4320</v>
      </c>
      <c r="F148" s="7" t="n"/>
      <c r="G148" s="8">
        <f>IF(AND(D148="",E148=""),F148,G147+IF(D148="",0,D148)-IF(E148="",0,E148))</f>
        <v/>
      </c>
    </row>
    <row r="149">
      <c r="A149" s="3" t="inlineStr">
        <is>
          <t>Hang Seng Current Account</t>
        </is>
      </c>
      <c r="B149" s="4" t="n">
        <v>45896</v>
      </c>
      <c r="C149" s="3" t="inlineStr">
        <is>
          <t>CHEQUE 809556</t>
        </is>
      </c>
      <c r="D149" s="5" t="n"/>
      <c r="E149" s="6" t="n">
        <v>5220</v>
      </c>
      <c r="F149" s="7" t="n"/>
      <c r="G149" s="8">
        <f>IF(AND(D149="",E149=""),F149,G148+IF(D149="",0,D149)-IF(E149="",0,E149))</f>
        <v/>
      </c>
    </row>
    <row r="150">
      <c r="A150" s="3" t="inlineStr">
        <is>
          <t>Hang Seng Current Account</t>
        </is>
      </c>
      <c r="B150" s="4" t="n">
        <v>45896</v>
      </c>
      <c r="C150" s="3" t="inlineStr">
        <is>
          <t>CHEQUE 809548</t>
        </is>
      </c>
      <c r="D150" s="5" t="n"/>
      <c r="E150" s="6" t="n">
        <v>6372</v>
      </c>
      <c r="F150" s="7" t="n"/>
      <c r="G150" s="8">
        <f>IF(AND(D150="",E150=""),F150,G149+IF(D150="",0,D150)-IF(E150="",0,E150))</f>
        <v/>
      </c>
    </row>
    <row r="151">
      <c r="A151" s="3" t="inlineStr">
        <is>
          <t>Hang Seng Current Account</t>
        </is>
      </c>
      <c r="B151" s="4" t="n">
        <v>45896</v>
      </c>
      <c r="C151" s="3" t="inlineStr">
        <is>
          <t>CHEQUE 809553</t>
        </is>
      </c>
      <c r="D151" s="5" t="n"/>
      <c r="E151" s="6" t="n">
        <v>8940</v>
      </c>
      <c r="F151" s="7" t="n"/>
      <c r="G151" s="8">
        <f>IF(AND(D151="",E151=""),F151,G150+IF(D151="",0,D151)-IF(E151="",0,E151))</f>
        <v/>
      </c>
    </row>
    <row r="152">
      <c r="A152" s="3" t="inlineStr">
        <is>
          <t>Hang Seng Current Account</t>
        </is>
      </c>
      <c r="B152" s="4" t="n">
        <v>45896</v>
      </c>
      <c r="C152" s="3" t="inlineStr">
        <is>
          <t>CHEQUE 809549</t>
        </is>
      </c>
      <c r="D152" s="5" t="n"/>
      <c r="E152" s="6" t="n">
        <v>11240</v>
      </c>
      <c r="F152" s="7" t="n"/>
      <c r="G152" s="8">
        <f>IF(AND(D152="",E152=""),F152,G151+IF(D152="",0,D152)-IF(E152="",0,E152))</f>
        <v/>
      </c>
    </row>
    <row r="153">
      <c r="A153" s="3" t="inlineStr">
        <is>
          <t>Hang Seng Current Account</t>
        </is>
      </c>
      <c r="B153" s="4" t="n">
        <v>45896</v>
      </c>
      <c r="C153" s="3" t="inlineStr">
        <is>
          <t>CHEQUE 809550</t>
        </is>
      </c>
      <c r="D153" s="5" t="n"/>
      <c r="E153" s="6" t="n">
        <v>11725</v>
      </c>
      <c r="F153" s="7" t="n"/>
      <c r="G153" s="8">
        <f>IF(AND(D153="",E153=""),F153,G152+IF(D153="",0,D153)-IF(E153="",0,E153))</f>
        <v/>
      </c>
    </row>
    <row r="154">
      <c r="A154" s="3" t="inlineStr">
        <is>
          <t>Hang Seng Current Account</t>
        </is>
      </c>
      <c r="B154" s="4" t="n">
        <v>45896</v>
      </c>
      <c r="C154" s="3" t="inlineStr">
        <is>
          <t>CHEQUE 809545</t>
        </is>
      </c>
      <c r="D154" s="5" t="n"/>
      <c r="E154" s="6" t="n">
        <v>36034.5</v>
      </c>
      <c r="F154" s="7" t="n"/>
      <c r="G154" s="8">
        <f>IF(AND(D154="",E154=""),F154,G153+IF(D154="",0,D154)-IF(E154="",0,E154))</f>
        <v/>
      </c>
    </row>
    <row r="155">
      <c r="A155" s="3" t="inlineStr">
        <is>
          <t>Hang Seng Current Account</t>
        </is>
      </c>
      <c r="B155" s="4" t="n">
        <v>45896</v>
      </c>
      <c r="C155" s="3" t="inlineStr">
        <is>
          <t>CMBWLB MERCHANT PYMT HD12582708639240 27AUG</t>
        </is>
      </c>
      <c r="D155" s="5" t="n">
        <v>2809.65</v>
      </c>
      <c r="E155" s="6" t="n"/>
      <c r="F155" s="7" t="n"/>
      <c r="G155" s="8">
        <f>IF(AND(D155="",E155=""),F155,G154+IF(D155="",0,D155)-IF(E155="",0,E155))</f>
        <v/>
      </c>
    </row>
    <row r="156">
      <c r="A156" s="3" t="inlineStr">
        <is>
          <t>Hang Seng Current Account</t>
        </is>
      </c>
      <c r="B156" s="4" t="n">
        <v>45896</v>
      </c>
      <c r="C156" s="3" t="inlineStr">
        <is>
          <t>CMBWLB MERCHANT PYMT HD12582708645667 27AUG</t>
        </is>
      </c>
      <c r="D156" s="5" t="n">
        <v>230.06</v>
      </c>
      <c r="E156" s="6" t="n"/>
      <c r="F156" s="7" t="n"/>
      <c r="G156" s="8">
        <f>IF(AND(D156="",E156=""),F156,G155+IF(D156="",0,D156)-IF(E156="",0,E156))</f>
        <v/>
      </c>
    </row>
    <row r="157">
      <c r="A157" s="3" t="inlineStr">
        <is>
          <t>Hang Seng Current Account</t>
        </is>
      </c>
      <c r="B157" s="4" t="n">
        <v>45896</v>
      </c>
      <c r="C157" s="3" t="inlineStr">
        <is>
          <t>CMBWLB MERCHANT PYMT HD12582708660944 27AUG</t>
        </is>
      </c>
      <c r="D157" s="5" t="n">
        <v>3186.6</v>
      </c>
      <c r="E157" s="6" t="n"/>
      <c r="F157" s="7" t="n"/>
      <c r="G157" s="8">
        <f>IF(AND(D157="",E157=""),F157,G156+IF(D157="",0,D157)-IF(E157="",0,E157))</f>
        <v/>
      </c>
    </row>
    <row r="158">
      <c r="A158" s="3" t="inlineStr">
        <is>
          <t>Hang Seng Current Account</t>
        </is>
      </c>
      <c r="B158" s="4" t="n">
        <v>45896</v>
      </c>
      <c r="C158" s="3" t="inlineStr">
        <is>
          <t>CMBWLB MERCHANT PYMT HD12582708663642 27AUG</t>
        </is>
      </c>
      <c r="D158" s="5" t="n">
        <v>11382.63</v>
      </c>
      <c r="E158" s="6" t="n"/>
      <c r="F158" s="7" t="n">
        <v>719867.15</v>
      </c>
      <c r="G158" s="8">
        <f>IF(AND(D158="",E158=""),F158,G157+IF(D158="",0,D158)-IF(E158="",0,E158))</f>
        <v/>
      </c>
    </row>
    <row r="159">
      <c r="A159" s="3" t="inlineStr">
        <is>
          <t>Hang Seng Current Account</t>
        </is>
      </c>
      <c r="B159" s="4" t="n">
        <v>45897</v>
      </c>
      <c r="C159" s="3" t="inlineStr">
        <is>
          <t>CHEQUE 808046</t>
        </is>
      </c>
      <c r="D159" s="5" t="n"/>
      <c r="E159" s="6" t="n">
        <v>3320</v>
      </c>
      <c r="F159" s="7" t="n"/>
      <c r="G159" s="8">
        <f>IF(AND(D159="",E159=""),F159,G158+IF(D159="",0,D159)-IF(E159="",0,E159))</f>
        <v/>
      </c>
    </row>
    <row r="160">
      <c r="A160" s="3" t="inlineStr">
        <is>
          <t>Hang Seng Current Account</t>
        </is>
      </c>
      <c r="B160" s="4" t="n">
        <v>45897</v>
      </c>
      <c r="C160" s="3" t="inlineStr">
        <is>
          <t>CHEQUE 808044</t>
        </is>
      </c>
      <c r="D160" s="5" t="n"/>
      <c r="E160" s="6" t="n">
        <v>3600</v>
      </c>
      <c r="F160" s="7" t="n"/>
      <c r="G160" s="8">
        <f>IF(AND(D160="",E160=""),F160,G159+IF(D160="",0,D160)-IF(E160="",0,E160))</f>
        <v/>
      </c>
    </row>
    <row r="161">
      <c r="A161" s="3" t="inlineStr">
        <is>
          <t>Hang Seng Current Account</t>
        </is>
      </c>
      <c r="B161" s="4" t="n">
        <v>45897</v>
      </c>
      <c r="C161" s="3" t="inlineStr">
        <is>
          <t>CHEQUE 808045</t>
        </is>
      </c>
      <c r="D161" s="5" t="n"/>
      <c r="E161" s="6" t="n">
        <v>6920</v>
      </c>
      <c r="F161" s="7" t="n"/>
      <c r="G161" s="8">
        <f>IF(AND(D161="",E161=""),F161,G160+IF(D161="",0,D161)-IF(E161="",0,E161))</f>
        <v/>
      </c>
    </row>
    <row r="162">
      <c r="A162" s="3" t="inlineStr">
        <is>
          <t>Hang Seng Current Account</t>
        </is>
      </c>
      <c r="B162" s="4" t="n">
        <v>45897</v>
      </c>
      <c r="C162" s="3" t="inlineStr">
        <is>
          <t>CHEQUE 809558</t>
        </is>
      </c>
      <c r="D162" s="5" t="n"/>
      <c r="E162" s="6" t="n">
        <v>17924.44</v>
      </c>
      <c r="F162" s="7" t="n"/>
      <c r="G162" s="8">
        <f>IF(AND(D162="",E162=""),F162,G161+IF(D162="",0,D162)-IF(E162="",0,E162))</f>
        <v/>
      </c>
    </row>
    <row r="163">
      <c r="A163" s="3" t="inlineStr">
        <is>
          <t>Hang Seng Current Account</t>
        </is>
      </c>
      <c r="B163" s="4" t="n">
        <v>45897</v>
      </c>
      <c r="C163" s="3" t="inlineStr">
        <is>
          <t>CHEQUE 808043</t>
        </is>
      </c>
      <c r="D163" s="5" t="n"/>
      <c r="E163" s="6" t="n">
        <v>43750</v>
      </c>
      <c r="F163" s="7" t="n"/>
      <c r="G163" s="8">
        <f>IF(AND(D163="",E163=""),F163,G162+IF(D163="",0,D163)-IF(E163="",0,E163))</f>
        <v/>
      </c>
    </row>
    <row r="164">
      <c r="A164" s="3" t="inlineStr">
        <is>
          <t>Hang Seng Current Account</t>
        </is>
      </c>
      <c r="B164" s="4" t="n">
        <v>45897</v>
      </c>
      <c r="C164" s="3" t="inlineStr">
        <is>
          <t>CHEQUE 808042</t>
        </is>
      </c>
      <c r="D164" s="5" t="n"/>
      <c r="E164" s="6" t="n">
        <v>50000</v>
      </c>
      <c r="F164" s="7" t="n"/>
      <c r="G164" s="8">
        <f>IF(AND(D164="",E164=""),F164,G163+IF(D164="",0,D164)-IF(E164="",0,E164))</f>
        <v/>
      </c>
    </row>
    <row r="165">
      <c r="A165" s="3" t="inlineStr">
        <is>
          <t>Hang Seng Current Account</t>
        </is>
      </c>
      <c r="B165" s="4" t="n">
        <v>45897</v>
      </c>
      <c r="C165" s="3" t="inlineStr">
        <is>
          <t>CMBWLB MERCHANT PYMT HD12582811718337 28AUG</t>
        </is>
      </c>
      <c r="D165" s="5" t="n">
        <v>4665.79</v>
      </c>
      <c r="E165" s="6" t="n"/>
      <c r="F165" s="7" t="n"/>
      <c r="G165" s="8">
        <f>IF(AND(D165="",E165=""),F165,G164+IF(D165="",0,D165)-IF(E165="",0,E165))</f>
        <v/>
      </c>
    </row>
    <row r="166">
      <c r="A166" s="3" t="inlineStr">
        <is>
          <t>Hang Seng Current Account</t>
        </is>
      </c>
      <c r="B166" s="4" t="n">
        <v>45897</v>
      </c>
      <c r="C166" s="3" t="inlineStr">
        <is>
          <t>CMBWLB MERCHANT PYMT HD12582811718944 28AUG</t>
        </is>
      </c>
      <c r="D166" s="5" t="n">
        <v>449.36</v>
      </c>
      <c r="E166" s="6" t="n"/>
      <c r="F166" s="7" t="n"/>
      <c r="G166" s="8">
        <f>IF(AND(D166="",E166=""),F166,G165+IF(D166="",0,D166)-IF(E166="",0,E166))</f>
        <v/>
      </c>
    </row>
    <row r="167">
      <c r="A167" s="3" t="inlineStr">
        <is>
          <t>Hang Seng Current Account</t>
        </is>
      </c>
      <c r="B167" s="4" t="n">
        <v>45897</v>
      </c>
      <c r="C167" s="3" t="inlineStr">
        <is>
          <t>CMBWLB MERCHANT PYMT HD12582811720683 28AUG</t>
        </is>
      </c>
      <c r="D167" s="5" t="n">
        <v>2896.8</v>
      </c>
      <c r="E167" s="6" t="n"/>
      <c r="F167" s="7" t="n"/>
      <c r="G167" s="8">
        <f>IF(AND(D167="",E167=""),F167,G166+IF(D167="",0,D167)-IF(E167="",0,E167))</f>
        <v/>
      </c>
    </row>
    <row r="168">
      <c r="A168" s="3" t="inlineStr">
        <is>
          <t>Hang Seng Current Account</t>
        </is>
      </c>
      <c r="B168" s="4" t="n">
        <v>45897</v>
      </c>
      <c r="C168" s="3" t="inlineStr">
        <is>
          <t>CMBWLB MERCHANT PYMT HD12582811730962 28AUG</t>
        </is>
      </c>
      <c r="D168" s="5" t="n">
        <v>10115.83</v>
      </c>
      <c r="E168" s="6" t="n"/>
      <c r="F168" s="7" t="n"/>
      <c r="G168" s="8">
        <f>IF(AND(D168="",E168=""),F168,G167+IF(D168="",0,D168)-IF(E168="",0,E168))</f>
        <v/>
      </c>
    </row>
    <row r="169">
      <c r="A169" s="3" t="inlineStr">
        <is>
          <t>Hang Seng Current Account</t>
        </is>
      </c>
      <c r="B169" s="4" t="n">
        <v>45897</v>
      </c>
      <c r="C169" s="3" t="inlineStr">
        <is>
          <t>ATM TRANSFER (28AUG25)</t>
        </is>
      </c>
      <c r="D169" s="5" t="n">
        <v>260000</v>
      </c>
      <c r="E169" s="6" t="n"/>
      <c r="F169" s="7" t="n">
        <v>872480.49</v>
      </c>
      <c r="G169" s="8">
        <f>IF(AND(D169="",E169=""),F169,G168+IF(D169="",0,D169)-IF(E169="",0,E169))</f>
        <v/>
      </c>
    </row>
    <row r="170">
      <c r="A170" s="3" t="inlineStr">
        <is>
          <t>Hang Seng Current Account</t>
        </is>
      </c>
      <c r="B170" s="4" t="n">
        <v>45898</v>
      </c>
      <c r="C170" s="3" t="inlineStr">
        <is>
          <t>CHEQUE 809554</t>
        </is>
      </c>
      <c r="D170" s="5" t="n"/>
      <c r="E170" s="6" t="n">
        <v>12316</v>
      </c>
      <c r="F170" s="7" t="n"/>
      <c r="G170" s="8">
        <f>IF(AND(D170="",E170=""),F170,G169+IF(D170="",0,D170)-IF(E170="",0,E170))</f>
        <v/>
      </c>
    </row>
    <row r="171">
      <c r="A171" s="3" t="inlineStr">
        <is>
          <t>Hang Seng Current Account</t>
        </is>
      </c>
      <c r="B171" s="4" t="n">
        <v>45898</v>
      </c>
      <c r="C171" s="3" t="inlineStr">
        <is>
          <t>CMBWLB MERCHANT PYMT HD12582915310383 29AUG</t>
        </is>
      </c>
      <c r="D171" s="5" t="n">
        <v>2895.8</v>
      </c>
      <c r="E171" s="6" t="n"/>
      <c r="F171" s="7" t="n"/>
      <c r="G171" s="8">
        <f>IF(AND(D171="",E171=""),F171,G170+IF(D171="",0,D171)-IF(E171="",0,E171))</f>
        <v/>
      </c>
    </row>
    <row r="172">
      <c r="A172" s="3" t="inlineStr">
        <is>
          <t>Hang Seng Current Account</t>
        </is>
      </c>
      <c r="B172" s="4" t="n">
        <v>45898</v>
      </c>
      <c r="C172" s="3" t="inlineStr">
        <is>
          <t>CMBWLB MERCHANT PYMT HD12582915318798 29AUG</t>
        </is>
      </c>
      <c r="D172" s="5" t="n">
        <v>3767.1</v>
      </c>
      <c r="E172" s="6" t="n"/>
      <c r="F172" s="7" t="n"/>
      <c r="G172" s="8">
        <f>IF(AND(D172="",E172=""),F172,G171+IF(D172="",0,D172)-IF(E172="",0,E172))</f>
        <v/>
      </c>
    </row>
    <row r="173">
      <c r="A173" s="3" t="inlineStr">
        <is>
          <t>Hang Seng Current Account</t>
        </is>
      </c>
      <c r="B173" s="4" t="n">
        <v>45898</v>
      </c>
      <c r="C173" s="3" t="inlineStr">
        <is>
          <t>CMBWLB MERCHANT PYMT HD12582915325814 29AUG</t>
        </is>
      </c>
      <c r="D173" s="5" t="n">
        <v>252.58</v>
      </c>
      <c r="E173" s="6" t="n"/>
      <c r="F173" s="7" t="n"/>
      <c r="G173" s="8">
        <f>IF(AND(D173="",E173=""),F173,G172+IF(D173="",0,D173)-IF(E173="",0,E173))</f>
        <v/>
      </c>
    </row>
    <row r="174">
      <c r="A174" s="3" t="inlineStr">
        <is>
          <t>Hang Seng Current Account</t>
        </is>
      </c>
      <c r="B174" s="4" t="n">
        <v>45898</v>
      </c>
      <c r="C174" s="3" t="inlineStr">
        <is>
          <t>CMBWLB MERCHANT PYMT HD12582915326652 29AUG</t>
        </is>
      </c>
      <c r="D174" s="5" t="n">
        <v>12503.62</v>
      </c>
      <c r="E174" s="6" t="n"/>
      <c r="F174" s="7" t="n">
        <v>879583.59</v>
      </c>
      <c r="G174" s="8">
        <f>IF(AND(D174="",E174=""),F174,G173+IF(D174="",0,D174)-IF(E174="",0,E174))</f>
        <v/>
      </c>
    </row>
    <row r="175">
      <c r="A175" s="3" t="inlineStr">
        <is>
          <t>Hang Seng Current Account</t>
        </is>
      </c>
      <c r="B175" s="4" t="n">
        <v>45901</v>
      </c>
      <c r="C175" s="3" t="inlineStr">
        <is>
          <t>CHEQUE 058037</t>
        </is>
      </c>
      <c r="D175" s="5" t="n"/>
      <c r="E175" s="6" t="n">
        <v>2000</v>
      </c>
      <c r="F175" s="7" t="n"/>
      <c r="G175" s="8">
        <f>IF(AND(D175="",E175=""),F175,G174+IF(D175="",0,D175)-IF(E175="",0,E175))</f>
        <v/>
      </c>
    </row>
    <row r="176">
      <c r="A176" s="3" t="inlineStr">
        <is>
          <t>Hang Seng Current Account</t>
        </is>
      </c>
      <c r="B176" s="4" t="n">
        <v>45901</v>
      </c>
      <c r="C176" s="3" t="inlineStr">
        <is>
          <t>CHEQUE 809536</t>
        </is>
      </c>
      <c r="D176" s="5" t="n"/>
      <c r="E176" s="6" t="n">
        <v>2000</v>
      </c>
      <c r="F176" s="7" t="n"/>
      <c r="G176" s="8">
        <f>IF(AND(D176="",E176=""),F176,G175+IF(D176="",0,D176)-IF(E176="",0,E176))</f>
        <v/>
      </c>
    </row>
    <row r="177">
      <c r="A177" s="3" t="inlineStr">
        <is>
          <t>Hang Seng Current Account</t>
        </is>
      </c>
      <c r="B177" s="4" t="n">
        <v>45901</v>
      </c>
      <c r="C177" s="3" t="inlineStr">
        <is>
          <t>CHEQUE 809555</t>
        </is>
      </c>
      <c r="D177" s="5" t="n"/>
      <c r="E177" s="6" t="n">
        <v>6500</v>
      </c>
      <c r="F177" s="7" t="n"/>
      <c r="G177" s="8">
        <f>IF(AND(D177="",E177=""),F177,G176+IF(D177="",0,D177)-IF(E177="",0,E177))</f>
        <v/>
      </c>
    </row>
    <row r="178">
      <c r="A178" s="3" t="inlineStr">
        <is>
          <t>Hang Seng Current Account</t>
        </is>
      </c>
      <c r="B178" s="4" t="n">
        <v>45901</v>
      </c>
      <c r="C178" s="3" t="inlineStr">
        <is>
          <t>CMBWLB MERCHANT PYMT HD12583121267646 31AUG</t>
        </is>
      </c>
      <c r="D178" s="5" t="n">
        <v>913.4</v>
      </c>
      <c r="E178" s="6" t="n"/>
      <c r="F178" s="7" t="n"/>
      <c r="G178" s="8">
        <f>IF(AND(D178="",E178=""),F178,G177+IF(D178="",0,D178)-IF(E178="",0,E178))</f>
        <v/>
      </c>
    </row>
    <row r="179">
      <c r="A179" s="3" t="inlineStr">
        <is>
          <t>Hang Seng Current Account</t>
        </is>
      </c>
      <c r="B179" s="4" t="n">
        <v>45901</v>
      </c>
      <c r="C179" s="3" t="inlineStr">
        <is>
          <t>CMBWLB MERCHANT PYMT HD12583121267647 31AUG</t>
        </is>
      </c>
      <c r="D179" s="5" t="n">
        <v>3704.44</v>
      </c>
      <c r="E179" s="6" t="n"/>
      <c r="F179" s="7" t="n"/>
      <c r="G179" s="8">
        <f>IF(AND(D179="",E179=""),F179,G178+IF(D179="",0,D179)-IF(E179="",0,E179))</f>
        <v/>
      </c>
    </row>
    <row r="180">
      <c r="A180" s="3" t="inlineStr">
        <is>
          <t>Hang Seng Current Account</t>
        </is>
      </c>
      <c r="B180" s="4" t="n">
        <v>45901</v>
      </c>
      <c r="C180" s="3" t="inlineStr">
        <is>
          <t>CMBWLB MERCHANT PYMT HD12583121267652 31AUG</t>
        </is>
      </c>
      <c r="D180" s="5" t="n">
        <v>7352.21</v>
      </c>
      <c r="E180" s="6" t="n"/>
      <c r="F180" s="7" t="n"/>
      <c r="G180" s="8">
        <f>IF(AND(D180="",E180=""),F180,G179+IF(D180="",0,D180)-IF(E180="",0,E180))</f>
        <v/>
      </c>
    </row>
    <row r="181">
      <c r="A181" s="3" t="inlineStr">
        <is>
          <t>Hang Seng Current Account</t>
        </is>
      </c>
      <c r="B181" s="4" t="n">
        <v>45901</v>
      </c>
      <c r="C181" s="3" t="inlineStr">
        <is>
          <t>CMBWLB MERCHANT PYMT HD12583121267662 31AUG</t>
        </is>
      </c>
      <c r="D181" s="5" t="n">
        <v>18031.97</v>
      </c>
      <c r="E181" s="6" t="n"/>
      <c r="F181" s="7" t="n"/>
      <c r="G181" s="8">
        <f>IF(AND(D181="",E181=""),F181,G180+IF(D181="",0,D181)-IF(E181="",0,E181))</f>
        <v/>
      </c>
    </row>
    <row r="182">
      <c r="A182" s="3" t="inlineStr">
        <is>
          <t>Hang Seng Current Account</t>
        </is>
      </c>
      <c r="B182" s="4" t="n">
        <v>45901</v>
      </c>
      <c r="C182" s="3" t="inlineStr">
        <is>
          <t>CMBWLB MERCHANT PYMT HD12583121267692 31AUG</t>
        </is>
      </c>
      <c r="D182" s="5" t="n">
        <v>296.63</v>
      </c>
      <c r="E182" s="6" t="n"/>
      <c r="F182" s="7" t="n"/>
      <c r="G182" s="8">
        <f>IF(AND(D182="",E182=""),F182,G181+IF(D182="",0,D182)-IF(E182="",0,E182))</f>
        <v/>
      </c>
    </row>
    <row r="183">
      <c r="A183" s="3" t="inlineStr">
        <is>
          <t>Hang Seng Current Account</t>
        </is>
      </c>
      <c r="B183" s="4" t="n">
        <v>45901</v>
      </c>
      <c r="C183" s="3" t="inlineStr">
        <is>
          <t>CMBWLB MERCHANT PYMT HD12583121267703 31AUG</t>
        </is>
      </c>
      <c r="D183" s="5" t="n">
        <v>5232.7</v>
      </c>
      <c r="E183" s="6" t="n"/>
      <c r="F183" s="7" t="n"/>
      <c r="G183" s="8">
        <f>IF(AND(D183="",E183=""),F183,G182+IF(D183="",0,D183)-IF(E183="",0,E183))</f>
        <v/>
      </c>
    </row>
    <row r="184">
      <c r="A184" s="3" t="inlineStr">
        <is>
          <t>Hang Seng Current Account</t>
        </is>
      </c>
      <c r="B184" s="4" t="n">
        <v>45901</v>
      </c>
      <c r="C184" s="3" t="inlineStr">
        <is>
          <t>CMBWLB MERCHANT PYMT HD12583121267764 31AUG</t>
        </is>
      </c>
      <c r="D184" s="5" t="n">
        <v>4742.18</v>
      </c>
      <c r="E184" s="6" t="n"/>
      <c r="F184" s="7" t="n"/>
      <c r="G184" s="8">
        <f>IF(AND(D184="",E184=""),F184,G183+IF(D184="",0,D184)-IF(E184="",0,E184))</f>
        <v/>
      </c>
    </row>
    <row r="185">
      <c r="A185" s="3" t="inlineStr">
        <is>
          <t>Hang Seng Current Account</t>
        </is>
      </c>
      <c r="B185" s="4" t="n">
        <v>45901</v>
      </c>
      <c r="C185" s="3" t="inlineStr">
        <is>
          <t>CMBWLB MERCHANT PYMT HD12583121267783 31AUG</t>
        </is>
      </c>
      <c r="D185" s="5" t="n">
        <v>14652.54</v>
      </c>
      <c r="E185" s="6" t="n"/>
      <c r="F185" s="7" t="n">
        <v>924009.66</v>
      </c>
      <c r="G185" s="8">
        <f>IF(AND(D185="",E185=""),F185,G184+IF(D185="",0,D185)-IF(E185="",0,E185))</f>
        <v/>
      </c>
    </row>
    <row r="186">
      <c r="A186" s="3" t="inlineStr">
        <is>
          <t>Hang Seng Current Account</t>
        </is>
      </c>
      <c r="B186" s="4" t="n">
        <v>45901</v>
      </c>
      <c r="C186" s="3" t="inlineStr">
        <is>
          <t>C/F BALANCE</t>
        </is>
      </c>
      <c r="D186" s="5" t="n"/>
      <c r="E186" s="6" t="n"/>
      <c r="F186" s="7" t="n">
        <v>924009.66</v>
      </c>
      <c r="G186" s="8">
        <f>IF(AND(D186="",E186=""),F186,G185+IF(D186="",0,D186)-IF(E186="",0,E186))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2026-06-23T05:34:09Z</dcterms:created>
  <dcterms:modified xmlns:dcterms="http://purl.org/dc/terms/" xmlns:xsi="http://www.w3.org/2001/XMLSchema-instance" xsi:type="dcterms:W3CDTF">2026-06-23T05:34:09Z</dcterms:modified>
</cp:coreProperties>
</file>