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cash_record_template\"/>
    </mc:Choice>
  </mc:AlternateContent>
  <xr:revisionPtr revIDLastSave="0" documentId="8_{77F82CAC-0DF8-4C3B-9EF6-C921803DBEBC}" xr6:coauthVersionLast="47" xr6:coauthVersionMax="47" xr10:uidLastSave="{00000000-0000-0000-0000-000000000000}"/>
  <bookViews>
    <workbookView xWindow="-120" yWindow="-120" windowWidth="29040" windowHeight="15720" xr2:uid="{C9FAF2D8-8E0A-4916-AE95-F9E8D553041D}"/>
  </bookViews>
  <sheets>
    <sheet name="Cash" sheetId="1" r:id="rId1"/>
    <sheet name="Credit Card" sheetId="3" r:id="rId2"/>
    <sheet name="Chart of Accounts" sheetId="2" r:id="rId3"/>
  </sheets>
  <definedNames>
    <definedName name="_xlnm._FilterDatabase" localSheetId="0" hidden="1">Cash!$A$10:$AS$10</definedName>
    <definedName name="_xlnm._FilterDatabase" localSheetId="1" hidden="1">'Credit Card'!$A$10:$BA$10</definedName>
    <definedName name="_xlnm.Print_Titles" localSheetId="0">Cash!$A:$L</definedName>
    <definedName name="_xlnm.Print_Titles" localSheetId="1">'Credit Card'!$A:$AY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/>
  <c r="O12" i="3"/>
  <c r="Q12" i="3"/>
  <c r="R12" i="3"/>
  <c r="T12" i="3"/>
  <c r="V12" i="3"/>
  <c r="W12" i="3"/>
  <c r="X12" i="3"/>
  <c r="Z12" i="3"/>
  <c r="AA12" i="3"/>
  <c r="AC12" i="3"/>
  <c r="AE12" i="3"/>
  <c r="AF12" i="3"/>
  <c r="AG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BB12" i="3"/>
  <c r="BC12" i="3"/>
  <c r="BF12" i="3"/>
  <c r="BG12" i="3"/>
  <c r="BH12" i="3"/>
  <c r="BI12" i="3"/>
  <c r="BJ12" i="3"/>
  <c r="K13" i="3"/>
  <c r="O13" i="3"/>
  <c r="Q13" i="3"/>
  <c r="R13" i="3"/>
  <c r="T13" i="3"/>
  <c r="V13" i="3"/>
  <c r="W13" i="3"/>
  <c r="X13" i="3"/>
  <c r="Z13" i="3"/>
  <c r="AA13" i="3"/>
  <c r="AC13" i="3"/>
  <c r="AE13" i="3"/>
  <c r="AF13" i="3"/>
  <c r="AG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BB13" i="3"/>
  <c r="BC13" i="3"/>
  <c r="BF13" i="3"/>
  <c r="BG13" i="3"/>
  <c r="BH13" i="3"/>
  <c r="BI13" i="3"/>
  <c r="BJ13" i="3"/>
  <c r="K14" i="3"/>
  <c r="O14" i="3"/>
  <c r="Q14" i="3"/>
  <c r="R14" i="3"/>
  <c r="T14" i="3"/>
  <c r="V14" i="3"/>
  <c r="W14" i="3"/>
  <c r="X14" i="3"/>
  <c r="Z14" i="3"/>
  <c r="AA14" i="3"/>
  <c r="AC14" i="3"/>
  <c r="AE14" i="3"/>
  <c r="AF14" i="3"/>
  <c r="AG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BB14" i="3"/>
  <c r="BC14" i="3"/>
  <c r="BE14" i="3"/>
  <c r="BF14" i="3"/>
  <c r="BG14" i="3"/>
  <c r="BH14" i="3"/>
  <c r="BI14" i="3"/>
  <c r="BJ14" i="3"/>
  <c r="K15" i="3"/>
  <c r="O15" i="3"/>
  <c r="Q15" i="3"/>
  <c r="R15" i="3"/>
  <c r="T15" i="3"/>
  <c r="V15" i="3"/>
  <c r="W15" i="3"/>
  <c r="X15" i="3"/>
  <c r="Z15" i="3"/>
  <c r="AA15" i="3"/>
  <c r="AC15" i="3"/>
  <c r="AE15" i="3"/>
  <c r="AF15" i="3"/>
  <c r="AG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BB15" i="3"/>
  <c r="BC15" i="3"/>
  <c r="BE15" i="3"/>
  <c r="BF15" i="3"/>
  <c r="BG15" i="3"/>
  <c r="BH15" i="3"/>
  <c r="BI15" i="3"/>
  <c r="BJ15" i="3"/>
  <c r="K16" i="3"/>
  <c r="O16" i="3"/>
  <c r="Q16" i="3"/>
  <c r="R16" i="3"/>
  <c r="T16" i="3"/>
  <c r="V16" i="3"/>
  <c r="W16" i="3"/>
  <c r="X16" i="3"/>
  <c r="Z16" i="3"/>
  <c r="AA16" i="3"/>
  <c r="AC16" i="3"/>
  <c r="AE16" i="3"/>
  <c r="AF16" i="3"/>
  <c r="AG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BB16" i="3"/>
  <c r="BC16" i="3"/>
  <c r="BE16" i="3"/>
  <c r="BF16" i="3"/>
  <c r="BG16" i="3"/>
  <c r="BH16" i="3"/>
  <c r="BI16" i="3"/>
  <c r="BJ16" i="3"/>
  <c r="K17" i="3"/>
  <c r="O17" i="3"/>
  <c r="Q17" i="3"/>
  <c r="R17" i="3"/>
  <c r="T17" i="3"/>
  <c r="V17" i="3"/>
  <c r="W17" i="3"/>
  <c r="X17" i="3"/>
  <c r="Z17" i="3"/>
  <c r="AA17" i="3"/>
  <c r="AC17" i="3"/>
  <c r="AE17" i="3"/>
  <c r="AF17" i="3"/>
  <c r="AG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BB17" i="3"/>
  <c r="BC17" i="3"/>
  <c r="BE17" i="3"/>
  <c r="BF17" i="3"/>
  <c r="BG17" i="3"/>
  <c r="BH17" i="3"/>
  <c r="BI17" i="3"/>
  <c r="BJ17" i="3"/>
  <c r="K18" i="3"/>
  <c r="O18" i="3"/>
  <c r="Q18" i="3"/>
  <c r="R18" i="3"/>
  <c r="T18" i="3"/>
  <c r="V18" i="3"/>
  <c r="W18" i="3"/>
  <c r="X18" i="3"/>
  <c r="Z18" i="3"/>
  <c r="AA18" i="3"/>
  <c r="AC18" i="3"/>
  <c r="AE18" i="3"/>
  <c r="AF18" i="3"/>
  <c r="AG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BB18" i="3"/>
  <c r="BC18" i="3"/>
  <c r="BE18" i="3"/>
  <c r="BF18" i="3"/>
  <c r="BG18" i="3"/>
  <c r="BH18" i="3"/>
  <c r="BI18" i="3"/>
  <c r="BJ18" i="3"/>
  <c r="K19" i="3"/>
  <c r="O19" i="3"/>
  <c r="Q19" i="3"/>
  <c r="R19" i="3"/>
  <c r="T19" i="3"/>
  <c r="V19" i="3"/>
  <c r="W19" i="3"/>
  <c r="X19" i="3"/>
  <c r="Z19" i="3"/>
  <c r="AA19" i="3"/>
  <c r="AC19" i="3"/>
  <c r="AE19" i="3"/>
  <c r="AF19" i="3"/>
  <c r="AG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BB19" i="3"/>
  <c r="BC19" i="3"/>
  <c r="BE19" i="3"/>
  <c r="BF19" i="3"/>
  <c r="BG19" i="3"/>
  <c r="BH19" i="3"/>
  <c r="BI19" i="3"/>
  <c r="BJ19" i="3"/>
  <c r="K20" i="3"/>
  <c r="O20" i="3"/>
  <c r="Q20" i="3"/>
  <c r="R20" i="3"/>
  <c r="T20" i="3"/>
  <c r="V20" i="3"/>
  <c r="W20" i="3"/>
  <c r="X20" i="3"/>
  <c r="Z20" i="3"/>
  <c r="AA20" i="3"/>
  <c r="AC20" i="3"/>
  <c r="AE20" i="3"/>
  <c r="AF20" i="3"/>
  <c r="AG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BB20" i="3"/>
  <c r="BC20" i="3"/>
  <c r="BE20" i="3"/>
  <c r="BF20" i="3"/>
  <c r="BG20" i="3"/>
  <c r="BH20" i="3"/>
  <c r="BI20" i="3"/>
  <c r="BJ20" i="3"/>
  <c r="K21" i="3"/>
  <c r="O21" i="3"/>
  <c r="Q21" i="3"/>
  <c r="R21" i="3"/>
  <c r="T21" i="3"/>
  <c r="V21" i="3"/>
  <c r="W21" i="3"/>
  <c r="X21" i="3"/>
  <c r="Z21" i="3"/>
  <c r="AA21" i="3"/>
  <c r="AC21" i="3"/>
  <c r="AE21" i="3"/>
  <c r="AF21" i="3"/>
  <c r="AG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BB21" i="3"/>
  <c r="BC21" i="3"/>
  <c r="BE21" i="3"/>
  <c r="BF21" i="3"/>
  <c r="BG21" i="3"/>
  <c r="BH21" i="3"/>
  <c r="BI21" i="3"/>
  <c r="BJ21" i="3"/>
  <c r="K22" i="3"/>
  <c r="O22" i="3"/>
  <c r="Q22" i="3"/>
  <c r="R22" i="3"/>
  <c r="T22" i="3"/>
  <c r="V22" i="3"/>
  <c r="W22" i="3"/>
  <c r="X22" i="3"/>
  <c r="Z22" i="3"/>
  <c r="AA22" i="3"/>
  <c r="AC22" i="3"/>
  <c r="AE22" i="3"/>
  <c r="AF22" i="3"/>
  <c r="AG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BB22" i="3"/>
  <c r="BC22" i="3"/>
  <c r="BE22" i="3"/>
  <c r="BF22" i="3"/>
  <c r="BG22" i="3"/>
  <c r="BH22" i="3"/>
  <c r="BI22" i="3"/>
  <c r="BJ22" i="3"/>
  <c r="K23" i="3"/>
  <c r="O23" i="3"/>
  <c r="Q23" i="3"/>
  <c r="R23" i="3"/>
  <c r="T23" i="3"/>
  <c r="V23" i="3"/>
  <c r="W23" i="3"/>
  <c r="X23" i="3"/>
  <c r="Z23" i="3"/>
  <c r="AA23" i="3"/>
  <c r="AC23" i="3"/>
  <c r="AE23" i="3"/>
  <c r="AF23" i="3"/>
  <c r="AG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BB23" i="3"/>
  <c r="BC23" i="3"/>
  <c r="BE23" i="3"/>
  <c r="BF23" i="3"/>
  <c r="BG23" i="3"/>
  <c r="BH23" i="3"/>
  <c r="BI23" i="3"/>
  <c r="BJ23" i="3"/>
  <c r="K24" i="3"/>
  <c r="O24" i="3"/>
  <c r="Q24" i="3"/>
  <c r="R24" i="3"/>
  <c r="T24" i="3"/>
  <c r="V24" i="3"/>
  <c r="W24" i="3"/>
  <c r="X24" i="3"/>
  <c r="Z24" i="3"/>
  <c r="AA24" i="3"/>
  <c r="AC24" i="3"/>
  <c r="AE24" i="3"/>
  <c r="AF24" i="3"/>
  <c r="AG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BB24" i="3"/>
  <c r="BC24" i="3"/>
  <c r="BE24" i="3"/>
  <c r="BF24" i="3"/>
  <c r="BG24" i="3"/>
  <c r="BH24" i="3"/>
  <c r="BI24" i="3"/>
  <c r="BJ24" i="3"/>
  <c r="K25" i="3"/>
  <c r="O25" i="3"/>
  <c r="Q25" i="3"/>
  <c r="R25" i="3"/>
  <c r="T25" i="3"/>
  <c r="V25" i="3"/>
  <c r="W25" i="3"/>
  <c r="X25" i="3"/>
  <c r="Z25" i="3"/>
  <c r="AA25" i="3"/>
  <c r="AC25" i="3"/>
  <c r="AE25" i="3"/>
  <c r="AF25" i="3"/>
  <c r="AG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BB25" i="3"/>
  <c r="BC25" i="3"/>
  <c r="BE25" i="3"/>
  <c r="BF25" i="3"/>
  <c r="BG25" i="3"/>
  <c r="BH25" i="3"/>
  <c r="BI25" i="3"/>
  <c r="BJ25" i="3"/>
  <c r="K26" i="3"/>
  <c r="O26" i="3"/>
  <c r="Q26" i="3"/>
  <c r="R26" i="3"/>
  <c r="T26" i="3"/>
  <c r="V26" i="3"/>
  <c r="W26" i="3"/>
  <c r="X26" i="3"/>
  <c r="Z26" i="3"/>
  <c r="AA26" i="3"/>
  <c r="AC26" i="3"/>
  <c r="AE26" i="3"/>
  <c r="AF26" i="3"/>
  <c r="AG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BB26" i="3"/>
  <c r="BC26" i="3"/>
  <c r="BE26" i="3"/>
  <c r="BF26" i="3"/>
  <c r="BG26" i="3"/>
  <c r="BH26" i="3"/>
  <c r="BI26" i="3"/>
  <c r="BJ26" i="3"/>
  <c r="K27" i="3"/>
  <c r="O27" i="3"/>
  <c r="Q27" i="3"/>
  <c r="R27" i="3"/>
  <c r="T27" i="3"/>
  <c r="V27" i="3"/>
  <c r="W27" i="3"/>
  <c r="X27" i="3"/>
  <c r="Z27" i="3"/>
  <c r="AA27" i="3"/>
  <c r="AC27" i="3"/>
  <c r="AE27" i="3"/>
  <c r="AF27" i="3"/>
  <c r="AG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BB27" i="3"/>
  <c r="BC27" i="3"/>
  <c r="BE27" i="3"/>
  <c r="BF27" i="3"/>
  <c r="BG27" i="3"/>
  <c r="BH27" i="3"/>
  <c r="BI27" i="3"/>
  <c r="BJ27" i="3"/>
  <c r="O28" i="3"/>
  <c r="Q28" i="3"/>
  <c r="R28" i="3"/>
  <c r="T28" i="3"/>
  <c r="V28" i="3"/>
  <c r="W28" i="3"/>
  <c r="X28" i="3"/>
  <c r="Z28" i="3"/>
  <c r="AA28" i="3"/>
  <c r="AC28" i="3"/>
  <c r="AE28" i="3"/>
  <c r="AF28" i="3"/>
  <c r="AG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BB28" i="3"/>
  <c r="BC28" i="3"/>
  <c r="BE28" i="3"/>
  <c r="BF28" i="3"/>
  <c r="BG28" i="3"/>
  <c r="BH28" i="3"/>
  <c r="BI28" i="3"/>
  <c r="BJ28" i="3"/>
  <c r="O29" i="3"/>
  <c r="Q29" i="3"/>
  <c r="R29" i="3"/>
  <c r="T29" i="3"/>
  <c r="V29" i="3"/>
  <c r="W29" i="3"/>
  <c r="X29" i="3"/>
  <c r="Z29" i="3"/>
  <c r="AA29" i="3"/>
  <c r="AC29" i="3"/>
  <c r="AE29" i="3"/>
  <c r="AF29" i="3"/>
  <c r="AG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BB29" i="3"/>
  <c r="BC29" i="3"/>
  <c r="BE29" i="3"/>
  <c r="BF29" i="3"/>
  <c r="BG29" i="3"/>
  <c r="BH29" i="3"/>
  <c r="BI29" i="3"/>
  <c r="BJ29" i="3"/>
  <c r="O30" i="3"/>
  <c r="Q30" i="3"/>
  <c r="R30" i="3"/>
  <c r="T30" i="3"/>
  <c r="V30" i="3"/>
  <c r="W30" i="3"/>
  <c r="X30" i="3"/>
  <c r="Z30" i="3"/>
  <c r="AA30" i="3"/>
  <c r="AC30" i="3"/>
  <c r="AE30" i="3"/>
  <c r="AF30" i="3"/>
  <c r="AG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BB30" i="3"/>
  <c r="BC30" i="3"/>
  <c r="BE30" i="3"/>
  <c r="BF30" i="3"/>
  <c r="BG30" i="3"/>
  <c r="BH30" i="3"/>
  <c r="BI30" i="3"/>
  <c r="BJ30" i="3"/>
  <c r="O31" i="3"/>
  <c r="Q31" i="3"/>
  <c r="R31" i="3"/>
  <c r="T31" i="3"/>
  <c r="V31" i="3"/>
  <c r="W31" i="3"/>
  <c r="X31" i="3"/>
  <c r="Z31" i="3"/>
  <c r="AA31" i="3"/>
  <c r="AC31" i="3"/>
  <c r="AE31" i="3"/>
  <c r="AF31" i="3"/>
  <c r="AG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BB31" i="3"/>
  <c r="BC31" i="3"/>
  <c r="BE31" i="3"/>
  <c r="BF31" i="3"/>
  <c r="BG31" i="3"/>
  <c r="BH31" i="3"/>
  <c r="BI31" i="3"/>
  <c r="BJ31" i="3"/>
  <c r="O32" i="3"/>
  <c r="Q32" i="3"/>
  <c r="R32" i="3"/>
  <c r="T32" i="3"/>
  <c r="V32" i="3"/>
  <c r="W32" i="3"/>
  <c r="X32" i="3"/>
  <c r="Z32" i="3"/>
  <c r="AA32" i="3"/>
  <c r="AC32" i="3"/>
  <c r="AE32" i="3"/>
  <c r="AF32" i="3"/>
  <c r="AG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BB32" i="3"/>
  <c r="BC32" i="3"/>
  <c r="BE32" i="3"/>
  <c r="BF32" i="3"/>
  <c r="BG32" i="3"/>
  <c r="BH32" i="3"/>
  <c r="BI32" i="3"/>
  <c r="BJ32" i="3"/>
  <c r="O33" i="3"/>
  <c r="Q33" i="3"/>
  <c r="R33" i="3"/>
  <c r="T33" i="3"/>
  <c r="V33" i="3"/>
  <c r="W33" i="3"/>
  <c r="X33" i="3"/>
  <c r="Z33" i="3"/>
  <c r="AA33" i="3"/>
  <c r="AC33" i="3"/>
  <c r="AE33" i="3"/>
  <c r="AF33" i="3"/>
  <c r="AG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BB33" i="3"/>
  <c r="BC33" i="3"/>
  <c r="BE33" i="3"/>
  <c r="BF33" i="3"/>
  <c r="BG33" i="3"/>
  <c r="BH33" i="3"/>
  <c r="BI33" i="3"/>
  <c r="BJ33" i="3"/>
  <c r="O34" i="3"/>
  <c r="Q34" i="3"/>
  <c r="R34" i="3"/>
  <c r="T34" i="3"/>
  <c r="V34" i="3"/>
  <c r="W34" i="3"/>
  <c r="X34" i="3"/>
  <c r="Z34" i="3"/>
  <c r="AA34" i="3"/>
  <c r="AC34" i="3"/>
  <c r="AE34" i="3"/>
  <c r="AF34" i="3"/>
  <c r="AG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BB34" i="3"/>
  <c r="BC34" i="3"/>
  <c r="BE34" i="3"/>
  <c r="BF34" i="3"/>
  <c r="BG34" i="3"/>
  <c r="BH34" i="3"/>
  <c r="BI34" i="3"/>
  <c r="BJ34" i="3"/>
  <c r="O35" i="3"/>
  <c r="Q35" i="3"/>
  <c r="R35" i="3"/>
  <c r="T35" i="3"/>
  <c r="V35" i="3"/>
  <c r="W35" i="3"/>
  <c r="X35" i="3"/>
  <c r="Z35" i="3"/>
  <c r="AA35" i="3"/>
  <c r="AC35" i="3"/>
  <c r="AE35" i="3"/>
  <c r="AF35" i="3"/>
  <c r="AG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BB35" i="3"/>
  <c r="BC35" i="3"/>
  <c r="BE35" i="3"/>
  <c r="BF35" i="3"/>
  <c r="BG35" i="3"/>
  <c r="BH35" i="3"/>
  <c r="BI35" i="3"/>
  <c r="BJ35" i="3"/>
  <c r="O36" i="3"/>
  <c r="Q36" i="3"/>
  <c r="R36" i="3"/>
  <c r="T36" i="3"/>
  <c r="V36" i="3"/>
  <c r="W36" i="3"/>
  <c r="X36" i="3"/>
  <c r="Z36" i="3"/>
  <c r="AA36" i="3"/>
  <c r="AC36" i="3"/>
  <c r="AE36" i="3"/>
  <c r="AF36" i="3"/>
  <c r="AG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BB36" i="3"/>
  <c r="BC36" i="3"/>
  <c r="BE36" i="3"/>
  <c r="BF36" i="3"/>
  <c r="BG36" i="3"/>
  <c r="BH36" i="3"/>
  <c r="BI36" i="3"/>
  <c r="BJ36" i="3"/>
  <c r="O37" i="3"/>
  <c r="Q37" i="3"/>
  <c r="R37" i="3"/>
  <c r="T37" i="3"/>
  <c r="V37" i="3"/>
  <c r="W37" i="3"/>
  <c r="X37" i="3"/>
  <c r="Z37" i="3"/>
  <c r="AA37" i="3"/>
  <c r="AC37" i="3"/>
  <c r="AE37" i="3"/>
  <c r="AF37" i="3"/>
  <c r="AG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BB37" i="3"/>
  <c r="BC37" i="3"/>
  <c r="BE37" i="3"/>
  <c r="BF37" i="3"/>
  <c r="BG37" i="3"/>
  <c r="BH37" i="3"/>
  <c r="BI37" i="3"/>
  <c r="BJ37" i="3"/>
  <c r="O38" i="3"/>
  <c r="Q38" i="3"/>
  <c r="R38" i="3"/>
  <c r="T38" i="3"/>
  <c r="V38" i="3"/>
  <c r="W38" i="3"/>
  <c r="X38" i="3"/>
  <c r="Z38" i="3"/>
  <c r="AA38" i="3"/>
  <c r="AC38" i="3"/>
  <c r="AE38" i="3"/>
  <c r="AF38" i="3"/>
  <c r="AG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BB38" i="3"/>
  <c r="BC38" i="3"/>
  <c r="BE38" i="3"/>
  <c r="BF38" i="3"/>
  <c r="BG38" i="3"/>
  <c r="BH38" i="3"/>
  <c r="BI38" i="3"/>
  <c r="BJ38" i="3"/>
  <c r="O39" i="3"/>
  <c r="Q39" i="3"/>
  <c r="R39" i="3"/>
  <c r="T39" i="3"/>
  <c r="V39" i="3"/>
  <c r="W39" i="3"/>
  <c r="X39" i="3"/>
  <c r="Z39" i="3"/>
  <c r="AA39" i="3"/>
  <c r="AC39" i="3"/>
  <c r="AE39" i="3"/>
  <c r="AF39" i="3"/>
  <c r="AG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BB39" i="3"/>
  <c r="BC39" i="3"/>
  <c r="BE39" i="3"/>
  <c r="BF39" i="3"/>
  <c r="BG39" i="3"/>
  <c r="BH39" i="3"/>
  <c r="BI39" i="3"/>
  <c r="BJ39" i="3"/>
  <c r="O40" i="3"/>
  <c r="Q40" i="3"/>
  <c r="R40" i="3"/>
  <c r="T40" i="3"/>
  <c r="V40" i="3"/>
  <c r="W40" i="3"/>
  <c r="X40" i="3"/>
  <c r="Z40" i="3"/>
  <c r="AA40" i="3"/>
  <c r="AC40" i="3"/>
  <c r="AE40" i="3"/>
  <c r="AF40" i="3"/>
  <c r="AG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BB40" i="3"/>
  <c r="BC40" i="3"/>
  <c r="BE40" i="3"/>
  <c r="BF40" i="3"/>
  <c r="BG40" i="3"/>
  <c r="BH40" i="3"/>
  <c r="BI40" i="3"/>
  <c r="BJ40" i="3"/>
  <c r="O41" i="3"/>
  <c r="Q41" i="3"/>
  <c r="R41" i="3"/>
  <c r="T41" i="3"/>
  <c r="V41" i="3"/>
  <c r="W41" i="3"/>
  <c r="X41" i="3"/>
  <c r="Z41" i="3"/>
  <c r="AA41" i="3"/>
  <c r="AC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BB41" i="3"/>
  <c r="BC41" i="3"/>
  <c r="BE41" i="3"/>
  <c r="BF41" i="3"/>
  <c r="BG41" i="3"/>
  <c r="BH41" i="3"/>
  <c r="BI41" i="3"/>
  <c r="BJ41" i="3"/>
  <c r="O42" i="3"/>
  <c r="Q42" i="3"/>
  <c r="R42" i="3"/>
  <c r="T42" i="3"/>
  <c r="V42" i="3"/>
  <c r="W42" i="3"/>
  <c r="X42" i="3"/>
  <c r="Z42" i="3"/>
  <c r="AA42" i="3"/>
  <c r="AC42" i="3"/>
  <c r="AE42" i="3"/>
  <c r="AF42" i="3"/>
  <c r="AG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BB42" i="3"/>
  <c r="BC42" i="3"/>
  <c r="BE42" i="3"/>
  <c r="BF42" i="3"/>
  <c r="BG42" i="3"/>
  <c r="BH42" i="3"/>
  <c r="BI42" i="3"/>
  <c r="BJ42" i="3"/>
  <c r="O43" i="3"/>
  <c r="Q43" i="3"/>
  <c r="R43" i="3"/>
  <c r="T43" i="3"/>
  <c r="V43" i="3"/>
  <c r="W43" i="3"/>
  <c r="X43" i="3"/>
  <c r="Z43" i="3"/>
  <c r="AA43" i="3"/>
  <c r="AC43" i="3"/>
  <c r="AE43" i="3"/>
  <c r="AF43" i="3"/>
  <c r="AG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BB43" i="3"/>
  <c r="BC43" i="3"/>
  <c r="BE43" i="3"/>
  <c r="BF43" i="3"/>
  <c r="BG43" i="3"/>
  <c r="BH43" i="3"/>
  <c r="BI43" i="3"/>
  <c r="BJ43" i="3"/>
  <c r="O44" i="3"/>
  <c r="Q44" i="3"/>
  <c r="R44" i="3"/>
  <c r="T44" i="3"/>
  <c r="V44" i="3"/>
  <c r="W44" i="3"/>
  <c r="X44" i="3"/>
  <c r="Z44" i="3"/>
  <c r="AA44" i="3"/>
  <c r="AC44" i="3"/>
  <c r="AE44" i="3"/>
  <c r="AF44" i="3"/>
  <c r="AG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BB44" i="3"/>
  <c r="BC44" i="3"/>
  <c r="BE44" i="3"/>
  <c r="BF44" i="3"/>
  <c r="BG44" i="3"/>
  <c r="BH44" i="3"/>
  <c r="BI44" i="3"/>
  <c r="BJ44" i="3"/>
  <c r="O45" i="3"/>
  <c r="Q45" i="3"/>
  <c r="R45" i="3"/>
  <c r="T45" i="3"/>
  <c r="V45" i="3"/>
  <c r="W45" i="3"/>
  <c r="X45" i="3"/>
  <c r="Z45" i="3"/>
  <c r="AA45" i="3"/>
  <c r="AC45" i="3"/>
  <c r="AE45" i="3"/>
  <c r="AF45" i="3"/>
  <c r="AG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BB45" i="3"/>
  <c r="BC45" i="3"/>
  <c r="BE45" i="3"/>
  <c r="BF45" i="3"/>
  <c r="BG45" i="3"/>
  <c r="BH45" i="3"/>
  <c r="BI45" i="3"/>
  <c r="BJ45" i="3"/>
  <c r="O46" i="3"/>
  <c r="Q46" i="3"/>
  <c r="R46" i="3"/>
  <c r="T46" i="3"/>
  <c r="V46" i="3"/>
  <c r="W46" i="3"/>
  <c r="X46" i="3"/>
  <c r="Z46" i="3"/>
  <c r="AA46" i="3"/>
  <c r="AC46" i="3"/>
  <c r="AE46" i="3"/>
  <c r="AF46" i="3"/>
  <c r="AG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BB46" i="3"/>
  <c r="BC46" i="3"/>
  <c r="BE46" i="3"/>
  <c r="BF46" i="3"/>
  <c r="BG46" i="3"/>
  <c r="BH46" i="3"/>
  <c r="BI46" i="3"/>
  <c r="BJ46" i="3"/>
  <c r="O47" i="3"/>
  <c r="Q47" i="3"/>
  <c r="R47" i="3"/>
  <c r="T47" i="3"/>
  <c r="V47" i="3"/>
  <c r="W47" i="3"/>
  <c r="X47" i="3"/>
  <c r="Z47" i="3"/>
  <c r="AA47" i="3"/>
  <c r="AC47" i="3"/>
  <c r="AE47" i="3"/>
  <c r="AF47" i="3"/>
  <c r="AG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BB47" i="3"/>
  <c r="BC47" i="3"/>
  <c r="BE47" i="3"/>
  <c r="BF47" i="3"/>
  <c r="BG47" i="3"/>
  <c r="BH47" i="3"/>
  <c r="BI47" i="3"/>
  <c r="BJ47" i="3"/>
  <c r="O48" i="3"/>
  <c r="Q48" i="3"/>
  <c r="R48" i="3"/>
  <c r="T48" i="3"/>
  <c r="V48" i="3"/>
  <c r="W48" i="3"/>
  <c r="X48" i="3"/>
  <c r="Z48" i="3"/>
  <c r="AA48" i="3"/>
  <c r="AC48" i="3"/>
  <c r="AE48" i="3"/>
  <c r="AF48" i="3"/>
  <c r="AG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BB48" i="3"/>
  <c r="BC48" i="3"/>
  <c r="BE48" i="3"/>
  <c r="BF48" i="3"/>
  <c r="BG48" i="3"/>
  <c r="BH48" i="3"/>
  <c r="BI48" i="3"/>
  <c r="BJ48" i="3"/>
  <c r="O49" i="3"/>
  <c r="Q49" i="3"/>
  <c r="R49" i="3"/>
  <c r="T49" i="3"/>
  <c r="V49" i="3"/>
  <c r="W49" i="3"/>
  <c r="X49" i="3"/>
  <c r="Z49" i="3"/>
  <c r="AA49" i="3"/>
  <c r="AC49" i="3"/>
  <c r="AE49" i="3"/>
  <c r="AF49" i="3"/>
  <c r="AG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BB49" i="3"/>
  <c r="BC49" i="3"/>
  <c r="BE49" i="3"/>
  <c r="BF49" i="3"/>
  <c r="BG49" i="3"/>
  <c r="BH49" i="3"/>
  <c r="BI49" i="3"/>
  <c r="BJ49" i="3"/>
  <c r="O50" i="3"/>
  <c r="Q50" i="3"/>
  <c r="R50" i="3"/>
  <c r="T50" i="3"/>
  <c r="V50" i="3"/>
  <c r="W50" i="3"/>
  <c r="X50" i="3"/>
  <c r="Z50" i="3"/>
  <c r="AA50" i="3"/>
  <c r="AC50" i="3"/>
  <c r="AE50" i="3"/>
  <c r="AF50" i="3"/>
  <c r="AG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BB50" i="3"/>
  <c r="BC50" i="3"/>
  <c r="BE50" i="3"/>
  <c r="BF50" i="3"/>
  <c r="BG50" i="3"/>
  <c r="BH50" i="3"/>
  <c r="BI50" i="3"/>
  <c r="BJ50" i="3"/>
  <c r="O51" i="3"/>
  <c r="Q51" i="3"/>
  <c r="R51" i="3"/>
  <c r="T51" i="3"/>
  <c r="V51" i="3"/>
  <c r="W51" i="3"/>
  <c r="X51" i="3"/>
  <c r="Z51" i="3"/>
  <c r="AA51" i="3"/>
  <c r="AC51" i="3"/>
  <c r="AE51" i="3"/>
  <c r="AF51" i="3"/>
  <c r="AG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BB51" i="3"/>
  <c r="BC51" i="3"/>
  <c r="BE51" i="3"/>
  <c r="BF51" i="3"/>
  <c r="BG51" i="3"/>
  <c r="BH51" i="3"/>
  <c r="BI51" i="3"/>
  <c r="BJ51" i="3"/>
  <c r="O52" i="3"/>
  <c r="Q52" i="3"/>
  <c r="R52" i="3"/>
  <c r="T52" i="3"/>
  <c r="V52" i="3"/>
  <c r="W52" i="3"/>
  <c r="X52" i="3"/>
  <c r="Z52" i="3"/>
  <c r="AA52" i="3"/>
  <c r="AC52" i="3"/>
  <c r="AE52" i="3"/>
  <c r="AF52" i="3"/>
  <c r="AG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BB52" i="3"/>
  <c r="BC52" i="3"/>
  <c r="BE52" i="3"/>
  <c r="BF52" i="3"/>
  <c r="BG52" i="3"/>
  <c r="BH52" i="3"/>
  <c r="BI52" i="3"/>
  <c r="BJ52" i="3"/>
  <c r="O53" i="3"/>
  <c r="Q53" i="3"/>
  <c r="R53" i="3"/>
  <c r="T53" i="3"/>
  <c r="V53" i="3"/>
  <c r="W53" i="3"/>
  <c r="X53" i="3"/>
  <c r="Z53" i="3"/>
  <c r="AA53" i="3"/>
  <c r="AC53" i="3"/>
  <c r="AE53" i="3"/>
  <c r="AF53" i="3"/>
  <c r="AG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BB53" i="3"/>
  <c r="BC53" i="3"/>
  <c r="BE53" i="3"/>
  <c r="BF53" i="3"/>
  <c r="BG53" i="3"/>
  <c r="BH53" i="3"/>
  <c r="BI53" i="3"/>
  <c r="BJ53" i="3"/>
  <c r="O54" i="3"/>
  <c r="Q54" i="3"/>
  <c r="R54" i="3"/>
  <c r="T54" i="3"/>
  <c r="V54" i="3"/>
  <c r="W54" i="3"/>
  <c r="X54" i="3"/>
  <c r="Z54" i="3"/>
  <c r="AA54" i="3"/>
  <c r="AC54" i="3"/>
  <c r="AE54" i="3"/>
  <c r="AF54" i="3"/>
  <c r="AG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BB54" i="3"/>
  <c r="BC54" i="3"/>
  <c r="BE54" i="3"/>
  <c r="BF54" i="3"/>
  <c r="BG54" i="3"/>
  <c r="BH54" i="3"/>
  <c r="BI54" i="3"/>
  <c r="BJ54" i="3"/>
  <c r="O55" i="3"/>
  <c r="Q55" i="3"/>
  <c r="R55" i="3"/>
  <c r="T55" i="3"/>
  <c r="V55" i="3"/>
  <c r="W55" i="3"/>
  <c r="X55" i="3"/>
  <c r="Z55" i="3"/>
  <c r="AA55" i="3"/>
  <c r="AC55" i="3"/>
  <c r="AE55" i="3"/>
  <c r="AF55" i="3"/>
  <c r="AG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BB55" i="3"/>
  <c r="BC55" i="3"/>
  <c r="BF55" i="3"/>
  <c r="BG55" i="3"/>
  <c r="BH55" i="3"/>
  <c r="BI55" i="3"/>
  <c r="BJ55" i="3"/>
  <c r="O56" i="3"/>
  <c r="Q56" i="3"/>
  <c r="R56" i="3"/>
  <c r="T56" i="3"/>
  <c r="V56" i="3"/>
  <c r="W56" i="3"/>
  <c r="X56" i="3"/>
  <c r="Z56" i="3"/>
  <c r="AA56" i="3"/>
  <c r="AC56" i="3"/>
  <c r="AE56" i="3"/>
  <c r="AF56" i="3"/>
  <c r="AG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BB56" i="3"/>
  <c r="BC56" i="3"/>
  <c r="BE56" i="3"/>
  <c r="BF56" i="3"/>
  <c r="BG56" i="3"/>
  <c r="BH56" i="3"/>
  <c r="BI56" i="3"/>
  <c r="BJ56" i="3"/>
  <c r="O57" i="3"/>
  <c r="Q57" i="3"/>
  <c r="R57" i="3"/>
  <c r="T57" i="3"/>
  <c r="V57" i="3"/>
  <c r="W57" i="3"/>
  <c r="X57" i="3"/>
  <c r="Z57" i="3"/>
  <c r="AA57" i="3"/>
  <c r="AC57" i="3"/>
  <c r="AE57" i="3"/>
  <c r="AF57" i="3"/>
  <c r="AG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BB57" i="3"/>
  <c r="BC57" i="3"/>
  <c r="BE57" i="3"/>
  <c r="BF57" i="3"/>
  <c r="BG57" i="3"/>
  <c r="BH57" i="3"/>
  <c r="BI57" i="3"/>
  <c r="BJ57" i="3"/>
  <c r="O58" i="3"/>
  <c r="Q58" i="3"/>
  <c r="R58" i="3"/>
  <c r="T58" i="3"/>
  <c r="V58" i="3"/>
  <c r="W58" i="3"/>
  <c r="X58" i="3"/>
  <c r="Z58" i="3"/>
  <c r="AA58" i="3"/>
  <c r="AC58" i="3"/>
  <c r="AE58" i="3"/>
  <c r="AF58" i="3"/>
  <c r="AG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BB58" i="3"/>
  <c r="BC58" i="3"/>
  <c r="BE58" i="3"/>
  <c r="BF58" i="3"/>
  <c r="BG58" i="3"/>
  <c r="BH58" i="3"/>
  <c r="BI58" i="3"/>
  <c r="BJ58" i="3"/>
  <c r="O59" i="3"/>
  <c r="Q59" i="3"/>
  <c r="R59" i="3"/>
  <c r="T59" i="3"/>
  <c r="V59" i="3"/>
  <c r="W59" i="3"/>
  <c r="X59" i="3"/>
  <c r="Z59" i="3"/>
  <c r="AA59" i="3"/>
  <c r="AC59" i="3"/>
  <c r="AE59" i="3"/>
  <c r="AF59" i="3"/>
  <c r="AG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BB59" i="3"/>
  <c r="BC59" i="3"/>
  <c r="BE59" i="3"/>
  <c r="BF59" i="3"/>
  <c r="BG59" i="3"/>
  <c r="BH59" i="3"/>
  <c r="BI59" i="3"/>
  <c r="BJ59" i="3"/>
  <c r="O60" i="3"/>
  <c r="Q60" i="3"/>
  <c r="R60" i="3"/>
  <c r="T60" i="3"/>
  <c r="V60" i="3"/>
  <c r="W60" i="3"/>
  <c r="X60" i="3"/>
  <c r="Z60" i="3"/>
  <c r="AA60" i="3"/>
  <c r="AC60" i="3"/>
  <c r="AE60" i="3"/>
  <c r="AF60" i="3"/>
  <c r="AG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BB60" i="3"/>
  <c r="BC60" i="3"/>
  <c r="BE60" i="3"/>
  <c r="BF60" i="3"/>
  <c r="BG60" i="3"/>
  <c r="BH60" i="3"/>
  <c r="BI60" i="3"/>
  <c r="BJ60" i="3"/>
  <c r="O61" i="3"/>
  <c r="Q61" i="3"/>
  <c r="R61" i="3"/>
  <c r="T61" i="3"/>
  <c r="V61" i="3"/>
  <c r="W61" i="3"/>
  <c r="X61" i="3"/>
  <c r="Z61" i="3"/>
  <c r="AA61" i="3"/>
  <c r="AC61" i="3"/>
  <c r="AE61" i="3"/>
  <c r="AF61" i="3"/>
  <c r="AG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BB61" i="3"/>
  <c r="BC61" i="3"/>
  <c r="BE61" i="3"/>
  <c r="BF61" i="3"/>
  <c r="BG61" i="3"/>
  <c r="BH61" i="3"/>
  <c r="BI61" i="3"/>
  <c r="BJ61" i="3"/>
  <c r="O62" i="3"/>
  <c r="Q62" i="3"/>
  <c r="R62" i="3"/>
  <c r="T62" i="3"/>
  <c r="V62" i="3"/>
  <c r="W62" i="3"/>
  <c r="X62" i="3"/>
  <c r="Z62" i="3"/>
  <c r="AA62" i="3"/>
  <c r="AC62" i="3"/>
  <c r="AE62" i="3"/>
  <c r="AF62" i="3"/>
  <c r="AG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BB62" i="3"/>
  <c r="BC62" i="3"/>
  <c r="BE62" i="3"/>
  <c r="BF62" i="3"/>
  <c r="BG62" i="3"/>
  <c r="BH62" i="3"/>
  <c r="BI62" i="3"/>
  <c r="BJ62" i="3"/>
  <c r="O63" i="3"/>
  <c r="Q63" i="3"/>
  <c r="R63" i="3"/>
  <c r="T63" i="3"/>
  <c r="V63" i="3"/>
  <c r="W63" i="3"/>
  <c r="X63" i="3"/>
  <c r="Z63" i="3"/>
  <c r="AA63" i="3"/>
  <c r="AC63" i="3"/>
  <c r="AE63" i="3"/>
  <c r="AF63" i="3"/>
  <c r="AG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BB63" i="3"/>
  <c r="BC63" i="3"/>
  <c r="BE63" i="3"/>
  <c r="BF63" i="3"/>
  <c r="BG63" i="3"/>
  <c r="BH63" i="3"/>
  <c r="BI63" i="3"/>
  <c r="BJ63" i="3"/>
  <c r="O64" i="3"/>
  <c r="Q64" i="3"/>
  <c r="R64" i="3"/>
  <c r="T64" i="3"/>
  <c r="V64" i="3"/>
  <c r="W64" i="3"/>
  <c r="X64" i="3"/>
  <c r="Z64" i="3"/>
  <c r="AA64" i="3"/>
  <c r="AC64" i="3"/>
  <c r="AE64" i="3"/>
  <c r="AF64" i="3"/>
  <c r="AG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BB64" i="3"/>
  <c r="BC64" i="3"/>
  <c r="BE64" i="3"/>
  <c r="BF64" i="3"/>
  <c r="BG64" i="3"/>
  <c r="BH64" i="3"/>
  <c r="BI64" i="3"/>
  <c r="BJ64" i="3"/>
  <c r="O65" i="3"/>
  <c r="Q65" i="3"/>
  <c r="R65" i="3"/>
  <c r="T65" i="3"/>
  <c r="V65" i="3"/>
  <c r="W65" i="3"/>
  <c r="X65" i="3"/>
  <c r="Z65" i="3"/>
  <c r="AA65" i="3"/>
  <c r="AC65" i="3"/>
  <c r="AE65" i="3"/>
  <c r="AF65" i="3"/>
  <c r="AG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BB65" i="3"/>
  <c r="BC65" i="3"/>
  <c r="BE65" i="3"/>
  <c r="BF65" i="3"/>
  <c r="BG65" i="3"/>
  <c r="BH65" i="3"/>
  <c r="BI65" i="3"/>
  <c r="BJ65" i="3"/>
  <c r="O66" i="3"/>
  <c r="Q66" i="3"/>
  <c r="R66" i="3"/>
  <c r="T66" i="3"/>
  <c r="V66" i="3"/>
  <c r="W66" i="3"/>
  <c r="X66" i="3"/>
  <c r="Z66" i="3"/>
  <c r="AA66" i="3"/>
  <c r="AC66" i="3"/>
  <c r="AE66" i="3"/>
  <c r="AF66" i="3"/>
  <c r="AG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BB66" i="3"/>
  <c r="BC66" i="3"/>
  <c r="BE66" i="3"/>
  <c r="BF66" i="3"/>
  <c r="BG66" i="3"/>
  <c r="BH66" i="3"/>
  <c r="BI66" i="3"/>
  <c r="BJ66" i="3"/>
  <c r="O67" i="3"/>
  <c r="Q67" i="3"/>
  <c r="R67" i="3"/>
  <c r="T67" i="3"/>
  <c r="V67" i="3"/>
  <c r="W67" i="3"/>
  <c r="X67" i="3"/>
  <c r="Z67" i="3"/>
  <c r="AA67" i="3"/>
  <c r="AC67" i="3"/>
  <c r="AE67" i="3"/>
  <c r="AF67" i="3"/>
  <c r="AG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BB67" i="3"/>
  <c r="BC67" i="3"/>
  <c r="BE67" i="3"/>
  <c r="BF67" i="3"/>
  <c r="BG67" i="3"/>
  <c r="BH67" i="3"/>
  <c r="BI67" i="3"/>
  <c r="BJ67" i="3"/>
  <c r="O68" i="3"/>
  <c r="Q68" i="3"/>
  <c r="R68" i="3"/>
  <c r="T68" i="3"/>
  <c r="V68" i="3"/>
  <c r="W68" i="3"/>
  <c r="X68" i="3"/>
  <c r="Z68" i="3"/>
  <c r="AA68" i="3"/>
  <c r="AC68" i="3"/>
  <c r="AE68" i="3"/>
  <c r="AF68" i="3"/>
  <c r="AG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BB68" i="3"/>
  <c r="BC68" i="3"/>
  <c r="BE68" i="3"/>
  <c r="BF68" i="3"/>
  <c r="BG68" i="3"/>
  <c r="BH68" i="3"/>
  <c r="BI68" i="3"/>
  <c r="BJ68" i="3"/>
  <c r="O69" i="3"/>
  <c r="Q69" i="3"/>
  <c r="R69" i="3"/>
  <c r="T69" i="3"/>
  <c r="V69" i="3"/>
  <c r="W69" i="3"/>
  <c r="X69" i="3"/>
  <c r="Z69" i="3"/>
  <c r="AA69" i="3"/>
  <c r="AC69" i="3"/>
  <c r="AE69" i="3"/>
  <c r="AF69" i="3"/>
  <c r="AG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BB69" i="3"/>
  <c r="BC69" i="3"/>
  <c r="BE69" i="3"/>
  <c r="BF69" i="3"/>
  <c r="BG69" i="3"/>
  <c r="BH69" i="3"/>
  <c r="BI69" i="3"/>
  <c r="BJ69" i="3"/>
  <c r="O70" i="3"/>
  <c r="Q70" i="3"/>
  <c r="R70" i="3"/>
  <c r="T70" i="3"/>
  <c r="V70" i="3"/>
  <c r="W70" i="3"/>
  <c r="X70" i="3"/>
  <c r="Z70" i="3"/>
  <c r="AA70" i="3"/>
  <c r="AC70" i="3"/>
  <c r="AE70" i="3"/>
  <c r="AF70" i="3"/>
  <c r="AG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BB70" i="3"/>
  <c r="BC70" i="3"/>
  <c r="BE70" i="3"/>
  <c r="BF70" i="3"/>
  <c r="BG70" i="3"/>
  <c r="BH70" i="3"/>
  <c r="BI70" i="3"/>
  <c r="BJ70" i="3"/>
  <c r="O71" i="3"/>
  <c r="Q71" i="3"/>
  <c r="R71" i="3"/>
  <c r="T71" i="3"/>
  <c r="V71" i="3"/>
  <c r="W71" i="3"/>
  <c r="X71" i="3"/>
  <c r="Z71" i="3"/>
  <c r="AA71" i="3"/>
  <c r="AC71" i="3"/>
  <c r="AE71" i="3"/>
  <c r="AF71" i="3"/>
  <c r="AG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BB71" i="3"/>
  <c r="BC71" i="3"/>
  <c r="BE71" i="3"/>
  <c r="BF71" i="3"/>
  <c r="BG71" i="3"/>
  <c r="BH71" i="3"/>
  <c r="BI71" i="3"/>
  <c r="BJ71" i="3"/>
  <c r="O72" i="3"/>
  <c r="Q72" i="3"/>
  <c r="R72" i="3"/>
  <c r="T72" i="3"/>
  <c r="V72" i="3"/>
  <c r="W72" i="3"/>
  <c r="X72" i="3"/>
  <c r="Z72" i="3"/>
  <c r="AA72" i="3"/>
  <c r="AC72" i="3"/>
  <c r="AE72" i="3"/>
  <c r="AF72" i="3"/>
  <c r="AG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BB72" i="3"/>
  <c r="BC72" i="3"/>
  <c r="BF72" i="3"/>
  <c r="BG72" i="3"/>
  <c r="BH72" i="3"/>
  <c r="BI72" i="3"/>
  <c r="BJ72" i="3"/>
  <c r="O73" i="3"/>
  <c r="Q73" i="3"/>
  <c r="R73" i="3"/>
  <c r="T73" i="3"/>
  <c r="V73" i="3"/>
  <c r="W73" i="3"/>
  <c r="X73" i="3"/>
  <c r="Z73" i="3"/>
  <c r="AA73" i="3"/>
  <c r="AC73" i="3"/>
  <c r="AE73" i="3"/>
  <c r="AF73" i="3"/>
  <c r="AG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BB73" i="3"/>
  <c r="BC73" i="3"/>
  <c r="BF73" i="3"/>
  <c r="BG73" i="3"/>
  <c r="BH73" i="3"/>
  <c r="BI73" i="3"/>
  <c r="BJ73" i="3"/>
  <c r="O74" i="3"/>
  <c r="Q74" i="3"/>
  <c r="R74" i="3"/>
  <c r="T74" i="3"/>
  <c r="V74" i="3"/>
  <c r="W74" i="3"/>
  <c r="X74" i="3"/>
  <c r="Z74" i="3"/>
  <c r="AA74" i="3"/>
  <c r="AC74" i="3"/>
  <c r="AE74" i="3"/>
  <c r="AF74" i="3"/>
  <c r="AG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BB74" i="3"/>
  <c r="BC74" i="3"/>
  <c r="BF74" i="3"/>
  <c r="BG74" i="3"/>
  <c r="BH74" i="3"/>
  <c r="BI74" i="3"/>
  <c r="BJ74" i="3"/>
  <c r="O75" i="3"/>
  <c r="Q75" i="3"/>
  <c r="R75" i="3"/>
  <c r="T75" i="3"/>
  <c r="V75" i="3"/>
  <c r="W75" i="3"/>
  <c r="X75" i="3"/>
  <c r="Z75" i="3"/>
  <c r="AA75" i="3"/>
  <c r="AC75" i="3"/>
  <c r="AE75" i="3"/>
  <c r="AF75" i="3"/>
  <c r="AG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BB75" i="3"/>
  <c r="BC75" i="3"/>
  <c r="BF75" i="3"/>
  <c r="BG75" i="3"/>
  <c r="BH75" i="3"/>
  <c r="BI75" i="3"/>
  <c r="BJ75" i="3"/>
  <c r="O76" i="3"/>
  <c r="Q76" i="3"/>
  <c r="R76" i="3"/>
  <c r="T76" i="3"/>
  <c r="V76" i="3"/>
  <c r="W76" i="3"/>
  <c r="X76" i="3"/>
  <c r="Z76" i="3"/>
  <c r="AA76" i="3"/>
  <c r="AC76" i="3"/>
  <c r="AE76" i="3"/>
  <c r="AF76" i="3"/>
  <c r="AG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BB76" i="3"/>
  <c r="BC76" i="3"/>
  <c r="BF76" i="3"/>
  <c r="BG76" i="3"/>
  <c r="BH76" i="3"/>
  <c r="BI76" i="3"/>
  <c r="BJ76" i="3"/>
  <c r="O77" i="3"/>
  <c r="Q77" i="3"/>
  <c r="R77" i="3"/>
  <c r="T77" i="3"/>
  <c r="V77" i="3"/>
  <c r="W77" i="3"/>
  <c r="X77" i="3"/>
  <c r="Z77" i="3"/>
  <c r="AA77" i="3"/>
  <c r="AC77" i="3"/>
  <c r="AE77" i="3"/>
  <c r="AF77" i="3"/>
  <c r="AG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BB77" i="3"/>
  <c r="BC77" i="3"/>
  <c r="BF77" i="3"/>
  <c r="BG77" i="3"/>
  <c r="BH77" i="3"/>
  <c r="BI77" i="3"/>
  <c r="BJ77" i="3"/>
  <c r="O78" i="3"/>
  <c r="Q78" i="3"/>
  <c r="R78" i="3"/>
  <c r="T78" i="3"/>
  <c r="V78" i="3"/>
  <c r="W78" i="3"/>
  <c r="X78" i="3"/>
  <c r="Z78" i="3"/>
  <c r="AA78" i="3"/>
  <c r="AC78" i="3"/>
  <c r="AE78" i="3"/>
  <c r="AF78" i="3"/>
  <c r="AG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BB78" i="3"/>
  <c r="BC78" i="3"/>
  <c r="BF78" i="3"/>
  <c r="BG78" i="3"/>
  <c r="BH78" i="3"/>
  <c r="BI78" i="3"/>
  <c r="BJ78" i="3"/>
  <c r="O79" i="3"/>
  <c r="Q79" i="3"/>
  <c r="R79" i="3"/>
  <c r="T79" i="3"/>
  <c r="V79" i="3"/>
  <c r="W79" i="3"/>
  <c r="X79" i="3"/>
  <c r="Z79" i="3"/>
  <c r="AA79" i="3"/>
  <c r="AC79" i="3"/>
  <c r="AE79" i="3"/>
  <c r="AF79" i="3"/>
  <c r="AG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BB79" i="3"/>
  <c r="BC79" i="3"/>
  <c r="BF79" i="3"/>
  <c r="BG79" i="3"/>
  <c r="BH79" i="3"/>
  <c r="BI79" i="3"/>
  <c r="BJ79" i="3"/>
  <c r="O80" i="3"/>
  <c r="Q80" i="3"/>
  <c r="R80" i="3"/>
  <c r="T80" i="3"/>
  <c r="V80" i="3"/>
  <c r="W80" i="3"/>
  <c r="X80" i="3"/>
  <c r="Z80" i="3"/>
  <c r="AA80" i="3"/>
  <c r="AC80" i="3"/>
  <c r="AE80" i="3"/>
  <c r="AF80" i="3"/>
  <c r="AG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BB80" i="3"/>
  <c r="BC80" i="3"/>
  <c r="BF80" i="3"/>
  <c r="BG80" i="3"/>
  <c r="BH80" i="3"/>
  <c r="BI80" i="3"/>
  <c r="BJ80" i="3"/>
  <c r="O81" i="3"/>
  <c r="Q81" i="3"/>
  <c r="R81" i="3"/>
  <c r="T81" i="3"/>
  <c r="V81" i="3"/>
  <c r="W81" i="3"/>
  <c r="X81" i="3"/>
  <c r="Z81" i="3"/>
  <c r="AA81" i="3"/>
  <c r="AC81" i="3"/>
  <c r="AE81" i="3"/>
  <c r="AF81" i="3"/>
  <c r="AG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BB81" i="3"/>
  <c r="BC81" i="3"/>
  <c r="BF81" i="3"/>
  <c r="BG81" i="3"/>
  <c r="BH81" i="3"/>
  <c r="BI81" i="3"/>
  <c r="BJ81" i="3"/>
  <c r="O82" i="3"/>
  <c r="Q82" i="3"/>
  <c r="R82" i="3"/>
  <c r="T82" i="3"/>
  <c r="V82" i="3"/>
  <c r="W82" i="3"/>
  <c r="X82" i="3"/>
  <c r="Z82" i="3"/>
  <c r="AA82" i="3"/>
  <c r="AC82" i="3"/>
  <c r="AE82" i="3"/>
  <c r="AF82" i="3"/>
  <c r="AG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BB82" i="3"/>
  <c r="BC82" i="3"/>
  <c r="BF82" i="3"/>
  <c r="BG82" i="3"/>
  <c r="BH82" i="3"/>
  <c r="BI82" i="3"/>
  <c r="BJ82" i="3"/>
  <c r="O83" i="3"/>
  <c r="Q83" i="3"/>
  <c r="R83" i="3"/>
  <c r="T83" i="3"/>
  <c r="V83" i="3"/>
  <c r="W83" i="3"/>
  <c r="X83" i="3"/>
  <c r="Z83" i="3"/>
  <c r="AA83" i="3"/>
  <c r="AC83" i="3"/>
  <c r="AE83" i="3"/>
  <c r="AF83" i="3"/>
  <c r="AG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BB83" i="3"/>
  <c r="BC83" i="3"/>
  <c r="BF83" i="3"/>
  <c r="BG83" i="3"/>
  <c r="BH83" i="3"/>
  <c r="BI83" i="3"/>
  <c r="BJ83" i="3"/>
  <c r="O84" i="3"/>
  <c r="Q84" i="3"/>
  <c r="R84" i="3"/>
  <c r="T84" i="3"/>
  <c r="V84" i="3"/>
  <c r="W84" i="3"/>
  <c r="X84" i="3"/>
  <c r="Z84" i="3"/>
  <c r="AA84" i="3"/>
  <c r="AC84" i="3"/>
  <c r="AE84" i="3"/>
  <c r="AF84" i="3"/>
  <c r="AG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BB84" i="3"/>
  <c r="BC84" i="3"/>
  <c r="BF84" i="3"/>
  <c r="BG84" i="3"/>
  <c r="BH84" i="3"/>
  <c r="BI84" i="3"/>
  <c r="BJ84" i="3"/>
  <c r="O85" i="3"/>
  <c r="Q85" i="3"/>
  <c r="R85" i="3"/>
  <c r="T85" i="3"/>
  <c r="V85" i="3"/>
  <c r="W85" i="3"/>
  <c r="X85" i="3"/>
  <c r="Z85" i="3"/>
  <c r="AA85" i="3"/>
  <c r="AC85" i="3"/>
  <c r="AE85" i="3"/>
  <c r="AF85" i="3"/>
  <c r="AG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BB85" i="3"/>
  <c r="BC85" i="3"/>
  <c r="BF85" i="3"/>
  <c r="BG85" i="3"/>
  <c r="BH85" i="3"/>
  <c r="BI85" i="3"/>
  <c r="BJ85" i="3"/>
  <c r="O86" i="3"/>
  <c r="Q86" i="3"/>
  <c r="R86" i="3"/>
  <c r="T86" i="3"/>
  <c r="V86" i="3"/>
  <c r="W86" i="3"/>
  <c r="X86" i="3"/>
  <c r="Z86" i="3"/>
  <c r="AA86" i="3"/>
  <c r="AC86" i="3"/>
  <c r="AE86" i="3"/>
  <c r="AF86" i="3"/>
  <c r="AG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BB86" i="3"/>
  <c r="BC86" i="3"/>
  <c r="BE86" i="3"/>
  <c r="BF86" i="3"/>
  <c r="BG86" i="3"/>
  <c r="BH86" i="3"/>
  <c r="BI86" i="3"/>
  <c r="BJ86" i="3"/>
  <c r="O87" i="3"/>
  <c r="Q87" i="3"/>
  <c r="R87" i="3"/>
  <c r="T87" i="3"/>
  <c r="V87" i="3"/>
  <c r="W87" i="3"/>
  <c r="X87" i="3"/>
  <c r="Z87" i="3"/>
  <c r="AA87" i="3"/>
  <c r="AC87" i="3"/>
  <c r="AE87" i="3"/>
  <c r="AF87" i="3"/>
  <c r="AG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BB87" i="3"/>
  <c r="BC87" i="3"/>
  <c r="BF87" i="3"/>
  <c r="BG87" i="3"/>
  <c r="BH87" i="3"/>
  <c r="BI87" i="3"/>
  <c r="BJ87" i="3"/>
  <c r="O88" i="3"/>
  <c r="Q88" i="3"/>
  <c r="R88" i="3"/>
  <c r="T88" i="3"/>
  <c r="V88" i="3"/>
  <c r="W88" i="3"/>
  <c r="X88" i="3"/>
  <c r="Z88" i="3"/>
  <c r="AA88" i="3"/>
  <c r="AC88" i="3"/>
  <c r="AE88" i="3"/>
  <c r="AF88" i="3"/>
  <c r="AG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BB88" i="3"/>
  <c r="BC88" i="3"/>
  <c r="BF88" i="3"/>
  <c r="BG88" i="3"/>
  <c r="BH88" i="3"/>
  <c r="BI88" i="3"/>
  <c r="BJ88" i="3"/>
  <c r="O89" i="3"/>
  <c r="Q89" i="3"/>
  <c r="R89" i="3"/>
  <c r="T89" i="3"/>
  <c r="V89" i="3"/>
  <c r="W89" i="3"/>
  <c r="X89" i="3"/>
  <c r="Z89" i="3"/>
  <c r="AA89" i="3"/>
  <c r="AC89" i="3"/>
  <c r="AE89" i="3"/>
  <c r="AF89" i="3"/>
  <c r="AG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BB89" i="3"/>
  <c r="BC89" i="3"/>
  <c r="BF89" i="3"/>
  <c r="BG89" i="3"/>
  <c r="BH89" i="3"/>
  <c r="BI89" i="3"/>
  <c r="BJ89" i="3"/>
  <c r="O90" i="3"/>
  <c r="Q90" i="3"/>
  <c r="R90" i="3"/>
  <c r="T90" i="3"/>
  <c r="V90" i="3"/>
  <c r="W90" i="3"/>
  <c r="X90" i="3"/>
  <c r="Z90" i="3"/>
  <c r="AA90" i="3"/>
  <c r="AC90" i="3"/>
  <c r="AE90" i="3"/>
  <c r="AF90" i="3"/>
  <c r="AG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BB90" i="3"/>
  <c r="BC90" i="3"/>
  <c r="BF90" i="3"/>
  <c r="BG90" i="3"/>
  <c r="BH90" i="3"/>
  <c r="BI90" i="3"/>
  <c r="BJ90" i="3"/>
  <c r="O91" i="3"/>
  <c r="Q91" i="3"/>
  <c r="R91" i="3"/>
  <c r="T91" i="3"/>
  <c r="V91" i="3"/>
  <c r="W91" i="3"/>
  <c r="X91" i="3"/>
  <c r="Z91" i="3"/>
  <c r="AA91" i="3"/>
  <c r="AC91" i="3"/>
  <c r="AE91" i="3"/>
  <c r="AF91" i="3"/>
  <c r="AG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BB91" i="3"/>
  <c r="BC91" i="3"/>
  <c r="BF91" i="3"/>
  <c r="BG91" i="3"/>
  <c r="BH91" i="3"/>
  <c r="BI91" i="3"/>
  <c r="BJ91" i="3"/>
  <c r="O92" i="3"/>
  <c r="Q92" i="3"/>
  <c r="R92" i="3"/>
  <c r="T92" i="3"/>
  <c r="V92" i="3"/>
  <c r="W92" i="3"/>
  <c r="X92" i="3"/>
  <c r="Z92" i="3"/>
  <c r="AA92" i="3"/>
  <c r="AC92" i="3"/>
  <c r="AE92" i="3"/>
  <c r="AF92" i="3"/>
  <c r="AG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BB92" i="3"/>
  <c r="BC92" i="3"/>
  <c r="BE92" i="3"/>
  <c r="BF92" i="3"/>
  <c r="BG92" i="3"/>
  <c r="BH92" i="3"/>
  <c r="BI92" i="3"/>
  <c r="BJ92" i="3"/>
  <c r="O93" i="3"/>
  <c r="Q93" i="3"/>
  <c r="R93" i="3"/>
  <c r="T93" i="3"/>
  <c r="V93" i="3"/>
  <c r="W93" i="3"/>
  <c r="X93" i="3"/>
  <c r="Z93" i="3"/>
  <c r="AA93" i="3"/>
  <c r="AC93" i="3"/>
  <c r="AE93" i="3"/>
  <c r="AF93" i="3"/>
  <c r="AG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BB93" i="3"/>
  <c r="BC93" i="3"/>
  <c r="BF93" i="3"/>
  <c r="BG93" i="3"/>
  <c r="BH93" i="3"/>
  <c r="BI93" i="3"/>
  <c r="BJ93" i="3"/>
  <c r="O94" i="3"/>
  <c r="Q94" i="3"/>
  <c r="R94" i="3"/>
  <c r="T94" i="3"/>
  <c r="V94" i="3"/>
  <c r="W94" i="3"/>
  <c r="X94" i="3"/>
  <c r="Z94" i="3"/>
  <c r="AA94" i="3"/>
  <c r="AC94" i="3"/>
  <c r="AE94" i="3"/>
  <c r="AF94" i="3"/>
  <c r="AG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BB94" i="3"/>
  <c r="BC94" i="3"/>
  <c r="BF94" i="3"/>
  <c r="BG94" i="3"/>
  <c r="BH94" i="3"/>
  <c r="BI94" i="3"/>
  <c r="BJ94" i="3"/>
  <c r="O95" i="3"/>
  <c r="Q95" i="3"/>
  <c r="R95" i="3"/>
  <c r="T95" i="3"/>
  <c r="V95" i="3"/>
  <c r="W95" i="3"/>
  <c r="X95" i="3"/>
  <c r="Z95" i="3"/>
  <c r="AA95" i="3"/>
  <c r="AC95" i="3"/>
  <c r="AE95" i="3"/>
  <c r="AF95" i="3"/>
  <c r="AG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BB95" i="3"/>
  <c r="BC95" i="3"/>
  <c r="BF95" i="3"/>
  <c r="BG95" i="3"/>
  <c r="BH95" i="3"/>
  <c r="BI95" i="3"/>
  <c r="BJ95" i="3"/>
  <c r="O96" i="3"/>
  <c r="Q96" i="3"/>
  <c r="R96" i="3"/>
  <c r="T96" i="3"/>
  <c r="V96" i="3"/>
  <c r="W96" i="3"/>
  <c r="X96" i="3"/>
  <c r="Z96" i="3"/>
  <c r="AA96" i="3"/>
  <c r="AC96" i="3"/>
  <c r="AE96" i="3"/>
  <c r="AF96" i="3"/>
  <c r="AG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BB96" i="3"/>
  <c r="BC96" i="3"/>
  <c r="BF96" i="3"/>
  <c r="BG96" i="3"/>
  <c r="BH96" i="3"/>
  <c r="BI96" i="3"/>
  <c r="BJ96" i="3"/>
  <c r="O97" i="3"/>
  <c r="Q97" i="3"/>
  <c r="R97" i="3"/>
  <c r="T97" i="3"/>
  <c r="V97" i="3"/>
  <c r="W97" i="3"/>
  <c r="X97" i="3"/>
  <c r="Z97" i="3"/>
  <c r="AA97" i="3"/>
  <c r="AC97" i="3"/>
  <c r="AE97" i="3"/>
  <c r="AF97" i="3"/>
  <c r="AG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BB97" i="3"/>
  <c r="BC97" i="3"/>
  <c r="BF97" i="3"/>
  <c r="BG97" i="3"/>
  <c r="BH97" i="3"/>
  <c r="BI97" i="3"/>
  <c r="BJ97" i="3"/>
  <c r="O98" i="3"/>
  <c r="Q98" i="3"/>
  <c r="R98" i="3"/>
  <c r="T98" i="3"/>
  <c r="V98" i="3"/>
  <c r="W98" i="3"/>
  <c r="X98" i="3"/>
  <c r="Z98" i="3"/>
  <c r="AA98" i="3"/>
  <c r="AC98" i="3"/>
  <c r="AE98" i="3"/>
  <c r="AF98" i="3"/>
  <c r="AG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BB98" i="3"/>
  <c r="BC98" i="3"/>
  <c r="BF98" i="3"/>
  <c r="BG98" i="3"/>
  <c r="BH98" i="3"/>
  <c r="BI98" i="3"/>
  <c r="BJ98" i="3"/>
  <c r="O99" i="3"/>
  <c r="Q99" i="3"/>
  <c r="R99" i="3"/>
  <c r="T99" i="3"/>
  <c r="V99" i="3"/>
  <c r="W99" i="3"/>
  <c r="X99" i="3"/>
  <c r="Z99" i="3"/>
  <c r="AA99" i="3"/>
  <c r="AC99" i="3"/>
  <c r="AE99" i="3"/>
  <c r="AF99" i="3"/>
  <c r="AG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BB99" i="3"/>
  <c r="BC99" i="3"/>
  <c r="BF99" i="3"/>
  <c r="BG99" i="3"/>
  <c r="BH99" i="3"/>
  <c r="BI99" i="3"/>
  <c r="BJ99" i="3"/>
  <c r="O100" i="3"/>
  <c r="Q100" i="3"/>
  <c r="R100" i="3"/>
  <c r="T100" i="3"/>
  <c r="V100" i="3"/>
  <c r="W100" i="3"/>
  <c r="X100" i="3"/>
  <c r="Z100" i="3"/>
  <c r="AA100" i="3"/>
  <c r="AC100" i="3"/>
  <c r="AE100" i="3"/>
  <c r="AF100" i="3"/>
  <c r="AG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BB100" i="3"/>
  <c r="BC100" i="3"/>
  <c r="BF100" i="3"/>
  <c r="BG100" i="3"/>
  <c r="BH100" i="3"/>
  <c r="BI100" i="3"/>
  <c r="BJ100" i="3"/>
  <c r="O101" i="3"/>
  <c r="Q101" i="3"/>
  <c r="R101" i="3"/>
  <c r="T101" i="3"/>
  <c r="V101" i="3"/>
  <c r="W101" i="3"/>
  <c r="X101" i="3"/>
  <c r="Z101" i="3"/>
  <c r="AA101" i="3"/>
  <c r="AC101" i="3"/>
  <c r="AE101" i="3"/>
  <c r="AF101" i="3"/>
  <c r="AG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BB101" i="3"/>
  <c r="BC101" i="3"/>
  <c r="BF101" i="3"/>
  <c r="BG101" i="3"/>
  <c r="BH101" i="3"/>
  <c r="BI101" i="3"/>
  <c r="BJ101" i="3"/>
  <c r="O102" i="3"/>
  <c r="Q102" i="3"/>
  <c r="R102" i="3"/>
  <c r="T102" i="3"/>
  <c r="V102" i="3"/>
  <c r="W102" i="3"/>
  <c r="X102" i="3"/>
  <c r="Z102" i="3"/>
  <c r="AA102" i="3"/>
  <c r="AC102" i="3"/>
  <c r="AE102" i="3"/>
  <c r="AF102" i="3"/>
  <c r="AG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BB102" i="3"/>
  <c r="BC102" i="3"/>
  <c r="BF102" i="3"/>
  <c r="BG102" i="3"/>
  <c r="BH102" i="3"/>
  <c r="BI102" i="3"/>
  <c r="BJ102" i="3"/>
  <c r="I104" i="3"/>
  <c r="J104" i="3"/>
  <c r="O104" i="3"/>
  <c r="Q104" i="3"/>
  <c r="R104" i="3"/>
  <c r="T104" i="3"/>
  <c r="V104" i="3"/>
  <c r="W104" i="3"/>
  <c r="X104" i="3"/>
  <c r="Z104" i="3"/>
  <c r="AA104" i="3"/>
  <c r="AC104" i="3"/>
  <c r="AE104" i="3"/>
  <c r="AF104" i="3"/>
  <c r="AG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BI104" i="3"/>
  <c r="I12" i="1"/>
  <c r="M12" i="1"/>
  <c r="O12" i="1"/>
  <c r="P12" i="1"/>
  <c r="R12" i="1"/>
  <c r="T12" i="1"/>
  <c r="U12" i="1"/>
  <c r="V12" i="1"/>
  <c r="X12" i="1"/>
  <c r="Y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T12" i="1"/>
  <c r="AU12" i="1"/>
  <c r="AX12" i="1"/>
  <c r="AY12" i="1"/>
  <c r="AZ12" i="1"/>
  <c r="BA12" i="1"/>
  <c r="BB12" i="1"/>
  <c r="I13" i="1"/>
  <c r="M13" i="1"/>
  <c r="O13" i="1"/>
  <c r="P13" i="1"/>
  <c r="R13" i="1"/>
  <c r="T13" i="1"/>
  <c r="U13" i="1"/>
  <c r="V13" i="1"/>
  <c r="X13" i="1"/>
  <c r="Y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T13" i="1"/>
  <c r="AU13" i="1"/>
  <c r="AX13" i="1"/>
  <c r="AY13" i="1"/>
  <c r="AZ13" i="1"/>
  <c r="BA13" i="1"/>
  <c r="BB13" i="1"/>
  <c r="I14" i="1"/>
  <c r="M14" i="1"/>
  <c r="O14" i="1"/>
  <c r="P14" i="1"/>
  <c r="R14" i="1"/>
  <c r="T14" i="1"/>
  <c r="U14" i="1"/>
  <c r="V14" i="1"/>
  <c r="X14" i="1"/>
  <c r="Y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T14" i="1"/>
  <c r="AU14" i="1"/>
  <c r="AW14" i="1"/>
  <c r="AX14" i="1"/>
  <c r="AY14" i="1"/>
  <c r="AZ14" i="1"/>
  <c r="BA14" i="1"/>
  <c r="BB14" i="1"/>
  <c r="I15" i="1"/>
  <c r="M15" i="1"/>
  <c r="O15" i="1"/>
  <c r="P15" i="1"/>
  <c r="R15" i="1"/>
  <c r="T15" i="1"/>
  <c r="U15" i="1"/>
  <c r="V15" i="1"/>
  <c r="X15" i="1"/>
  <c r="Y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T15" i="1"/>
  <c r="AU15" i="1"/>
  <c r="AW15" i="1"/>
  <c r="AX15" i="1"/>
  <c r="AY15" i="1"/>
  <c r="AZ15" i="1"/>
  <c r="BA15" i="1"/>
  <c r="BB15" i="1"/>
  <c r="I16" i="1"/>
  <c r="M16" i="1"/>
  <c r="O16" i="1"/>
  <c r="P16" i="1"/>
  <c r="R16" i="1"/>
  <c r="T16" i="1"/>
  <c r="U16" i="1"/>
  <c r="V16" i="1"/>
  <c r="X16" i="1"/>
  <c r="Y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T16" i="1"/>
  <c r="AU16" i="1"/>
  <c r="AW16" i="1"/>
  <c r="AX16" i="1"/>
  <c r="AY16" i="1"/>
  <c r="AZ16" i="1"/>
  <c r="BA16" i="1"/>
  <c r="BB16" i="1"/>
  <c r="I17" i="1"/>
  <c r="M17" i="1"/>
  <c r="O17" i="1"/>
  <c r="P17" i="1"/>
  <c r="R17" i="1"/>
  <c r="T17" i="1"/>
  <c r="U17" i="1"/>
  <c r="V17" i="1"/>
  <c r="X17" i="1"/>
  <c r="Y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T17" i="1"/>
  <c r="AU17" i="1"/>
  <c r="AW17" i="1"/>
  <c r="AX17" i="1"/>
  <c r="AY17" i="1"/>
  <c r="AZ17" i="1"/>
  <c r="BA17" i="1"/>
  <c r="BB17" i="1"/>
  <c r="I18" i="1"/>
  <c r="M18" i="1"/>
  <c r="O18" i="1"/>
  <c r="P18" i="1"/>
  <c r="R18" i="1"/>
  <c r="T18" i="1"/>
  <c r="U18" i="1"/>
  <c r="V18" i="1"/>
  <c r="X18" i="1"/>
  <c r="Y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T18" i="1"/>
  <c r="AU18" i="1"/>
  <c r="AW18" i="1"/>
  <c r="AX18" i="1"/>
  <c r="AY18" i="1"/>
  <c r="AZ18" i="1"/>
  <c r="BA18" i="1"/>
  <c r="BB18" i="1"/>
  <c r="I19" i="1"/>
  <c r="M19" i="1"/>
  <c r="O19" i="1"/>
  <c r="P19" i="1"/>
  <c r="R19" i="1"/>
  <c r="T19" i="1"/>
  <c r="U19" i="1"/>
  <c r="V19" i="1"/>
  <c r="X19" i="1"/>
  <c r="Y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T19" i="1"/>
  <c r="AU19" i="1"/>
  <c r="AW19" i="1"/>
  <c r="AX19" i="1"/>
  <c r="AY19" i="1"/>
  <c r="AZ19" i="1"/>
  <c r="BA19" i="1"/>
  <c r="BB19" i="1"/>
  <c r="I20" i="1"/>
  <c r="M20" i="1"/>
  <c r="O20" i="1"/>
  <c r="P20" i="1"/>
  <c r="R20" i="1"/>
  <c r="T20" i="1"/>
  <c r="U20" i="1"/>
  <c r="V20" i="1"/>
  <c r="X20" i="1"/>
  <c r="Y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T20" i="1"/>
  <c r="AU20" i="1"/>
  <c r="AW20" i="1"/>
  <c r="AX20" i="1"/>
  <c r="AY20" i="1"/>
  <c r="AZ20" i="1"/>
  <c r="BA20" i="1"/>
  <c r="BB20" i="1"/>
  <c r="I21" i="1"/>
  <c r="M21" i="1"/>
  <c r="O21" i="1"/>
  <c r="P21" i="1"/>
  <c r="R21" i="1"/>
  <c r="T21" i="1"/>
  <c r="U21" i="1"/>
  <c r="V21" i="1"/>
  <c r="X21" i="1"/>
  <c r="Y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T21" i="1"/>
  <c r="AU21" i="1"/>
  <c r="AW21" i="1"/>
  <c r="AX21" i="1"/>
  <c r="AY21" i="1"/>
  <c r="AZ21" i="1"/>
  <c r="BA21" i="1"/>
  <c r="BB21" i="1"/>
  <c r="I22" i="1"/>
  <c r="M22" i="1"/>
  <c r="O22" i="1"/>
  <c r="P22" i="1"/>
  <c r="R22" i="1"/>
  <c r="T22" i="1"/>
  <c r="U22" i="1"/>
  <c r="V22" i="1"/>
  <c r="X22" i="1"/>
  <c r="Y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T22" i="1"/>
  <c r="AU22" i="1"/>
  <c r="AW22" i="1"/>
  <c r="AX22" i="1"/>
  <c r="AY22" i="1"/>
  <c r="AZ22" i="1"/>
  <c r="BA22" i="1"/>
  <c r="BB22" i="1"/>
  <c r="I23" i="1"/>
  <c r="M23" i="1"/>
  <c r="O23" i="1"/>
  <c r="P23" i="1"/>
  <c r="R23" i="1"/>
  <c r="T23" i="1"/>
  <c r="U23" i="1"/>
  <c r="V23" i="1"/>
  <c r="X23" i="1"/>
  <c r="Y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T23" i="1"/>
  <c r="AU23" i="1"/>
  <c r="AW23" i="1"/>
  <c r="AX23" i="1"/>
  <c r="AY23" i="1"/>
  <c r="AZ23" i="1"/>
  <c r="BA23" i="1"/>
  <c r="BB23" i="1"/>
  <c r="I24" i="1"/>
  <c r="M24" i="1"/>
  <c r="O24" i="1"/>
  <c r="P24" i="1"/>
  <c r="R24" i="1"/>
  <c r="T24" i="1"/>
  <c r="U24" i="1"/>
  <c r="V24" i="1"/>
  <c r="X24" i="1"/>
  <c r="Y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T24" i="1"/>
  <c r="AU24" i="1"/>
  <c r="AW24" i="1"/>
  <c r="AX24" i="1"/>
  <c r="AY24" i="1"/>
  <c r="AZ24" i="1"/>
  <c r="BA24" i="1"/>
  <c r="BB24" i="1"/>
  <c r="I25" i="1"/>
  <c r="M25" i="1"/>
  <c r="O25" i="1"/>
  <c r="P25" i="1"/>
  <c r="R25" i="1"/>
  <c r="T25" i="1"/>
  <c r="U25" i="1"/>
  <c r="V25" i="1"/>
  <c r="X25" i="1"/>
  <c r="Y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T25" i="1"/>
  <c r="AU25" i="1"/>
  <c r="AW25" i="1"/>
  <c r="AX25" i="1"/>
  <c r="AY25" i="1"/>
  <c r="AZ25" i="1"/>
  <c r="BA25" i="1"/>
  <c r="BB25" i="1"/>
  <c r="I26" i="1"/>
  <c r="M26" i="1"/>
  <c r="O26" i="1"/>
  <c r="P26" i="1"/>
  <c r="R26" i="1"/>
  <c r="T26" i="1"/>
  <c r="U26" i="1"/>
  <c r="V26" i="1"/>
  <c r="X26" i="1"/>
  <c r="Y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T26" i="1"/>
  <c r="AU26" i="1"/>
  <c r="AW26" i="1"/>
  <c r="AX26" i="1"/>
  <c r="AY26" i="1"/>
  <c r="AZ26" i="1"/>
  <c r="BA26" i="1"/>
  <c r="BB26" i="1"/>
  <c r="I27" i="1"/>
  <c r="M27" i="1"/>
  <c r="O27" i="1"/>
  <c r="P27" i="1"/>
  <c r="R27" i="1"/>
  <c r="T27" i="1"/>
  <c r="U27" i="1"/>
  <c r="V27" i="1"/>
  <c r="X27" i="1"/>
  <c r="Y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T27" i="1"/>
  <c r="AU27" i="1"/>
  <c r="AW27" i="1"/>
  <c r="AX27" i="1"/>
  <c r="AY27" i="1"/>
  <c r="AZ27" i="1"/>
  <c r="BA27" i="1"/>
  <c r="BB27" i="1"/>
  <c r="I28" i="1"/>
  <c r="M28" i="1"/>
  <c r="O28" i="1"/>
  <c r="P28" i="1"/>
  <c r="R28" i="1"/>
  <c r="T28" i="1"/>
  <c r="U28" i="1"/>
  <c r="V28" i="1"/>
  <c r="X28" i="1"/>
  <c r="Y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T28" i="1"/>
  <c r="AU28" i="1"/>
  <c r="AW28" i="1"/>
  <c r="AX28" i="1"/>
  <c r="AY28" i="1"/>
  <c r="AZ28" i="1"/>
  <c r="BA28" i="1"/>
  <c r="BB28" i="1"/>
  <c r="I29" i="1"/>
  <c r="M29" i="1"/>
  <c r="O29" i="1"/>
  <c r="P29" i="1"/>
  <c r="R29" i="1"/>
  <c r="T29" i="1"/>
  <c r="U29" i="1"/>
  <c r="V29" i="1"/>
  <c r="X29" i="1"/>
  <c r="Y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T29" i="1"/>
  <c r="AU29" i="1"/>
  <c r="AW29" i="1"/>
  <c r="AX29" i="1"/>
  <c r="AY29" i="1"/>
  <c r="AZ29" i="1"/>
  <c r="BA29" i="1"/>
  <c r="BB29" i="1"/>
  <c r="I30" i="1"/>
  <c r="M30" i="1"/>
  <c r="O30" i="1"/>
  <c r="P30" i="1"/>
  <c r="R30" i="1"/>
  <c r="T30" i="1"/>
  <c r="U30" i="1"/>
  <c r="V30" i="1"/>
  <c r="X30" i="1"/>
  <c r="Y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T30" i="1"/>
  <c r="AU30" i="1"/>
  <c r="AW30" i="1"/>
  <c r="AX30" i="1"/>
  <c r="AY30" i="1"/>
  <c r="AZ30" i="1"/>
  <c r="BA30" i="1"/>
  <c r="BB30" i="1"/>
  <c r="I31" i="1"/>
  <c r="M31" i="1"/>
  <c r="O31" i="1"/>
  <c r="P31" i="1"/>
  <c r="R31" i="1"/>
  <c r="T31" i="1"/>
  <c r="U31" i="1"/>
  <c r="V31" i="1"/>
  <c r="X31" i="1"/>
  <c r="Y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T31" i="1"/>
  <c r="AU31" i="1"/>
  <c r="AW31" i="1"/>
  <c r="AX31" i="1"/>
  <c r="AY31" i="1"/>
  <c r="AZ31" i="1"/>
  <c r="BA31" i="1"/>
  <c r="BB31" i="1"/>
  <c r="I32" i="1"/>
  <c r="M32" i="1"/>
  <c r="O32" i="1"/>
  <c r="P32" i="1"/>
  <c r="R32" i="1"/>
  <c r="T32" i="1"/>
  <c r="U32" i="1"/>
  <c r="V32" i="1"/>
  <c r="X32" i="1"/>
  <c r="Y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T32" i="1"/>
  <c r="AU32" i="1"/>
  <c r="AW32" i="1"/>
  <c r="AX32" i="1"/>
  <c r="AY32" i="1"/>
  <c r="AZ32" i="1"/>
  <c r="BA32" i="1"/>
  <c r="BB32" i="1"/>
  <c r="I33" i="1"/>
  <c r="M33" i="1"/>
  <c r="O33" i="1"/>
  <c r="P33" i="1"/>
  <c r="R33" i="1"/>
  <c r="T33" i="1"/>
  <c r="U33" i="1"/>
  <c r="V33" i="1"/>
  <c r="X33" i="1"/>
  <c r="Y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T33" i="1"/>
  <c r="AU33" i="1"/>
  <c r="AW33" i="1"/>
  <c r="AX33" i="1"/>
  <c r="AY33" i="1"/>
  <c r="AZ33" i="1"/>
  <c r="BA33" i="1"/>
  <c r="BB33" i="1"/>
  <c r="I34" i="1"/>
  <c r="M34" i="1"/>
  <c r="O34" i="1"/>
  <c r="P34" i="1"/>
  <c r="R34" i="1"/>
  <c r="T34" i="1"/>
  <c r="U34" i="1"/>
  <c r="V34" i="1"/>
  <c r="X34" i="1"/>
  <c r="Y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T34" i="1"/>
  <c r="AU34" i="1"/>
  <c r="AW34" i="1"/>
  <c r="AX34" i="1"/>
  <c r="AY34" i="1"/>
  <c r="AZ34" i="1"/>
  <c r="BA34" i="1"/>
  <c r="BB34" i="1"/>
  <c r="I35" i="1"/>
  <c r="M35" i="1"/>
  <c r="O35" i="1"/>
  <c r="P35" i="1"/>
  <c r="R35" i="1"/>
  <c r="T35" i="1"/>
  <c r="U35" i="1"/>
  <c r="V35" i="1"/>
  <c r="X35" i="1"/>
  <c r="Y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T35" i="1"/>
  <c r="AU35" i="1"/>
  <c r="AW35" i="1"/>
  <c r="AX35" i="1"/>
  <c r="AY35" i="1"/>
  <c r="AZ35" i="1"/>
  <c r="BA35" i="1"/>
  <c r="BB35" i="1"/>
  <c r="I36" i="1"/>
  <c r="M36" i="1"/>
  <c r="O36" i="1"/>
  <c r="P36" i="1"/>
  <c r="R36" i="1"/>
  <c r="T36" i="1"/>
  <c r="U36" i="1"/>
  <c r="V36" i="1"/>
  <c r="X36" i="1"/>
  <c r="Y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T36" i="1"/>
  <c r="AU36" i="1"/>
  <c r="AW36" i="1"/>
  <c r="AX36" i="1"/>
  <c r="AY36" i="1"/>
  <c r="AZ36" i="1"/>
  <c r="BA36" i="1"/>
  <c r="BB36" i="1"/>
  <c r="I37" i="1"/>
  <c r="M37" i="1"/>
  <c r="O37" i="1"/>
  <c r="P37" i="1"/>
  <c r="R37" i="1"/>
  <c r="T37" i="1"/>
  <c r="U37" i="1"/>
  <c r="V37" i="1"/>
  <c r="X37" i="1"/>
  <c r="Y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T37" i="1"/>
  <c r="AU37" i="1"/>
  <c r="AW37" i="1"/>
  <c r="AX37" i="1"/>
  <c r="AY37" i="1"/>
  <c r="AZ37" i="1"/>
  <c r="BA37" i="1"/>
  <c r="BB37" i="1"/>
  <c r="I38" i="1"/>
  <c r="M38" i="1"/>
  <c r="O38" i="1"/>
  <c r="P38" i="1"/>
  <c r="R38" i="1"/>
  <c r="T38" i="1"/>
  <c r="U38" i="1"/>
  <c r="V38" i="1"/>
  <c r="X38" i="1"/>
  <c r="Y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T38" i="1"/>
  <c r="AU38" i="1"/>
  <c r="AW38" i="1"/>
  <c r="AX38" i="1"/>
  <c r="AY38" i="1"/>
  <c r="AZ38" i="1"/>
  <c r="BA38" i="1"/>
  <c r="BB38" i="1"/>
  <c r="I39" i="1"/>
  <c r="M39" i="1"/>
  <c r="O39" i="1"/>
  <c r="P39" i="1"/>
  <c r="R39" i="1"/>
  <c r="T39" i="1"/>
  <c r="U39" i="1"/>
  <c r="V39" i="1"/>
  <c r="X39" i="1"/>
  <c r="Y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T39" i="1"/>
  <c r="AU39" i="1"/>
  <c r="AW39" i="1"/>
  <c r="AX39" i="1"/>
  <c r="AY39" i="1"/>
  <c r="AZ39" i="1"/>
  <c r="BA39" i="1"/>
  <c r="BB39" i="1"/>
  <c r="I40" i="1"/>
  <c r="M40" i="1"/>
  <c r="O40" i="1"/>
  <c r="P40" i="1"/>
  <c r="R40" i="1"/>
  <c r="T40" i="1"/>
  <c r="U40" i="1"/>
  <c r="V40" i="1"/>
  <c r="X40" i="1"/>
  <c r="Y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T40" i="1"/>
  <c r="AU40" i="1"/>
  <c r="AW40" i="1"/>
  <c r="AX40" i="1"/>
  <c r="AY40" i="1"/>
  <c r="AZ40" i="1"/>
  <c r="BA40" i="1"/>
  <c r="BB40" i="1"/>
  <c r="I41" i="1"/>
  <c r="M41" i="1"/>
  <c r="O41" i="1"/>
  <c r="P41" i="1"/>
  <c r="R41" i="1"/>
  <c r="T41" i="1"/>
  <c r="U41" i="1"/>
  <c r="V41" i="1"/>
  <c r="X41" i="1"/>
  <c r="Y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T41" i="1"/>
  <c r="AU41" i="1"/>
  <c r="AW41" i="1"/>
  <c r="AX41" i="1"/>
  <c r="AY41" i="1"/>
  <c r="AZ41" i="1"/>
  <c r="BA41" i="1"/>
  <c r="BB41" i="1"/>
  <c r="I42" i="1"/>
  <c r="M42" i="1"/>
  <c r="O42" i="1"/>
  <c r="P42" i="1"/>
  <c r="R42" i="1"/>
  <c r="T42" i="1"/>
  <c r="U42" i="1"/>
  <c r="V42" i="1"/>
  <c r="X42" i="1"/>
  <c r="Y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T42" i="1"/>
  <c r="AU42" i="1"/>
  <c r="AW42" i="1"/>
  <c r="AX42" i="1"/>
  <c r="AY42" i="1"/>
  <c r="AZ42" i="1"/>
  <c r="BA42" i="1"/>
  <c r="BB42" i="1"/>
  <c r="I43" i="1"/>
  <c r="M43" i="1"/>
  <c r="O43" i="1"/>
  <c r="P43" i="1"/>
  <c r="R43" i="1"/>
  <c r="T43" i="1"/>
  <c r="U43" i="1"/>
  <c r="V43" i="1"/>
  <c r="X43" i="1"/>
  <c r="Y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T43" i="1"/>
  <c r="AU43" i="1"/>
  <c r="AW43" i="1"/>
  <c r="AX43" i="1"/>
  <c r="AY43" i="1"/>
  <c r="AZ43" i="1"/>
  <c r="BA43" i="1"/>
  <c r="BB43" i="1"/>
  <c r="I44" i="1"/>
  <c r="M44" i="1"/>
  <c r="O44" i="1"/>
  <c r="P44" i="1"/>
  <c r="R44" i="1"/>
  <c r="T44" i="1"/>
  <c r="U44" i="1"/>
  <c r="V44" i="1"/>
  <c r="X44" i="1"/>
  <c r="Y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T44" i="1"/>
  <c r="AU44" i="1"/>
  <c r="AW44" i="1"/>
  <c r="AX44" i="1"/>
  <c r="AY44" i="1"/>
  <c r="AZ44" i="1"/>
  <c r="BA44" i="1"/>
  <c r="BB44" i="1"/>
  <c r="I45" i="1"/>
  <c r="M45" i="1"/>
  <c r="O45" i="1"/>
  <c r="P45" i="1"/>
  <c r="R45" i="1"/>
  <c r="T45" i="1"/>
  <c r="U45" i="1"/>
  <c r="V45" i="1"/>
  <c r="X45" i="1"/>
  <c r="Y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T45" i="1"/>
  <c r="AU45" i="1"/>
  <c r="AX45" i="1"/>
  <c r="AY45" i="1"/>
  <c r="AZ45" i="1"/>
  <c r="BA45" i="1"/>
  <c r="BB45" i="1"/>
  <c r="I46" i="1"/>
  <c r="K46" i="1"/>
  <c r="M46" i="1"/>
  <c r="O46" i="1"/>
  <c r="P46" i="1"/>
  <c r="R46" i="1"/>
  <c r="T46" i="1"/>
  <c r="U46" i="1"/>
  <c r="V46" i="1"/>
  <c r="X46" i="1"/>
  <c r="Y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T46" i="1"/>
  <c r="AU46" i="1"/>
  <c r="AW46" i="1"/>
  <c r="AX46" i="1"/>
  <c r="AY46" i="1"/>
  <c r="AZ46" i="1"/>
  <c r="BA46" i="1"/>
  <c r="BB46" i="1"/>
  <c r="M47" i="1"/>
  <c r="O47" i="1"/>
  <c r="P47" i="1"/>
  <c r="R47" i="1"/>
  <c r="T47" i="1"/>
  <c r="U47" i="1"/>
  <c r="V47" i="1"/>
  <c r="X47" i="1"/>
  <c r="Y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T47" i="1"/>
  <c r="AU47" i="1"/>
  <c r="AW47" i="1"/>
  <c r="AX47" i="1"/>
  <c r="AY47" i="1"/>
  <c r="AZ47" i="1"/>
  <c r="BA47" i="1"/>
  <c r="BB47" i="1"/>
  <c r="M48" i="1"/>
  <c r="O48" i="1"/>
  <c r="P48" i="1"/>
  <c r="R48" i="1"/>
  <c r="T48" i="1"/>
  <c r="U48" i="1"/>
  <c r="V48" i="1"/>
  <c r="X48" i="1"/>
  <c r="Y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T48" i="1"/>
  <c r="AU48" i="1"/>
  <c r="AW48" i="1"/>
  <c r="AX48" i="1"/>
  <c r="AY48" i="1"/>
  <c r="AZ48" i="1"/>
  <c r="BA48" i="1"/>
  <c r="BB48" i="1"/>
  <c r="M49" i="1"/>
  <c r="O49" i="1"/>
  <c r="P49" i="1"/>
  <c r="R49" i="1"/>
  <c r="T49" i="1"/>
  <c r="U49" i="1"/>
  <c r="V49" i="1"/>
  <c r="X49" i="1"/>
  <c r="Y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T49" i="1"/>
  <c r="AU49" i="1"/>
  <c r="AW49" i="1"/>
  <c r="AX49" i="1"/>
  <c r="AY49" i="1"/>
  <c r="AZ49" i="1"/>
  <c r="BA49" i="1"/>
  <c r="BB49" i="1"/>
  <c r="M50" i="1"/>
  <c r="O50" i="1"/>
  <c r="P50" i="1"/>
  <c r="R50" i="1"/>
  <c r="T50" i="1"/>
  <c r="U50" i="1"/>
  <c r="V50" i="1"/>
  <c r="X50" i="1"/>
  <c r="Y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T50" i="1"/>
  <c r="AU50" i="1"/>
  <c r="AW50" i="1"/>
  <c r="AX50" i="1"/>
  <c r="AY50" i="1"/>
  <c r="AZ50" i="1"/>
  <c r="BA50" i="1"/>
  <c r="BB50" i="1"/>
  <c r="M51" i="1"/>
  <c r="O51" i="1"/>
  <c r="P51" i="1"/>
  <c r="R51" i="1"/>
  <c r="T51" i="1"/>
  <c r="U51" i="1"/>
  <c r="V51" i="1"/>
  <c r="X51" i="1"/>
  <c r="Y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T51" i="1"/>
  <c r="AU51" i="1"/>
  <c r="AW51" i="1"/>
  <c r="AX51" i="1"/>
  <c r="AY51" i="1"/>
  <c r="AZ51" i="1"/>
  <c r="BA51" i="1"/>
  <c r="BB51" i="1"/>
  <c r="M52" i="1"/>
  <c r="O52" i="1"/>
  <c r="P52" i="1"/>
  <c r="R52" i="1"/>
  <c r="T52" i="1"/>
  <c r="U52" i="1"/>
  <c r="V52" i="1"/>
  <c r="X52" i="1"/>
  <c r="Y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T52" i="1"/>
  <c r="AU52" i="1"/>
  <c r="AW52" i="1"/>
  <c r="AX52" i="1"/>
  <c r="AY52" i="1"/>
  <c r="AZ52" i="1"/>
  <c r="BA52" i="1"/>
  <c r="BB52" i="1"/>
  <c r="M53" i="1"/>
  <c r="O53" i="1"/>
  <c r="P53" i="1"/>
  <c r="R53" i="1"/>
  <c r="T53" i="1"/>
  <c r="U53" i="1"/>
  <c r="V53" i="1"/>
  <c r="X53" i="1"/>
  <c r="Y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T53" i="1"/>
  <c r="AU53" i="1"/>
  <c r="AW53" i="1"/>
  <c r="AX53" i="1"/>
  <c r="AY53" i="1"/>
  <c r="AZ53" i="1"/>
  <c r="BA53" i="1"/>
  <c r="BB53" i="1"/>
  <c r="M54" i="1"/>
  <c r="O54" i="1"/>
  <c r="P54" i="1"/>
  <c r="R54" i="1"/>
  <c r="T54" i="1"/>
  <c r="U54" i="1"/>
  <c r="V54" i="1"/>
  <c r="X54" i="1"/>
  <c r="Y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T54" i="1"/>
  <c r="AU54" i="1"/>
  <c r="AW54" i="1"/>
  <c r="AX54" i="1"/>
  <c r="AY54" i="1"/>
  <c r="AZ54" i="1"/>
  <c r="BA54" i="1"/>
  <c r="BB54" i="1"/>
  <c r="M55" i="1"/>
  <c r="O55" i="1"/>
  <c r="P55" i="1"/>
  <c r="R55" i="1"/>
  <c r="T55" i="1"/>
  <c r="U55" i="1"/>
  <c r="V55" i="1"/>
  <c r="X55" i="1"/>
  <c r="Y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T55" i="1"/>
  <c r="AU55" i="1"/>
  <c r="AW55" i="1"/>
  <c r="AX55" i="1"/>
  <c r="AY55" i="1"/>
  <c r="AZ55" i="1"/>
  <c r="BA55" i="1"/>
  <c r="BB55" i="1"/>
  <c r="M56" i="1"/>
  <c r="O56" i="1"/>
  <c r="P56" i="1"/>
  <c r="R56" i="1"/>
  <c r="T56" i="1"/>
  <c r="U56" i="1"/>
  <c r="V56" i="1"/>
  <c r="X56" i="1"/>
  <c r="Y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T56" i="1"/>
  <c r="AU56" i="1"/>
  <c r="AW56" i="1"/>
  <c r="AX56" i="1"/>
  <c r="AY56" i="1"/>
  <c r="AZ56" i="1"/>
  <c r="BA56" i="1"/>
  <c r="BB56" i="1"/>
  <c r="M57" i="1"/>
  <c r="O57" i="1"/>
  <c r="P57" i="1"/>
  <c r="R57" i="1"/>
  <c r="T57" i="1"/>
  <c r="U57" i="1"/>
  <c r="V57" i="1"/>
  <c r="X57" i="1"/>
  <c r="Y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T57" i="1"/>
  <c r="AU57" i="1"/>
  <c r="AW57" i="1"/>
  <c r="AX57" i="1"/>
  <c r="AY57" i="1"/>
  <c r="AZ57" i="1"/>
  <c r="BA57" i="1"/>
  <c r="BB57" i="1"/>
  <c r="M58" i="1"/>
  <c r="O58" i="1"/>
  <c r="P58" i="1"/>
  <c r="R58" i="1"/>
  <c r="T58" i="1"/>
  <c r="U58" i="1"/>
  <c r="V58" i="1"/>
  <c r="X58" i="1"/>
  <c r="Y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T58" i="1"/>
  <c r="AU58" i="1"/>
  <c r="AW58" i="1"/>
  <c r="AX58" i="1"/>
  <c r="AY58" i="1"/>
  <c r="AZ58" i="1"/>
  <c r="BA58" i="1"/>
  <c r="BB58" i="1"/>
  <c r="M59" i="1"/>
  <c r="O59" i="1"/>
  <c r="P59" i="1"/>
  <c r="R59" i="1"/>
  <c r="T59" i="1"/>
  <c r="U59" i="1"/>
  <c r="V59" i="1"/>
  <c r="X59" i="1"/>
  <c r="Y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T59" i="1"/>
  <c r="AU59" i="1"/>
  <c r="AW59" i="1"/>
  <c r="AX59" i="1"/>
  <c r="AY59" i="1"/>
  <c r="AZ59" i="1"/>
  <c r="BA59" i="1"/>
  <c r="BB59" i="1"/>
  <c r="M60" i="1"/>
  <c r="O60" i="1"/>
  <c r="P60" i="1"/>
  <c r="R60" i="1"/>
  <c r="T60" i="1"/>
  <c r="U60" i="1"/>
  <c r="V60" i="1"/>
  <c r="X60" i="1"/>
  <c r="Y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T60" i="1"/>
  <c r="AU60" i="1"/>
  <c r="AW60" i="1"/>
  <c r="AX60" i="1"/>
  <c r="AY60" i="1"/>
  <c r="AZ60" i="1"/>
  <c r="BA60" i="1"/>
  <c r="BB60" i="1"/>
  <c r="M61" i="1"/>
  <c r="O61" i="1"/>
  <c r="P61" i="1"/>
  <c r="R61" i="1"/>
  <c r="T61" i="1"/>
  <c r="U61" i="1"/>
  <c r="V61" i="1"/>
  <c r="X61" i="1"/>
  <c r="Y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T61" i="1"/>
  <c r="AU61" i="1"/>
  <c r="AW61" i="1"/>
  <c r="AX61" i="1"/>
  <c r="AY61" i="1"/>
  <c r="AZ61" i="1"/>
  <c r="BA61" i="1"/>
  <c r="BB61" i="1"/>
  <c r="M62" i="1"/>
  <c r="O62" i="1"/>
  <c r="P62" i="1"/>
  <c r="R62" i="1"/>
  <c r="T62" i="1"/>
  <c r="U62" i="1"/>
  <c r="V62" i="1"/>
  <c r="X62" i="1"/>
  <c r="Y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T62" i="1"/>
  <c r="AU62" i="1"/>
  <c r="AX62" i="1"/>
  <c r="AY62" i="1"/>
  <c r="AZ62" i="1"/>
  <c r="BA62" i="1"/>
  <c r="BB62" i="1"/>
  <c r="M63" i="1"/>
  <c r="O63" i="1"/>
  <c r="P63" i="1"/>
  <c r="R63" i="1"/>
  <c r="T63" i="1"/>
  <c r="U63" i="1"/>
  <c r="V63" i="1"/>
  <c r="X63" i="1"/>
  <c r="Y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T63" i="1"/>
  <c r="AU63" i="1"/>
  <c r="AW63" i="1"/>
  <c r="AX63" i="1"/>
  <c r="AY63" i="1"/>
  <c r="AZ63" i="1"/>
  <c r="BA63" i="1"/>
  <c r="BB63" i="1"/>
  <c r="M64" i="1"/>
  <c r="O64" i="1"/>
  <c r="P64" i="1"/>
  <c r="R64" i="1"/>
  <c r="T64" i="1"/>
  <c r="U64" i="1"/>
  <c r="V64" i="1"/>
  <c r="X64" i="1"/>
  <c r="Y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T64" i="1"/>
  <c r="AU64" i="1"/>
  <c r="AW64" i="1"/>
  <c r="AX64" i="1"/>
  <c r="AY64" i="1"/>
  <c r="AZ64" i="1"/>
  <c r="BA64" i="1"/>
  <c r="BB64" i="1"/>
  <c r="M65" i="1"/>
  <c r="O65" i="1"/>
  <c r="P65" i="1"/>
  <c r="R65" i="1"/>
  <c r="T65" i="1"/>
  <c r="U65" i="1"/>
  <c r="V65" i="1"/>
  <c r="X65" i="1"/>
  <c r="Y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T65" i="1"/>
  <c r="AU65" i="1"/>
  <c r="AW65" i="1"/>
  <c r="AX65" i="1"/>
  <c r="AY65" i="1"/>
  <c r="AZ65" i="1"/>
  <c r="BA65" i="1"/>
  <c r="BB65" i="1"/>
  <c r="M66" i="1"/>
  <c r="O66" i="1"/>
  <c r="P66" i="1"/>
  <c r="R66" i="1"/>
  <c r="T66" i="1"/>
  <c r="U66" i="1"/>
  <c r="V66" i="1"/>
  <c r="X66" i="1"/>
  <c r="Y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T66" i="1"/>
  <c r="AU66" i="1"/>
  <c r="AW66" i="1"/>
  <c r="AX66" i="1"/>
  <c r="AY66" i="1"/>
  <c r="AZ66" i="1"/>
  <c r="BA66" i="1"/>
  <c r="BB66" i="1"/>
  <c r="M67" i="1"/>
  <c r="O67" i="1"/>
  <c r="P67" i="1"/>
  <c r="R67" i="1"/>
  <c r="T67" i="1"/>
  <c r="U67" i="1"/>
  <c r="V67" i="1"/>
  <c r="X67" i="1"/>
  <c r="Y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T67" i="1"/>
  <c r="AU67" i="1"/>
  <c r="AW67" i="1"/>
  <c r="AX67" i="1"/>
  <c r="AY67" i="1"/>
  <c r="AZ67" i="1"/>
  <c r="BA67" i="1"/>
  <c r="BB67" i="1"/>
  <c r="M68" i="1"/>
  <c r="O68" i="1"/>
  <c r="P68" i="1"/>
  <c r="R68" i="1"/>
  <c r="T68" i="1"/>
  <c r="U68" i="1"/>
  <c r="V68" i="1"/>
  <c r="X68" i="1"/>
  <c r="Y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T68" i="1"/>
  <c r="AU68" i="1"/>
  <c r="AW68" i="1"/>
  <c r="AX68" i="1"/>
  <c r="AY68" i="1"/>
  <c r="AZ68" i="1"/>
  <c r="BA68" i="1"/>
  <c r="BB68" i="1"/>
  <c r="M69" i="1"/>
  <c r="O69" i="1"/>
  <c r="P69" i="1"/>
  <c r="R69" i="1"/>
  <c r="T69" i="1"/>
  <c r="U69" i="1"/>
  <c r="V69" i="1"/>
  <c r="X69" i="1"/>
  <c r="Y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T69" i="1"/>
  <c r="AU69" i="1"/>
  <c r="AW69" i="1"/>
  <c r="AX69" i="1"/>
  <c r="AY69" i="1"/>
  <c r="AZ69" i="1"/>
  <c r="BA69" i="1"/>
  <c r="BB69" i="1"/>
  <c r="M70" i="1"/>
  <c r="O70" i="1"/>
  <c r="P70" i="1"/>
  <c r="R70" i="1"/>
  <c r="T70" i="1"/>
  <c r="U70" i="1"/>
  <c r="V70" i="1"/>
  <c r="X70" i="1"/>
  <c r="Y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T70" i="1"/>
  <c r="AU70" i="1"/>
  <c r="AW70" i="1"/>
  <c r="AX70" i="1"/>
  <c r="AY70" i="1"/>
  <c r="AZ70" i="1"/>
  <c r="BA70" i="1"/>
  <c r="BB70" i="1"/>
  <c r="M71" i="1"/>
  <c r="O71" i="1"/>
  <c r="P71" i="1"/>
  <c r="R71" i="1"/>
  <c r="T71" i="1"/>
  <c r="U71" i="1"/>
  <c r="V71" i="1"/>
  <c r="X71" i="1"/>
  <c r="Y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T71" i="1"/>
  <c r="AU71" i="1"/>
  <c r="AW71" i="1"/>
  <c r="AX71" i="1"/>
  <c r="AY71" i="1"/>
  <c r="AZ71" i="1"/>
  <c r="BA71" i="1"/>
  <c r="BB71" i="1"/>
  <c r="M72" i="1"/>
  <c r="O72" i="1"/>
  <c r="P72" i="1"/>
  <c r="R72" i="1"/>
  <c r="T72" i="1"/>
  <c r="U72" i="1"/>
  <c r="V72" i="1"/>
  <c r="X72" i="1"/>
  <c r="Y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T72" i="1"/>
  <c r="AU72" i="1"/>
  <c r="AW72" i="1"/>
  <c r="AX72" i="1"/>
  <c r="AY72" i="1"/>
  <c r="AZ72" i="1"/>
  <c r="BA72" i="1"/>
  <c r="BB72" i="1"/>
  <c r="M73" i="1"/>
  <c r="O73" i="1"/>
  <c r="P73" i="1"/>
  <c r="R73" i="1"/>
  <c r="T73" i="1"/>
  <c r="U73" i="1"/>
  <c r="V73" i="1"/>
  <c r="X73" i="1"/>
  <c r="Y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T73" i="1"/>
  <c r="AU73" i="1"/>
  <c r="AW73" i="1"/>
  <c r="AX73" i="1"/>
  <c r="AY73" i="1"/>
  <c r="AZ73" i="1"/>
  <c r="BA73" i="1"/>
  <c r="BB73" i="1"/>
  <c r="M74" i="1"/>
  <c r="O74" i="1"/>
  <c r="P74" i="1"/>
  <c r="R74" i="1"/>
  <c r="T74" i="1"/>
  <c r="U74" i="1"/>
  <c r="V74" i="1"/>
  <c r="X74" i="1"/>
  <c r="Y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T74" i="1"/>
  <c r="AU74" i="1"/>
  <c r="AW74" i="1"/>
  <c r="AX74" i="1"/>
  <c r="AY74" i="1"/>
  <c r="AZ74" i="1"/>
  <c r="BA74" i="1"/>
  <c r="BB74" i="1"/>
  <c r="M75" i="1"/>
  <c r="O75" i="1"/>
  <c r="P75" i="1"/>
  <c r="R75" i="1"/>
  <c r="T75" i="1"/>
  <c r="U75" i="1"/>
  <c r="V75" i="1"/>
  <c r="X75" i="1"/>
  <c r="Y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T75" i="1"/>
  <c r="AU75" i="1"/>
  <c r="AW75" i="1"/>
  <c r="AX75" i="1"/>
  <c r="AY75" i="1"/>
  <c r="AZ75" i="1"/>
  <c r="BA75" i="1"/>
  <c r="BB75" i="1"/>
  <c r="M76" i="1"/>
  <c r="O76" i="1"/>
  <c r="P76" i="1"/>
  <c r="R76" i="1"/>
  <c r="T76" i="1"/>
  <c r="U76" i="1"/>
  <c r="V76" i="1"/>
  <c r="X76" i="1"/>
  <c r="Y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T76" i="1"/>
  <c r="AU76" i="1"/>
  <c r="AW76" i="1"/>
  <c r="AX76" i="1"/>
  <c r="AY76" i="1"/>
  <c r="AZ76" i="1"/>
  <c r="BA76" i="1"/>
  <c r="BB76" i="1"/>
  <c r="M77" i="1"/>
  <c r="O77" i="1"/>
  <c r="P77" i="1"/>
  <c r="R77" i="1"/>
  <c r="T77" i="1"/>
  <c r="U77" i="1"/>
  <c r="V77" i="1"/>
  <c r="X77" i="1"/>
  <c r="Y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T77" i="1"/>
  <c r="AU77" i="1"/>
  <c r="AW77" i="1"/>
  <c r="AX77" i="1"/>
  <c r="AY77" i="1"/>
  <c r="AZ77" i="1"/>
  <c r="BA77" i="1"/>
  <c r="BB77" i="1"/>
  <c r="M78" i="1"/>
  <c r="O78" i="1"/>
  <c r="P78" i="1"/>
  <c r="R78" i="1"/>
  <c r="T78" i="1"/>
  <c r="U78" i="1"/>
  <c r="V78" i="1"/>
  <c r="X78" i="1"/>
  <c r="Y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T78" i="1"/>
  <c r="AU78" i="1"/>
  <c r="AW78" i="1"/>
  <c r="AX78" i="1"/>
  <c r="AY78" i="1"/>
  <c r="AZ78" i="1"/>
  <c r="BA78" i="1"/>
  <c r="BB78" i="1"/>
  <c r="M79" i="1"/>
  <c r="O79" i="1"/>
  <c r="P79" i="1"/>
  <c r="R79" i="1"/>
  <c r="T79" i="1"/>
  <c r="U79" i="1"/>
  <c r="V79" i="1"/>
  <c r="X79" i="1"/>
  <c r="Y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T79" i="1"/>
  <c r="AU79" i="1"/>
  <c r="AX79" i="1"/>
  <c r="AY79" i="1"/>
  <c r="AZ79" i="1"/>
  <c r="BA79" i="1"/>
  <c r="BB79" i="1"/>
  <c r="M80" i="1"/>
  <c r="O80" i="1"/>
  <c r="P80" i="1"/>
  <c r="R80" i="1"/>
  <c r="T80" i="1"/>
  <c r="U80" i="1"/>
  <c r="V80" i="1"/>
  <c r="X80" i="1"/>
  <c r="Y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T80" i="1"/>
  <c r="AU80" i="1"/>
  <c r="AW80" i="1"/>
  <c r="AX80" i="1"/>
  <c r="AY80" i="1"/>
  <c r="AZ80" i="1"/>
  <c r="BA80" i="1"/>
  <c r="BB80" i="1"/>
  <c r="M81" i="1"/>
  <c r="O81" i="1"/>
  <c r="P81" i="1"/>
  <c r="R81" i="1"/>
  <c r="T81" i="1"/>
  <c r="U81" i="1"/>
  <c r="V81" i="1"/>
  <c r="X81" i="1"/>
  <c r="Y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T81" i="1"/>
  <c r="AU81" i="1"/>
  <c r="AW81" i="1"/>
  <c r="AX81" i="1"/>
  <c r="AY81" i="1"/>
  <c r="AZ81" i="1"/>
  <c r="BA81" i="1"/>
  <c r="BB81" i="1"/>
  <c r="M82" i="1"/>
  <c r="O82" i="1"/>
  <c r="P82" i="1"/>
  <c r="R82" i="1"/>
  <c r="T82" i="1"/>
  <c r="U82" i="1"/>
  <c r="V82" i="1"/>
  <c r="X82" i="1"/>
  <c r="Y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T82" i="1"/>
  <c r="AU82" i="1"/>
  <c r="AW82" i="1"/>
  <c r="AX82" i="1"/>
  <c r="AY82" i="1"/>
  <c r="AZ82" i="1"/>
  <c r="BA82" i="1"/>
  <c r="BB82" i="1"/>
  <c r="M83" i="1"/>
  <c r="O83" i="1"/>
  <c r="P83" i="1"/>
  <c r="R83" i="1"/>
  <c r="T83" i="1"/>
  <c r="U83" i="1"/>
  <c r="V83" i="1"/>
  <c r="X83" i="1"/>
  <c r="Y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T83" i="1"/>
  <c r="AU83" i="1"/>
  <c r="AW83" i="1"/>
  <c r="AX83" i="1"/>
  <c r="AY83" i="1"/>
  <c r="AZ83" i="1"/>
  <c r="BA83" i="1"/>
  <c r="BB83" i="1"/>
  <c r="M84" i="1"/>
  <c r="O84" i="1"/>
  <c r="P84" i="1"/>
  <c r="R84" i="1"/>
  <c r="T84" i="1"/>
  <c r="U84" i="1"/>
  <c r="V84" i="1"/>
  <c r="X84" i="1"/>
  <c r="Y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T84" i="1"/>
  <c r="AU84" i="1"/>
  <c r="AW84" i="1"/>
  <c r="AX84" i="1"/>
  <c r="AY84" i="1"/>
  <c r="AZ84" i="1"/>
  <c r="BA84" i="1"/>
  <c r="BB84" i="1"/>
  <c r="M85" i="1"/>
  <c r="O85" i="1"/>
  <c r="P85" i="1"/>
  <c r="R85" i="1"/>
  <c r="T85" i="1"/>
  <c r="U85" i="1"/>
  <c r="V85" i="1"/>
  <c r="X85" i="1"/>
  <c r="Y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T85" i="1"/>
  <c r="AU85" i="1"/>
  <c r="AW85" i="1"/>
  <c r="AX85" i="1"/>
  <c r="AY85" i="1"/>
  <c r="AZ85" i="1"/>
  <c r="BA85" i="1"/>
  <c r="BB85" i="1"/>
  <c r="M86" i="1"/>
  <c r="O86" i="1"/>
  <c r="P86" i="1"/>
  <c r="R86" i="1"/>
  <c r="T86" i="1"/>
  <c r="U86" i="1"/>
  <c r="V86" i="1"/>
  <c r="X86" i="1"/>
  <c r="Y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T86" i="1"/>
  <c r="AU86" i="1"/>
  <c r="AW86" i="1"/>
  <c r="AX86" i="1"/>
  <c r="AY86" i="1"/>
  <c r="AZ86" i="1"/>
  <c r="BA86" i="1"/>
  <c r="BB86" i="1"/>
  <c r="M87" i="1"/>
  <c r="O87" i="1"/>
  <c r="P87" i="1"/>
  <c r="R87" i="1"/>
  <c r="T87" i="1"/>
  <c r="U87" i="1"/>
  <c r="V87" i="1"/>
  <c r="X87" i="1"/>
  <c r="Y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T87" i="1"/>
  <c r="AU87" i="1"/>
  <c r="AW87" i="1"/>
  <c r="AX87" i="1"/>
  <c r="AY87" i="1"/>
  <c r="AZ87" i="1"/>
  <c r="BA87" i="1"/>
  <c r="BB87" i="1"/>
  <c r="M88" i="1"/>
  <c r="O88" i="1"/>
  <c r="P88" i="1"/>
  <c r="R88" i="1"/>
  <c r="T88" i="1"/>
  <c r="U88" i="1"/>
  <c r="V88" i="1"/>
  <c r="X88" i="1"/>
  <c r="Y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T88" i="1"/>
  <c r="AU88" i="1"/>
  <c r="AW88" i="1"/>
  <c r="AX88" i="1"/>
  <c r="AY88" i="1"/>
  <c r="AZ88" i="1"/>
  <c r="BA88" i="1"/>
  <c r="BB88" i="1"/>
  <c r="M89" i="1"/>
  <c r="O89" i="1"/>
  <c r="P89" i="1"/>
  <c r="R89" i="1"/>
  <c r="T89" i="1"/>
  <c r="U89" i="1"/>
  <c r="V89" i="1"/>
  <c r="X89" i="1"/>
  <c r="Y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T89" i="1"/>
  <c r="AU89" i="1"/>
  <c r="AW89" i="1"/>
  <c r="AX89" i="1"/>
  <c r="AY89" i="1"/>
  <c r="AZ89" i="1"/>
  <c r="BA89" i="1"/>
  <c r="BB89" i="1"/>
  <c r="M90" i="1"/>
  <c r="O90" i="1"/>
  <c r="P90" i="1"/>
  <c r="R90" i="1"/>
  <c r="T90" i="1"/>
  <c r="U90" i="1"/>
  <c r="V90" i="1"/>
  <c r="X90" i="1"/>
  <c r="Y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T90" i="1"/>
  <c r="AU90" i="1"/>
  <c r="AW90" i="1"/>
  <c r="AX90" i="1"/>
  <c r="AY90" i="1"/>
  <c r="AZ90" i="1"/>
  <c r="BA90" i="1"/>
  <c r="BB90" i="1"/>
  <c r="M91" i="1"/>
  <c r="O91" i="1"/>
  <c r="P91" i="1"/>
  <c r="R91" i="1"/>
  <c r="T91" i="1"/>
  <c r="U91" i="1"/>
  <c r="V91" i="1"/>
  <c r="X91" i="1"/>
  <c r="Y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T91" i="1"/>
  <c r="AU91" i="1"/>
  <c r="AW91" i="1"/>
  <c r="AX91" i="1"/>
  <c r="AY91" i="1"/>
  <c r="AZ91" i="1"/>
  <c r="BA91" i="1"/>
  <c r="BB91" i="1"/>
  <c r="M92" i="1"/>
  <c r="O92" i="1"/>
  <c r="P92" i="1"/>
  <c r="R92" i="1"/>
  <c r="T92" i="1"/>
  <c r="U92" i="1"/>
  <c r="V92" i="1"/>
  <c r="X92" i="1"/>
  <c r="Y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T92" i="1"/>
  <c r="AU92" i="1"/>
  <c r="AW92" i="1"/>
  <c r="AX92" i="1"/>
  <c r="AY92" i="1"/>
  <c r="AZ92" i="1"/>
  <c r="BA92" i="1"/>
  <c r="BB92" i="1"/>
  <c r="M93" i="1"/>
  <c r="O93" i="1"/>
  <c r="P93" i="1"/>
  <c r="R93" i="1"/>
  <c r="T93" i="1"/>
  <c r="U93" i="1"/>
  <c r="V93" i="1"/>
  <c r="X93" i="1"/>
  <c r="Y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T93" i="1"/>
  <c r="AU93" i="1"/>
  <c r="AW93" i="1"/>
  <c r="AX93" i="1"/>
  <c r="AY93" i="1"/>
  <c r="AZ93" i="1"/>
  <c r="BA93" i="1"/>
  <c r="BB93" i="1"/>
  <c r="M94" i="1"/>
  <c r="O94" i="1"/>
  <c r="P94" i="1"/>
  <c r="R94" i="1"/>
  <c r="T94" i="1"/>
  <c r="U94" i="1"/>
  <c r="V94" i="1"/>
  <c r="X94" i="1"/>
  <c r="Y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T94" i="1"/>
  <c r="AU94" i="1"/>
  <c r="AW94" i="1"/>
  <c r="AX94" i="1"/>
  <c r="AY94" i="1"/>
  <c r="AZ94" i="1"/>
  <c r="BA94" i="1"/>
  <c r="BB94" i="1"/>
  <c r="M95" i="1"/>
  <c r="O95" i="1"/>
  <c r="P95" i="1"/>
  <c r="R95" i="1"/>
  <c r="T95" i="1"/>
  <c r="U95" i="1"/>
  <c r="V95" i="1"/>
  <c r="X95" i="1"/>
  <c r="Y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T95" i="1"/>
  <c r="AU95" i="1"/>
  <c r="AW95" i="1"/>
  <c r="AX95" i="1"/>
  <c r="AY95" i="1"/>
  <c r="AZ95" i="1"/>
  <c r="BA95" i="1"/>
  <c r="BB95" i="1"/>
  <c r="M96" i="1"/>
  <c r="O96" i="1"/>
  <c r="P96" i="1"/>
  <c r="R96" i="1"/>
  <c r="T96" i="1"/>
  <c r="U96" i="1"/>
  <c r="V96" i="1"/>
  <c r="X96" i="1"/>
  <c r="Y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T96" i="1"/>
  <c r="AU96" i="1"/>
  <c r="AW96" i="1"/>
  <c r="AX96" i="1"/>
  <c r="AY96" i="1"/>
  <c r="AZ96" i="1"/>
  <c r="BA96" i="1"/>
  <c r="BB96" i="1"/>
  <c r="M97" i="1"/>
  <c r="O97" i="1"/>
  <c r="P97" i="1"/>
  <c r="R97" i="1"/>
  <c r="T97" i="1"/>
  <c r="U97" i="1"/>
  <c r="V97" i="1"/>
  <c r="X97" i="1"/>
  <c r="Y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T97" i="1"/>
  <c r="AU97" i="1"/>
  <c r="AW97" i="1"/>
  <c r="AX97" i="1"/>
  <c r="AY97" i="1"/>
  <c r="AZ97" i="1"/>
  <c r="BA97" i="1"/>
  <c r="BB97" i="1"/>
  <c r="M98" i="1"/>
  <c r="O98" i="1"/>
  <c r="P98" i="1"/>
  <c r="R98" i="1"/>
  <c r="T98" i="1"/>
  <c r="U98" i="1"/>
  <c r="V98" i="1"/>
  <c r="X98" i="1"/>
  <c r="Y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T98" i="1"/>
  <c r="AU98" i="1"/>
  <c r="AW98" i="1"/>
  <c r="AX98" i="1"/>
  <c r="AY98" i="1"/>
  <c r="AZ98" i="1"/>
  <c r="BA98" i="1"/>
  <c r="BB98" i="1"/>
  <c r="M99" i="1"/>
  <c r="O99" i="1"/>
  <c r="P99" i="1"/>
  <c r="R99" i="1"/>
  <c r="T99" i="1"/>
  <c r="U99" i="1"/>
  <c r="V99" i="1"/>
  <c r="X99" i="1"/>
  <c r="Y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T99" i="1"/>
  <c r="AU99" i="1"/>
  <c r="AX99" i="1"/>
  <c r="AY99" i="1"/>
  <c r="AZ99" i="1"/>
  <c r="BA99" i="1"/>
  <c r="BB99" i="1"/>
  <c r="M100" i="1"/>
  <c r="O100" i="1"/>
  <c r="P100" i="1"/>
  <c r="R100" i="1"/>
  <c r="T100" i="1"/>
  <c r="U100" i="1"/>
  <c r="V100" i="1"/>
  <c r="X100" i="1"/>
  <c r="Y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T100" i="1"/>
  <c r="AU100" i="1"/>
  <c r="AW100" i="1"/>
  <c r="AX100" i="1"/>
  <c r="AY100" i="1"/>
  <c r="AZ100" i="1"/>
  <c r="BA100" i="1"/>
  <c r="BB100" i="1"/>
  <c r="M101" i="1"/>
  <c r="O101" i="1"/>
  <c r="P101" i="1"/>
  <c r="R101" i="1"/>
  <c r="T101" i="1"/>
  <c r="U101" i="1"/>
  <c r="V101" i="1"/>
  <c r="X101" i="1"/>
  <c r="Y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T101" i="1"/>
  <c r="AU101" i="1"/>
  <c r="AW101" i="1"/>
  <c r="AX101" i="1"/>
  <c r="AY101" i="1"/>
  <c r="AZ101" i="1"/>
  <c r="BA101" i="1"/>
  <c r="BB101" i="1"/>
  <c r="M102" i="1"/>
  <c r="O102" i="1"/>
  <c r="P102" i="1"/>
  <c r="R102" i="1"/>
  <c r="T102" i="1"/>
  <c r="U102" i="1"/>
  <c r="V102" i="1"/>
  <c r="X102" i="1"/>
  <c r="Y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T102" i="1"/>
  <c r="AU102" i="1"/>
  <c r="AW102" i="1"/>
  <c r="AX102" i="1"/>
  <c r="AY102" i="1"/>
  <c r="AZ102" i="1"/>
  <c r="BA102" i="1"/>
  <c r="BB102" i="1"/>
  <c r="G104" i="1"/>
  <c r="H104" i="1"/>
  <c r="M12" i="3"/>
  <c r="BE12" i="3"/>
  <c r="M13" i="3"/>
  <c r="BE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BE101" i="3"/>
  <c r="M104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M73" i="3"/>
  <c r="M74" i="3"/>
  <c r="K75" i="3"/>
  <c r="K76" i="3"/>
  <c r="BE75" i="3"/>
  <c r="M77" i="3"/>
  <c r="BE78" i="3"/>
  <c r="BE83" i="3"/>
  <c r="BE84" i="3"/>
  <c r="BE85" i="3"/>
  <c r="M89" i="3"/>
  <c r="BE89" i="3"/>
  <c r="M93" i="3"/>
  <c r="BE95" i="3"/>
  <c r="BE96" i="3"/>
  <c r="BE98" i="3"/>
  <c r="M100" i="3"/>
  <c r="AW79" i="1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BE55" i="3"/>
  <c r="M56" i="3"/>
  <c r="M57" i="3"/>
  <c r="BE72" i="3"/>
  <c r="BE73" i="3"/>
  <c r="K77" i="3"/>
  <c r="K78" i="3"/>
  <c r="K79" i="3"/>
  <c r="K80" i="3"/>
  <c r="K81" i="3"/>
  <c r="K82" i="3"/>
  <c r="K83" i="3"/>
  <c r="K84" i="3"/>
  <c r="K85" i="3"/>
  <c r="K86" i="3"/>
  <c r="BE77" i="3"/>
  <c r="M78" i="3"/>
  <c r="BE79" i="3"/>
  <c r="M80" i="3"/>
  <c r="BE80" i="3"/>
  <c r="BE81" i="3"/>
  <c r="M85" i="3"/>
  <c r="M86" i="3"/>
  <c r="K87" i="3"/>
  <c r="K88" i="3"/>
  <c r="M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BE90" i="3"/>
  <c r="M94" i="3"/>
  <c r="BE94" i="3"/>
  <c r="M95" i="3"/>
  <c r="M97" i="3"/>
  <c r="BE97" i="3"/>
  <c r="M98" i="3"/>
  <c r="BE99" i="3"/>
  <c r="BE100" i="3"/>
  <c r="M101" i="3"/>
  <c r="AW45" i="1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BE74" i="3"/>
  <c r="M75" i="3"/>
  <c r="M76" i="3"/>
  <c r="BE76" i="3"/>
  <c r="M79" i="3"/>
  <c r="M81" i="3"/>
  <c r="M82" i="3"/>
  <c r="BE82" i="3"/>
  <c r="M83" i="3"/>
  <c r="M84" i="3"/>
  <c r="M87" i="3"/>
  <c r="BE87" i="3"/>
  <c r="BE88" i="3"/>
  <c r="M90" i="3"/>
  <c r="M91" i="3"/>
  <c r="BE91" i="3"/>
  <c r="M92" i="3"/>
  <c r="BE93" i="3"/>
  <c r="M96" i="3"/>
  <c r="M99" i="3"/>
  <c r="M102" i="3"/>
  <c r="BE102" i="3"/>
  <c r="AW62" i="1"/>
  <c r="BJ104" i="3"/>
  <c r="K12" i="1"/>
  <c r="AW12" i="1"/>
  <c r="K13" i="1"/>
  <c r="AW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63" i="1"/>
  <c r="K80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AW99" i="1"/>
  <c r="K101" i="1"/>
  <c r="K102" i="1"/>
  <c r="M104" i="1"/>
  <c r="O104" i="1"/>
  <c r="P104" i="1"/>
  <c r="R104" i="1"/>
  <c r="T104" i="1"/>
  <c r="U104" i="1"/>
  <c r="V104" i="1"/>
  <c r="X104" i="1"/>
  <c r="Y104" i="1"/>
  <c r="AB104" i="1"/>
  <c r="AC104" i="1"/>
  <c r="AD104" i="1"/>
  <c r="AE104" i="1"/>
  <c r="AF104" i="1"/>
  <c r="AG104" i="1"/>
  <c r="AH104" i="1"/>
  <c r="AI104" i="1"/>
  <c r="AJ104" i="1"/>
  <c r="AL104" i="1"/>
  <c r="AM104" i="1"/>
  <c r="AN104" i="1"/>
  <c r="AO104" i="1"/>
  <c r="AP104" i="1"/>
  <c r="BA104" i="1"/>
  <c r="K98" i="1"/>
  <c r="K99" i="1"/>
  <c r="K100" i="1"/>
  <c r="AA104" i="1"/>
  <c r="AK104" i="1"/>
  <c r="BB104" i="1"/>
  <c r="I101" i="1"/>
  <c r="I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 Chong</author>
  </authors>
  <commentList>
    <comment ref="C4" authorId="0" shapeId="0" xr:uid="{3F739D66-0861-45F8-A652-7B57CE5A7223}">
      <text>
        <r>
          <rPr>
            <b/>
            <sz val="9"/>
            <color indexed="81"/>
            <rFont val="Tahoma"/>
            <family val="2"/>
          </rPr>
          <t>Pls make sure the name is matched with chart of account in peachtree</t>
        </r>
      </text>
    </comment>
    <comment ref="C5" authorId="0" shapeId="0" xr:uid="{A4893B41-9594-4611-9BE5-44CBE81C65B9}">
      <text>
        <r>
          <rPr>
            <b/>
            <sz val="9"/>
            <color indexed="81"/>
            <rFont val="Tahoma"/>
            <family val="2"/>
          </rPr>
          <t>Please do not enter more than 12 letters (including spaces).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 Chong</author>
  </authors>
  <commentList>
    <comment ref="C4" authorId="0" shapeId="0" xr:uid="{3085E312-E234-40DA-8325-C5E3A1635E35}">
      <text>
        <r>
          <rPr>
            <b/>
            <sz val="9"/>
            <color indexed="81"/>
            <rFont val="Tahoma"/>
            <family val="2"/>
          </rPr>
          <t>Pls make sure the name is matched with chart of account in peachtree</t>
        </r>
      </text>
    </comment>
    <comment ref="C5" authorId="0" shapeId="0" xr:uid="{FAED0EA9-412E-430C-901C-0959B3F1CBFB}">
      <text>
        <r>
          <rPr>
            <b/>
            <sz val="9"/>
            <color indexed="81"/>
            <rFont val="Tahoma"/>
            <family val="2"/>
          </rPr>
          <t>Please do not enter more than 12 letters (including spaces).</t>
        </r>
      </text>
    </comment>
  </commentList>
</comments>
</file>

<file path=xl/sharedStrings.xml><?xml version="1.0" encoding="utf-8"?>
<sst xmlns="http://schemas.openxmlformats.org/spreadsheetml/2006/main" count="424" uniqueCount="242">
  <si>
    <t>Company Name</t>
    <phoneticPr fontId="2" type="noConversion"/>
  </si>
  <si>
    <t>Period</t>
    <phoneticPr fontId="2" type="noConversion"/>
  </si>
  <si>
    <t>Date</t>
    <phoneticPr fontId="2" type="noConversion"/>
  </si>
  <si>
    <t>Particular</t>
    <phoneticPr fontId="2" type="noConversion"/>
  </si>
  <si>
    <t>Balance</t>
    <phoneticPr fontId="2" type="noConversion"/>
  </si>
  <si>
    <t>Insurance</t>
  </si>
  <si>
    <t>Control</t>
    <phoneticPr fontId="2" type="noConversion"/>
  </si>
  <si>
    <t>Sales</t>
    <phoneticPr fontId="2" type="noConversion"/>
  </si>
  <si>
    <t>Sale invoce #12345</t>
    <phoneticPr fontId="2" type="noConversion"/>
  </si>
  <si>
    <t>ABC customer</t>
    <phoneticPr fontId="2" type="noConversion"/>
  </si>
  <si>
    <t>Remind</t>
    <phoneticPr fontId="2" type="noConversion"/>
  </si>
  <si>
    <t>Cash record</t>
    <phoneticPr fontId="2" type="noConversion"/>
  </si>
  <si>
    <t>- "+ve" for income, "-ve" for expenses</t>
    <phoneticPr fontId="2" type="noConversion"/>
  </si>
  <si>
    <t>Cash opening</t>
    <phoneticPr fontId="2" type="noConversion"/>
  </si>
  <si>
    <t>Travelling</t>
    <phoneticPr fontId="2" type="noConversion"/>
  </si>
  <si>
    <t>Cash in</t>
    <phoneticPr fontId="2" type="noConversion"/>
  </si>
  <si>
    <t>Cash out</t>
    <phoneticPr fontId="2" type="noConversion"/>
  </si>
  <si>
    <t>Accruals</t>
  </si>
  <si>
    <t>Stamp duty</t>
    <phoneticPr fontId="2" type="noConversion"/>
  </si>
  <si>
    <t>Interbank</t>
    <phoneticPr fontId="2" type="noConversion"/>
  </si>
  <si>
    <t>Transportation</t>
  </si>
  <si>
    <t>ABC Ltd</t>
  </si>
  <si>
    <t>1.1.25-31.12.25</t>
  </si>
  <si>
    <t>2501-001</t>
    <phoneticPr fontId="2" type="noConversion"/>
  </si>
  <si>
    <t>2501-002</t>
  </si>
  <si>
    <t>2501-003</t>
  </si>
  <si>
    <t>2501-004</t>
  </si>
  <si>
    <t>2501-005</t>
  </si>
  <si>
    <t>2501-006</t>
  </si>
  <si>
    <t>2501-007</t>
  </si>
  <si>
    <t>2501-008</t>
  </si>
  <si>
    <t>2501-009</t>
  </si>
  <si>
    <t>2501-010</t>
  </si>
  <si>
    <t>2501-011</t>
  </si>
  <si>
    <t>2501-012</t>
  </si>
  <si>
    <t>2501-013</t>
  </si>
  <si>
    <t>2501-014</t>
  </si>
  <si>
    <t>2501-015</t>
  </si>
  <si>
    <t>2501-016</t>
  </si>
  <si>
    <t>2501-017</t>
  </si>
  <si>
    <t>2501-018</t>
  </si>
  <si>
    <t>2501-019</t>
  </si>
  <si>
    <t>2501-020</t>
  </si>
  <si>
    <t>2501-021</t>
  </si>
  <si>
    <t>2501-022</t>
  </si>
  <si>
    <t>2501-023</t>
  </si>
  <si>
    <t>2501-024</t>
  </si>
  <si>
    <t>2501-025</t>
  </si>
  <si>
    <t>2501-026</t>
  </si>
  <si>
    <t>2501-027</t>
  </si>
  <si>
    <t>2501-028</t>
  </si>
  <si>
    <t>2501-029</t>
  </si>
  <si>
    <t>2501-030</t>
  </si>
  <si>
    <t>2501-031</t>
  </si>
  <si>
    <t>2501-032</t>
  </si>
  <si>
    <t>2501-033</t>
  </si>
  <si>
    <t>2501-034</t>
  </si>
  <si>
    <t>2501-035</t>
  </si>
  <si>
    <t>2501-036</t>
  </si>
  <si>
    <t>2501-037</t>
  </si>
  <si>
    <t>2501-038</t>
  </si>
  <si>
    <t>2501-039</t>
  </si>
  <si>
    <t>2501-040</t>
  </si>
  <si>
    <t>2501-041</t>
  </si>
  <si>
    <t>2501-042</t>
  </si>
  <si>
    <t>2501-043</t>
  </si>
  <si>
    <t>2501-044</t>
  </si>
  <si>
    <t>2501-045</t>
  </si>
  <si>
    <t>2501-046</t>
  </si>
  <si>
    <t>2501-047</t>
  </si>
  <si>
    <t>2501-048</t>
  </si>
  <si>
    <t>2501-049</t>
  </si>
  <si>
    <t>2501-050</t>
  </si>
  <si>
    <t>2501-051</t>
  </si>
  <si>
    <t>2501-052</t>
  </si>
  <si>
    <t>2501-053</t>
  </si>
  <si>
    <t>2501-054</t>
  </si>
  <si>
    <t>2501-055</t>
  </si>
  <si>
    <t>2501-056</t>
  </si>
  <si>
    <t>2501-057</t>
  </si>
  <si>
    <t>2501-058</t>
  </si>
  <si>
    <t>2501-059</t>
  </si>
  <si>
    <t>2501-060</t>
  </si>
  <si>
    <t>2501-061</t>
  </si>
  <si>
    <t>2501-062</t>
  </si>
  <si>
    <t>2501-063</t>
  </si>
  <si>
    <t>2501-064</t>
  </si>
  <si>
    <t>2501-065</t>
  </si>
  <si>
    <t>2501-066</t>
  </si>
  <si>
    <t>2501-067</t>
  </si>
  <si>
    <t>2501-068</t>
  </si>
  <si>
    <t>2501-069</t>
  </si>
  <si>
    <t>2501-070</t>
  </si>
  <si>
    <t>2501-071</t>
  </si>
  <si>
    <t>2501-072</t>
  </si>
  <si>
    <t>2501-073</t>
  </si>
  <si>
    <t>2501-074</t>
  </si>
  <si>
    <t>2501-075</t>
  </si>
  <si>
    <t>2501-076</t>
  </si>
  <si>
    <t>2501-077</t>
  </si>
  <si>
    <t>2501-078</t>
  </si>
  <si>
    <t>2501-079</t>
  </si>
  <si>
    <t>2501-080</t>
  </si>
  <si>
    <t>2501-081</t>
  </si>
  <si>
    <t>2501-082</t>
  </si>
  <si>
    <t>2501-083</t>
  </si>
  <si>
    <t>2501-084</t>
  </si>
  <si>
    <t>2501-085</t>
  </si>
  <si>
    <t>2501-086</t>
  </si>
  <si>
    <t>2501-087</t>
  </si>
  <si>
    <t>2501-088</t>
  </si>
  <si>
    <t>2501-089</t>
  </si>
  <si>
    <t>2501-090</t>
  </si>
  <si>
    <t>2501-091</t>
  </si>
  <si>
    <t>No.</t>
  </si>
  <si>
    <t>Date</t>
  </si>
  <si>
    <t>Nature</t>
  </si>
  <si>
    <t>Payer / (Payee)</t>
  </si>
  <si>
    <t>Invoice no. (Cheque no.)</t>
  </si>
  <si>
    <t>Details</t>
  </si>
  <si>
    <t>Account Description</t>
  </si>
  <si>
    <t>Account ID</t>
  </si>
  <si>
    <t>Cash</t>
  </si>
  <si>
    <t>HSB HKD CA</t>
  </si>
  <si>
    <t>HSB HKD SA</t>
  </si>
  <si>
    <t>BOC HKD CA</t>
  </si>
  <si>
    <t>BOC HKD SA</t>
  </si>
  <si>
    <t>Interbank</t>
  </si>
  <si>
    <t>Trade receivable</t>
  </si>
  <si>
    <t>Other receivables</t>
  </si>
  <si>
    <t>Trade deposit paid</t>
  </si>
  <si>
    <t>Prepayment</t>
  </si>
  <si>
    <t>Inventory</t>
  </si>
  <si>
    <t>Leasehold improvement</t>
  </si>
  <si>
    <t>Accum. Depreciation - LI</t>
  </si>
  <si>
    <t>Computer equipment</t>
  </si>
  <si>
    <t>Accum. Depreciation - CE</t>
  </si>
  <si>
    <t>Fixture &amp; furniture</t>
  </si>
  <si>
    <t>Investment in subsidiary</t>
  </si>
  <si>
    <t>Impair loss-Invest. in subsi.</t>
  </si>
  <si>
    <t>Trade payable</t>
  </si>
  <si>
    <t>Other payables</t>
  </si>
  <si>
    <t>Trade deposit received</t>
  </si>
  <si>
    <t>Director's C/A</t>
  </si>
  <si>
    <t>Related company C/A</t>
  </si>
  <si>
    <t>HSB Bank loan</t>
  </si>
  <si>
    <t>Obligation under Finance Lease</t>
  </si>
  <si>
    <t>Tax payable</t>
  </si>
  <si>
    <t>Retained Earnings</t>
  </si>
  <si>
    <t>Share capital</t>
  </si>
  <si>
    <t>Dividends Paid</t>
  </si>
  <si>
    <t>Sales</t>
  </si>
  <si>
    <t>Services income</t>
  </si>
  <si>
    <t>Bank interest income</t>
  </si>
  <si>
    <t>Government grants</t>
  </si>
  <si>
    <t>Sundry income</t>
  </si>
  <si>
    <t>Purchases</t>
  </si>
  <si>
    <t>Subcontractor</t>
  </si>
  <si>
    <t>Handling charges</t>
  </si>
  <si>
    <t>Consumables</t>
  </si>
  <si>
    <t>Opening inventories</t>
  </si>
  <si>
    <t>Closing inventories</t>
  </si>
  <si>
    <t>Accounting fee</t>
  </si>
  <si>
    <t>Advertisement</t>
  </si>
  <si>
    <t>Auditor's remuneration</t>
  </si>
  <si>
    <t>Bad debt</t>
  </si>
  <si>
    <t>Bank charges</t>
  </si>
  <si>
    <t>Building management fee</t>
  </si>
  <si>
    <t>Business registration fee</t>
  </si>
  <si>
    <t>Commission</t>
  </si>
  <si>
    <t>Company secretary fee</t>
  </si>
  <si>
    <t>Computer accessories</t>
  </si>
  <si>
    <t>Cleaning expenses</t>
  </si>
  <si>
    <t>Depreciation</t>
  </si>
  <si>
    <t>Director's remuneration</t>
  </si>
  <si>
    <t>Electricity &amp; water</t>
  </si>
  <si>
    <t>Entertainment</t>
  </si>
  <si>
    <t>Exchange losses/(gains), net</t>
  </si>
  <si>
    <t>Government rent &amp; rates</t>
  </si>
  <si>
    <t>Legal and professional fee</t>
  </si>
  <si>
    <t>License</t>
  </si>
  <si>
    <t>Local travelling</t>
  </si>
  <si>
    <t>Loss/(gain) on disposal of PPE</t>
  </si>
  <si>
    <t>Mandatory provident fund</t>
  </si>
  <si>
    <t>Membership fee</t>
  </si>
  <si>
    <t>Motor vehicle expenses</t>
  </si>
  <si>
    <t>Office supplies</t>
  </si>
  <si>
    <t>Overseas travelling</t>
  </si>
  <si>
    <t>Penalty</t>
  </si>
  <si>
    <t>Postage &amp; courier</t>
  </si>
  <si>
    <t>Printing &amp; stationery</t>
  </si>
  <si>
    <t>Rental expenses</t>
  </si>
  <si>
    <t>Repairs &amp; maintenance</t>
  </si>
  <si>
    <t>Salaries</t>
  </si>
  <si>
    <t>Staff welfare</t>
  </si>
  <si>
    <t>Stamp duty</t>
  </si>
  <si>
    <t>Sundries</t>
  </si>
  <si>
    <t>Telecommunication</t>
  </si>
  <si>
    <t>Web hosting fee</t>
  </si>
  <si>
    <t>Interest on bank loans</t>
  </si>
  <si>
    <t>Interest on bank overdraft</t>
  </si>
  <si>
    <t>Interest on finance lease</t>
  </si>
  <si>
    <t>Impairment loss</t>
  </si>
  <si>
    <t>Income tax expenses</t>
  </si>
  <si>
    <t>For peachtree import use</t>
    <phoneticPr fontId="2" type="noConversion"/>
  </si>
  <si>
    <t>Reference</t>
    <phoneticPr fontId="2" type="noConversion"/>
  </si>
  <si>
    <t>Description</t>
    <phoneticPr fontId="2" type="noConversion"/>
  </si>
  <si>
    <t>Please don't move this column</t>
    <phoneticPr fontId="2" type="noConversion"/>
  </si>
  <si>
    <t>Credit Card record</t>
    <phoneticPr fontId="2" type="noConversion"/>
  </si>
  <si>
    <t>HSBC Credit Card #1234-5678-9123-4567</t>
    <phoneticPr fontId="2" type="noConversion"/>
  </si>
  <si>
    <t>Temp</t>
  </si>
  <si>
    <t>Office equipment</t>
  </si>
  <si>
    <t>Accum. Depreciation - FF / OE</t>
  </si>
  <si>
    <t>Motor vehicle</t>
  </si>
  <si>
    <t>Accum. Depreciation - MV</t>
  </si>
  <si>
    <t>Trademark</t>
  </si>
  <si>
    <t>Accum. Amortisation</t>
  </si>
  <si>
    <t>COS - Salaries</t>
  </si>
  <si>
    <t>COS - MPF</t>
  </si>
  <si>
    <t>Amortisation</t>
  </si>
  <si>
    <t>Company formation fee</t>
  </si>
  <si>
    <t>Consultancy fee</t>
  </si>
  <si>
    <t>Promotion fee</t>
  </si>
  <si>
    <t>Staff training</t>
  </si>
  <si>
    <t>Written-off</t>
  </si>
  <si>
    <t>HSBC USD CA</t>
  </si>
  <si>
    <t>HSBC USD SA</t>
  </si>
  <si>
    <t>Sales return</t>
  </si>
  <si>
    <t>G/L Account (Bank)</t>
    <phoneticPr fontId="2" type="noConversion"/>
  </si>
  <si>
    <t>G/L Account (Nature)</t>
    <phoneticPr fontId="2" type="noConversion"/>
  </si>
  <si>
    <t>Bank (Amount$)</t>
    <phoneticPr fontId="2" type="noConversion"/>
  </si>
  <si>
    <t>Nature (Amount$)</t>
    <phoneticPr fontId="2" type="noConversion"/>
  </si>
  <si>
    <t>Cash</t>
    <phoneticPr fontId="2" type="noConversion"/>
  </si>
  <si>
    <t>For Peachtree import use</t>
  </si>
  <si>
    <t>HSBC HKD Credit Card</t>
    <phoneticPr fontId="2" type="noConversion"/>
  </si>
  <si>
    <t>Month-Year</t>
    <phoneticPr fontId="2" type="noConversion"/>
  </si>
  <si>
    <t>Rental &amp; utilities deposit</t>
    <phoneticPr fontId="2" type="noConversion"/>
  </si>
  <si>
    <t>Card COA:</t>
    <phoneticPr fontId="2" type="noConversion"/>
  </si>
  <si>
    <t>CrCard:001</t>
    <phoneticPr fontId="2" type="noConversion"/>
  </si>
  <si>
    <t>Reference name:</t>
    <phoneticPr fontId="2" type="noConversion"/>
  </si>
  <si>
    <t>COA:</t>
    <phoneticPr fontId="2" type="noConversion"/>
  </si>
  <si>
    <t>Number of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</si>
</sst>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97" formatCode="d/m/yy"/>
    <numFmt numFmtId="199" formatCode="dd/mm/yy;@"/>
    <numFmt numFmtId="200" formatCode="dd/mm/yy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97" fontId="3" fillId="0" borderId="0" xfId="0" applyNumberFormat="1" applyFont="1" applyAlignment="1">
      <alignment horizontal="left" vertical="center"/>
    </xf>
    <xf numFmtId="39" fontId="3" fillId="0" borderId="0" xfId="0" applyNumberFormat="1" applyFont="1">
      <alignment vertical="center"/>
    </xf>
    <xf numFmtId="0" fontId="8" fillId="0" borderId="0" xfId="0" applyFont="1">
      <alignment vertical="center"/>
    </xf>
    <xf numFmtId="43" fontId="9" fillId="0" borderId="0" xfId="1" applyFont="1">
      <alignment vertical="center"/>
    </xf>
    <xf numFmtId="0" fontId="9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3" fontId="3" fillId="0" borderId="0" xfId="1" applyFont="1">
      <alignment vertical="center"/>
    </xf>
    <xf numFmtId="43" fontId="3" fillId="0" borderId="0" xfId="1" applyFont="1" applyAlignment="1">
      <alignment horizontal="left" vertical="center"/>
    </xf>
    <xf numFmtId="43" fontId="4" fillId="0" borderId="1" xfId="1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99" fontId="3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40" fontId="4" fillId="5" borderId="0" xfId="0" applyNumberFormat="1" applyFont="1" applyFill="1">
      <alignment vertical="center"/>
    </xf>
    <xf numFmtId="43" fontId="4" fillId="5" borderId="0" xfId="1" applyFont="1" applyFill="1">
      <alignment vertical="center"/>
    </xf>
    <xf numFmtId="200" fontId="3" fillId="0" borderId="0" xfId="0" applyNumberFormat="1" applyFont="1" applyAlignment="1">
      <alignment horizontal="left" vertical="center"/>
    </xf>
    <xf numFmtId="197" fontId="13" fillId="5" borderId="0" xfId="0" applyNumberFormat="1" applyFont="1" applyFill="1" applyAlignment="1">
      <alignment horizontal="left" vertical="center"/>
    </xf>
    <xf numFmtId="0" fontId="13" fillId="5" borderId="0" xfId="0" applyFont="1" applyFill="1">
      <alignment vertical="center"/>
    </xf>
    <xf numFmtId="0" fontId="13" fillId="5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3" fillId="0" borderId="0" xfId="0" applyFont="1" applyFill="1" applyBorder="1">
      <alignment vertical="center"/>
    </xf>
    <xf numFmtId="0" fontId="3" fillId="0" borderId="6" xfId="0" applyFont="1" applyBorder="1">
      <alignment vertical="center"/>
    </xf>
    <xf numFmtId="49" fontId="14" fillId="0" borderId="0" xfId="0" applyNumberFormat="1" applyFont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97" fontId="13" fillId="6" borderId="0" xfId="0" applyNumberFormat="1" applyFont="1" applyFill="1" applyAlignment="1">
      <alignment horizontal="left" vertical="center" wrapText="1"/>
    </xf>
    <xf numFmtId="197" fontId="13" fillId="7" borderId="0" xfId="0" applyNumberFormat="1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Continuous" vertical="center"/>
    </xf>
    <xf numFmtId="0" fontId="13" fillId="6" borderId="0" xfId="0" applyFont="1" applyFill="1" applyAlignment="1">
      <alignment horizontal="centerContinuous" vertical="center"/>
    </xf>
    <xf numFmtId="0" fontId="3" fillId="7" borderId="0" xfId="0" applyFont="1" applyFill="1" applyAlignment="1">
      <alignment horizontal="centerContinuous" vertical="center"/>
    </xf>
    <xf numFmtId="0" fontId="13" fillId="7" borderId="0" xfId="0" applyFont="1" applyFill="1" applyAlignment="1">
      <alignment horizontal="centerContinuous" vertical="center"/>
    </xf>
    <xf numFmtId="200" fontId="3" fillId="5" borderId="0" xfId="0" applyNumberFormat="1" applyFont="1" applyFill="1" applyAlignment="1">
      <alignment horizontal="left" vertical="center"/>
    </xf>
    <xf numFmtId="200" fontId="3" fillId="6" borderId="0" xfId="0" applyNumberFormat="1" applyFont="1" applyFill="1" applyAlignment="1">
      <alignment horizontal="left" vertical="center"/>
    </xf>
    <xf numFmtId="43" fontId="3" fillId="6" borderId="0" xfId="1" applyFont="1" applyFill="1">
      <alignment vertical="center"/>
    </xf>
    <xf numFmtId="0" fontId="3" fillId="7" borderId="0" xfId="0" applyFont="1" applyFill="1">
      <alignment vertical="center"/>
    </xf>
    <xf numFmtId="43" fontId="3" fillId="7" borderId="0" xfId="1" applyFont="1" applyFill="1">
      <alignment vertical="center"/>
    </xf>
    <xf numFmtId="0" fontId="3" fillId="6" borderId="0" xfId="0" applyFont="1" applyFill="1">
      <alignment vertical="center"/>
    </xf>
    <xf numFmtId="197" fontId="3" fillId="5" borderId="0" xfId="0" applyNumberFormat="1" applyFont="1" applyFill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centerContinuous" vertical="center"/>
    </xf>
    <xf numFmtId="197" fontId="13" fillId="6" borderId="0" xfId="0" applyNumberFormat="1" applyFont="1" applyFill="1" applyBorder="1" applyAlignment="1">
      <alignment horizontal="left" vertical="center" wrapText="1"/>
    </xf>
    <xf numFmtId="0" fontId="13" fillId="6" borderId="0" xfId="0" applyFont="1" applyFill="1" applyBorder="1" applyAlignment="1">
      <alignment horizontal="centerContinuous" vertical="center"/>
    </xf>
    <xf numFmtId="200" fontId="3" fillId="6" borderId="0" xfId="0" applyNumberFormat="1" applyFont="1" applyFill="1" applyBorder="1" applyAlignment="1">
      <alignment horizontal="left" vertical="center"/>
    </xf>
    <xf numFmtId="0" fontId="3" fillId="6" borderId="0" xfId="0" applyFont="1" applyFill="1" applyBorder="1">
      <alignment vertical="center"/>
    </xf>
    <xf numFmtId="197" fontId="3" fillId="0" borderId="0" xfId="0" applyNumberFormat="1" applyFont="1" applyBorder="1" applyAlignment="1">
      <alignment horizontal="left" vertical="center"/>
    </xf>
    <xf numFmtId="43" fontId="3" fillId="0" borderId="0" xfId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" fontId="3" fillId="0" borderId="0" xfId="0" applyNumberFormat="1" applyFont="1">
      <alignment vertical="center"/>
    </xf>
    <xf numFmtId="0" fontId="6" fillId="8" borderId="7" xfId="0" applyFont="1" applyFill="1" applyBorder="1">
      <alignment vertical="center"/>
    </xf>
    <xf numFmtId="0" fontId="6" fillId="8" borderId="8" xfId="0" applyFont="1" applyFill="1" applyBorder="1">
      <alignment vertical="center"/>
    </xf>
    <xf numFmtId="0" fontId="9" fillId="8" borderId="8" xfId="0" quotePrefix="1" applyFont="1" applyFill="1" applyBorder="1">
      <alignment vertical="center"/>
    </xf>
    <xf numFmtId="0" fontId="3" fillId="8" borderId="8" xfId="0" applyFont="1" applyFill="1" applyBorder="1">
      <alignment vertical="center"/>
    </xf>
    <xf numFmtId="0" fontId="3" fillId="8" borderId="9" xfId="0" applyFont="1" applyFill="1" applyBorder="1">
      <alignment vertical="center"/>
    </xf>
    <xf numFmtId="0" fontId="9" fillId="8" borderId="10" xfId="0" quotePrefix="1" applyFont="1" applyFill="1" applyBorder="1">
      <alignment vertical="center"/>
    </xf>
    <xf numFmtId="0" fontId="9" fillId="8" borderId="11" xfId="0" quotePrefix="1" applyFont="1" applyFill="1" applyBorder="1">
      <alignment vertical="center"/>
    </xf>
    <xf numFmtId="0" fontId="3" fillId="8" borderId="11" xfId="0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3" fillId="0" borderId="0" xfId="0" applyFont="1" applyBorder="1">
      <alignment vertical="center"/>
    </xf>
    <xf numFmtId="0" fontId="9" fillId="8" borderId="0" xfId="0" quotePrefix="1" applyFont="1" applyFill="1" applyBorder="1">
      <alignment vertical="center"/>
    </xf>
    <xf numFmtId="0" fontId="3" fillId="8" borderId="0" xfId="0" applyFont="1" applyFill="1" applyBorder="1">
      <alignment vertical="center"/>
    </xf>
    <xf numFmtId="197" fontId="13" fillId="5" borderId="0" xfId="0" applyNumberFormat="1" applyFont="1" applyFill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1" defaultTableStyle="TableStyleMedium9" defaultPivotStyle="PivotStyleLight16">
    <tableStyle name="Invisible" pivot="0" table="0" count="0" xr9:uid="{AE2DD584-CAE9-474A-B764-D245B50970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34EB-D216-4EBC-A797-3545AF31B8D3}">
  <sheetPr>
    <pageSetUpPr fitToPage="1"/>
  </sheetPr>
  <dimension ref="A1:BD104"/>
  <sheetViews>
    <sheetView tabSelected="1" zoomScale="85" zoomScaleNormal="85" workbookViewId="0">
      <pane xSplit="12" ySplit="10" topLeftCell="M11" activePane="bottomRight" state="frozen"/>
      <selection pane="topRight" activeCell="L1" sqref="L1"/>
      <selection pane="bottomLeft" activeCell="A9" sqref="A9"/>
      <selection pane="bottomRight" activeCell="C95" sqref="C95:D95"/>
    </sheetView>
  </sheetViews>
  <sheetFormatPr defaultRowHeight="12.75" outlineLevelCol="1" x14ac:dyDescent="0.25"/>
  <cols>
    <col min="1" max="1" width="9.625" style="1" customWidth="1"/>
    <col min="2" max="2" width="7.75" style="24" customWidth="1"/>
    <col min="3" max="3" width="11.875" style="1" customWidth="1"/>
    <col min="4" max="6" width="16.875" style="1" customWidth="1"/>
    <col min="7" max="9" width="12.125" style="1" customWidth="1"/>
    <col min="10" max="10" width="1.625" style="1" customWidth="1" outlineLevel="1"/>
    <col min="11" max="11" width="6.625" style="1" customWidth="1" outlineLevel="1"/>
    <col min="12" max="12" width="1.625" style="1" customWidth="1" outlineLevel="1"/>
    <col min="13" max="13" width="9" style="1" customWidth="1" outlineLevel="1"/>
    <col min="14" max="14" width="1.625" style="1" customWidth="1" outlineLevel="1"/>
    <col min="15" max="15" width="9.75" style="1" customWidth="1" outlineLevel="1"/>
    <col min="16" max="16" width="10.125" style="1" customWidth="1" outlineLevel="1"/>
    <col min="17" max="17" width="1.625" style="1" customWidth="1" outlineLevel="1"/>
    <col min="18" max="18" width="11.125" style="1" customWidth="1" outlineLevel="1"/>
    <col min="19" max="19" width="1.625" style="1" customWidth="1" outlineLevel="1"/>
    <col min="20" max="22" width="8.25" style="1" customWidth="1" outlineLevel="1"/>
    <col min="23" max="23" width="1.625" style="1" customWidth="1" outlineLevel="1"/>
    <col min="24" max="24" width="9.625" style="1" customWidth="1" outlineLevel="1"/>
    <col min="25" max="25" width="7.875" style="1" customWidth="1" outlineLevel="1"/>
    <col min="26" max="26" width="1.625" style="1" customWidth="1" outlineLevel="1"/>
    <col min="27" max="27" width="13.125" style="1" customWidth="1" outlineLevel="1"/>
    <col min="28" max="28" width="12.625" style="1" customWidth="1" outlineLevel="1"/>
    <col min="29" max="29" width="11" style="1" customWidth="1" outlineLevel="1"/>
    <col min="30" max="30" width="9.25" style="1" customWidth="1" outlineLevel="1"/>
    <col min="31" max="31" width="11.25" style="1" bestFit="1" customWidth="1" outlineLevel="1"/>
    <col min="32" max="32" width="13.5" style="1" bestFit="1" customWidth="1" outlineLevel="1"/>
    <col min="33" max="33" width="9.875" style="1" bestFit="1" customWidth="1" outlineLevel="1"/>
    <col min="34" max="34" width="12.375" style="1" customWidth="1" outlineLevel="1"/>
    <col min="35" max="37" width="10.375" style="1" customWidth="1" outlineLevel="1"/>
    <col min="38" max="38" width="9.875" style="1" bestFit="1" customWidth="1" outlineLevel="1"/>
    <col min="39" max="42" width="12.25" style="1" customWidth="1" outlineLevel="1"/>
    <col min="43" max="43" width="1.625" style="1" customWidth="1" outlineLevel="1"/>
    <col min="44" max="44" width="9" style="1"/>
    <col min="45" max="45" width="1.625" style="1" hidden="1" customWidth="1" outlineLevel="1"/>
    <col min="46" max="46" width="7.75" style="24" hidden="1" customWidth="1" outlineLevel="1"/>
    <col min="47" max="47" width="13.125" style="1" hidden="1" customWidth="1" outlineLevel="1"/>
    <col min="48" max="48" width="2.125" style="1" hidden="1" customWidth="1" outlineLevel="1"/>
    <col min="49" max="49" width="10.5" style="1" hidden="1" customWidth="1" outlineLevel="1"/>
    <col min="50" max="50" width="8.875" style="24" hidden="1" customWidth="1" outlineLevel="1"/>
    <col min="51" max="51" width="8.75" style="1" hidden="1" customWidth="1" outlineLevel="1"/>
    <col min="52" max="52" width="34.625" style="1" hidden="1" customWidth="1" outlineLevel="1"/>
    <col min="53" max="54" width="10.25" style="1" hidden="1" customWidth="1" outlineLevel="1"/>
    <col min="55" max="55" width="1.625" style="1" hidden="1" customWidth="1" outlineLevel="1"/>
    <col min="56" max="56" width="9" style="1" collapsed="1"/>
    <col min="57" max="16384" width="9" style="1"/>
  </cols>
  <sheetData>
    <row r="1" spans="1:55" x14ac:dyDescent="0.25">
      <c r="A1" s="2" t="s">
        <v>0</v>
      </c>
      <c r="B1" s="25"/>
      <c r="C1" s="13" t="s">
        <v>21</v>
      </c>
      <c r="D1" s="6"/>
      <c r="E1" s="38"/>
      <c r="F1" s="72" t="s">
        <v>10</v>
      </c>
      <c r="G1" s="74" t="s">
        <v>12</v>
      </c>
      <c r="H1" s="75"/>
      <c r="I1" s="76"/>
      <c r="J1" s="37"/>
      <c r="K1" s="37"/>
      <c r="AT1" s="25"/>
      <c r="AX1" s="25"/>
    </row>
    <row r="2" spans="1:55" x14ac:dyDescent="0.25">
      <c r="A2" s="2" t="s">
        <v>1</v>
      </c>
      <c r="B2" s="25"/>
      <c r="C2" s="13" t="s">
        <v>22</v>
      </c>
      <c r="D2" s="14"/>
      <c r="E2" s="38"/>
      <c r="F2" s="77"/>
      <c r="G2" s="78"/>
      <c r="H2" s="79"/>
      <c r="I2" s="80"/>
      <c r="J2" s="37"/>
      <c r="K2" s="37"/>
      <c r="AT2" s="25"/>
      <c r="AX2" s="25"/>
    </row>
    <row r="3" spans="1:55" x14ac:dyDescent="0.25">
      <c r="A3" s="12" t="s">
        <v>11</v>
      </c>
      <c r="B3" s="25"/>
      <c r="C3" s="13"/>
      <c r="D3" s="14"/>
      <c r="E3" s="81"/>
      <c r="F3" s="82"/>
      <c r="G3" s="82"/>
      <c r="H3" s="83"/>
      <c r="I3" s="83"/>
      <c r="J3" s="37"/>
      <c r="K3" s="37"/>
      <c r="AT3" s="25"/>
      <c r="AX3" s="25"/>
    </row>
    <row r="4" spans="1:55" x14ac:dyDescent="0.25">
      <c r="A4" s="12" t="s">
        <v>240</v>
      </c>
      <c r="B4" s="26"/>
      <c r="C4" s="13" t="s">
        <v>143</v>
      </c>
      <c r="D4" s="6"/>
      <c r="E4" s="6"/>
      <c r="AT4" s="26"/>
      <c r="AX4" s="26"/>
    </row>
    <row r="5" spans="1:55" x14ac:dyDescent="0.25">
      <c r="A5" s="12" t="s">
        <v>239</v>
      </c>
      <c r="B5" s="26"/>
      <c r="C5" s="1" t="s">
        <v>232</v>
      </c>
      <c r="D5" s="6"/>
      <c r="E5" s="6"/>
      <c r="AT5" s="26"/>
      <c r="AX5" s="26"/>
    </row>
    <row r="6" spans="1:55" s="11" customFormat="1" ht="0.95" customHeight="1" x14ac:dyDescent="0.25">
      <c r="B6" s="27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T6" s="27"/>
      <c r="AX6" s="27"/>
    </row>
    <row r="8" spans="1:55" s="3" customFormat="1" ht="12.75" customHeight="1" x14ac:dyDescent="0.25">
      <c r="B8" s="25"/>
      <c r="J8" s="9"/>
      <c r="L8" s="9"/>
      <c r="N8" s="9"/>
      <c r="Q8" s="9"/>
      <c r="S8" s="9"/>
      <c r="W8" s="9"/>
      <c r="Z8" s="9"/>
      <c r="AQ8" s="9"/>
      <c r="AS8" s="9"/>
      <c r="AT8" s="35"/>
      <c r="AU8" s="48"/>
      <c r="AV8" s="48"/>
      <c r="AW8" s="48"/>
      <c r="AX8" s="48"/>
      <c r="AY8" s="48" t="s">
        <v>204</v>
      </c>
      <c r="AZ8" s="48"/>
      <c r="BA8" s="48"/>
      <c r="BB8" s="48"/>
      <c r="BC8" s="9"/>
    </row>
    <row r="9" spans="1:55" s="2" customFormat="1" ht="38.25" x14ac:dyDescent="0.25">
      <c r="B9" s="25" t="s">
        <v>2</v>
      </c>
      <c r="C9" s="85" t="s">
        <v>3</v>
      </c>
      <c r="D9" s="86"/>
      <c r="E9" s="86"/>
      <c r="F9" s="87"/>
      <c r="G9" s="3" t="s">
        <v>15</v>
      </c>
      <c r="H9" s="3" t="s">
        <v>16</v>
      </c>
      <c r="I9" s="29" t="s">
        <v>4</v>
      </c>
      <c r="J9" s="9"/>
      <c r="K9" s="8" t="s">
        <v>6</v>
      </c>
      <c r="L9" s="10"/>
      <c r="M9" s="18" t="s">
        <v>19</v>
      </c>
      <c r="N9" s="22"/>
      <c r="O9" s="19" t="s">
        <v>135</v>
      </c>
      <c r="P9" s="19" t="s">
        <v>137</v>
      </c>
      <c r="Q9" s="21"/>
      <c r="R9" s="19" t="s">
        <v>143</v>
      </c>
      <c r="S9" s="21"/>
      <c r="T9" s="19" t="s">
        <v>128</v>
      </c>
      <c r="U9" s="19" t="s">
        <v>140</v>
      </c>
      <c r="V9" s="19" t="s">
        <v>17</v>
      </c>
      <c r="W9" s="21"/>
      <c r="X9" s="19" t="s">
        <v>151</v>
      </c>
      <c r="Y9" s="18" t="s">
        <v>156</v>
      </c>
      <c r="Z9" s="22"/>
      <c r="AA9" s="18" t="s">
        <v>163</v>
      </c>
      <c r="AB9" s="18" t="s">
        <v>166</v>
      </c>
      <c r="AC9" s="18" t="s">
        <v>168</v>
      </c>
      <c r="AD9" s="18" t="s">
        <v>170</v>
      </c>
      <c r="AE9" s="18" t="s">
        <v>175</v>
      </c>
      <c r="AF9" s="18" t="s">
        <v>176</v>
      </c>
      <c r="AG9" s="18" t="s">
        <v>5</v>
      </c>
      <c r="AH9" s="18" t="s">
        <v>179</v>
      </c>
      <c r="AI9" s="18" t="s">
        <v>181</v>
      </c>
      <c r="AJ9" s="18" t="s">
        <v>189</v>
      </c>
      <c r="AK9" s="18" t="s">
        <v>190</v>
      </c>
      <c r="AL9" s="19" t="s">
        <v>191</v>
      </c>
      <c r="AM9" s="19" t="s">
        <v>194</v>
      </c>
      <c r="AN9" s="19" t="s">
        <v>195</v>
      </c>
      <c r="AO9" s="19" t="s">
        <v>197</v>
      </c>
      <c r="AP9" s="19" t="s">
        <v>20</v>
      </c>
      <c r="AQ9" s="22"/>
      <c r="AS9" s="22"/>
      <c r="AT9" s="34" t="s">
        <v>2</v>
      </c>
      <c r="AU9" s="33" t="s">
        <v>205</v>
      </c>
      <c r="AV9" s="33"/>
      <c r="AW9" s="84" t="s">
        <v>241</v>
      </c>
      <c r="AX9" s="44" t="s">
        <v>228</v>
      </c>
      <c r="AY9" s="45" t="s">
        <v>229</v>
      </c>
      <c r="AZ9" s="34" t="s">
        <v>206</v>
      </c>
      <c r="BA9" s="46" t="s">
        <v>230</v>
      </c>
      <c r="BB9" s="47" t="s">
        <v>231</v>
      </c>
      <c r="BC9" s="22"/>
    </row>
    <row r="10" spans="1:55" x14ac:dyDescent="0.25">
      <c r="A10" s="1" t="s">
        <v>114</v>
      </c>
      <c r="B10" s="4" t="s">
        <v>115</v>
      </c>
      <c r="C10" s="1" t="s">
        <v>116</v>
      </c>
      <c r="D10" s="1" t="s">
        <v>117</v>
      </c>
      <c r="E10" s="1" t="s">
        <v>118</v>
      </c>
      <c r="F10" s="1" t="s">
        <v>119</v>
      </c>
      <c r="G10" s="5"/>
      <c r="H10" s="5"/>
      <c r="I10" s="30"/>
      <c r="K10" s="7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S10" s="23"/>
      <c r="AT10" s="33"/>
      <c r="AU10" s="48"/>
      <c r="AV10" s="34"/>
      <c r="AW10" s="34"/>
      <c r="AX10" s="49"/>
      <c r="AY10" s="51" t="s">
        <v>207</v>
      </c>
      <c r="AZ10" s="48"/>
      <c r="BA10" s="49"/>
      <c r="BB10" s="51"/>
      <c r="BC10" s="23"/>
    </row>
    <row r="11" spans="1:55" x14ac:dyDescent="0.25">
      <c r="A11" s="24">
        <v>0</v>
      </c>
      <c r="B11" s="32">
        <v>45658</v>
      </c>
      <c r="C11" s="1" t="s">
        <v>13</v>
      </c>
      <c r="G11" s="5"/>
      <c r="H11" s="5"/>
      <c r="I11" s="30">
        <v>10000</v>
      </c>
      <c r="K11" s="7"/>
      <c r="M11" s="5"/>
      <c r="N11" s="5"/>
      <c r="O11" s="5"/>
      <c r="P11" s="5"/>
      <c r="R11" s="5"/>
      <c r="T11" s="5"/>
      <c r="U11" s="5"/>
      <c r="V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T11" s="52"/>
      <c r="AU11" s="36"/>
      <c r="AV11" s="36"/>
      <c r="AW11" s="36"/>
      <c r="AX11" s="53"/>
      <c r="AY11" s="55"/>
      <c r="AZ11" s="36"/>
      <c r="BA11" s="54"/>
      <c r="BB11" s="55"/>
    </row>
    <row r="12" spans="1:55" x14ac:dyDescent="0.25">
      <c r="A12" s="1" t="s">
        <v>23</v>
      </c>
      <c r="B12" s="32">
        <v>45658</v>
      </c>
      <c r="C12" s="1" t="s">
        <v>7</v>
      </c>
      <c r="D12" s="1" t="s">
        <v>8</v>
      </c>
      <c r="F12" s="1" t="s">
        <v>9</v>
      </c>
      <c r="G12" s="5">
        <v>1000</v>
      </c>
      <c r="H12" s="5"/>
      <c r="I12" s="30">
        <f>I11+G12+H12</f>
        <v>11000</v>
      </c>
      <c r="K12" s="7">
        <f t="shared" ref="K12:K43" si="0">SUM(G12:H12)-SUM(L12:AQ12)</f>
        <v>0</v>
      </c>
      <c r="M12" s="15">
        <f t="shared" ref="M12:M43" si="1">IF($C12=M$9,$G12+$H12,0)</f>
        <v>0</v>
      </c>
      <c r="N12" s="5"/>
      <c r="O12" s="15">
        <f t="shared" ref="O12:P31" si="2">IF($C12=O$9,$G12+$H12,0)</f>
        <v>0</v>
      </c>
      <c r="P12" s="15">
        <f t="shared" si="2"/>
        <v>0</v>
      </c>
      <c r="R12" s="15">
        <f t="shared" ref="R12:V31" si="3">IF($C12=R$9,$G12+$H12,0)</f>
        <v>0</v>
      </c>
      <c r="S12" s="15"/>
      <c r="T12" s="15">
        <f t="shared" si="3"/>
        <v>0</v>
      </c>
      <c r="U12" s="15">
        <f t="shared" si="3"/>
        <v>0</v>
      </c>
      <c r="V12" s="15">
        <f t="shared" si="3"/>
        <v>0</v>
      </c>
      <c r="W12" s="15"/>
      <c r="X12" s="15">
        <f t="shared" ref="X12:Y31" si="4">IF($C12=X$9,$G12+$H12,0)</f>
        <v>1000</v>
      </c>
      <c r="Y12" s="15">
        <f t="shared" si="4"/>
        <v>0</v>
      </c>
      <c r="Z12" s="15"/>
      <c r="AA12" s="15">
        <f t="shared" ref="AA12:AP21" si="5">IF($C12=AA$9,$G12+$H12,0)</f>
        <v>0</v>
      </c>
      <c r="AB12" s="15">
        <f t="shared" si="5"/>
        <v>0</v>
      </c>
      <c r="AC12" s="15">
        <f t="shared" si="5"/>
        <v>0</v>
      </c>
      <c r="AD12" s="15">
        <f t="shared" si="5"/>
        <v>0</v>
      </c>
      <c r="AE12" s="15">
        <f t="shared" si="5"/>
        <v>0</v>
      </c>
      <c r="AF12" s="15">
        <f t="shared" si="5"/>
        <v>0</v>
      </c>
      <c r="AG12" s="15">
        <f t="shared" si="5"/>
        <v>0</v>
      </c>
      <c r="AH12" s="15">
        <f t="shared" si="5"/>
        <v>0</v>
      </c>
      <c r="AI12" s="15">
        <f t="shared" si="5"/>
        <v>0</v>
      </c>
      <c r="AJ12" s="15">
        <f t="shared" si="5"/>
        <v>0</v>
      </c>
      <c r="AK12" s="15">
        <f>IF($C12=AK$9,$G12+$H12,0)</f>
        <v>0</v>
      </c>
      <c r="AL12" s="15">
        <f t="shared" si="5"/>
        <v>0</v>
      </c>
      <c r="AM12" s="15">
        <f t="shared" si="5"/>
        <v>0</v>
      </c>
      <c r="AN12" s="15">
        <f t="shared" si="5"/>
        <v>0</v>
      </c>
      <c r="AO12" s="15">
        <f t="shared" si="5"/>
        <v>0</v>
      </c>
      <c r="AP12" s="15">
        <f t="shared" si="5"/>
        <v>0</v>
      </c>
      <c r="AQ12" s="5"/>
      <c r="AT12" s="52">
        <f>IF(B12="","",B12)</f>
        <v>45658</v>
      </c>
      <c r="AU12" s="36" t="str">
        <f t="shared" ref="AU12:AU43" si="6">IF(C12="","",$C$5&amp;"-"&amp;A12)</f>
        <v>Cash-2501-001</v>
      </c>
      <c r="AV12" s="36"/>
      <c r="AW12" s="36">
        <f>IF(AU12="","",COUNTIF(AU:AU,AU12)*2)</f>
        <v>2</v>
      </c>
      <c r="AX12" s="57">
        <f>IF(C12="","",IF($C$4="","",VLOOKUP($C$4,'Chart of Accounts'!$A:$B,2,FALSE)))</f>
        <v>2400</v>
      </c>
      <c r="AY12" s="55">
        <f>IF(C12="","",VLOOKUP(C:C,'Chart of Accounts'!$A:$B,2,FALSE))</f>
        <v>4000</v>
      </c>
      <c r="AZ12" s="36" t="str">
        <f>IF(C12="","",C12&amp;":"&amp;D12&amp;IF(E12="",""," - "&amp;E12)&amp;IF(F12="",""," - "&amp;F12))</f>
        <v>Sales:Sale invoce #12345 - ABC customer</v>
      </c>
      <c r="BA12" s="54">
        <f>SUM(G12:H12)</f>
        <v>1000</v>
      </c>
      <c r="BB12" s="56">
        <f t="shared" ref="BB12:BB43" si="7">-SUM(G12:H12)</f>
        <v>-1000</v>
      </c>
    </row>
    <row r="13" spans="1:55" x14ac:dyDescent="0.25">
      <c r="A13" s="1" t="s">
        <v>24</v>
      </c>
      <c r="B13" s="32">
        <v>45658</v>
      </c>
      <c r="C13" s="1" t="s">
        <v>181</v>
      </c>
      <c r="D13" s="1" t="s">
        <v>14</v>
      </c>
      <c r="G13" s="5"/>
      <c r="H13" s="5">
        <v>-500</v>
      </c>
      <c r="I13" s="30">
        <f t="shared" ref="I13:I76" si="8">I12+G13+H13</f>
        <v>10500</v>
      </c>
      <c r="K13" s="7">
        <f t="shared" si="0"/>
        <v>0</v>
      </c>
      <c r="M13" s="15">
        <f t="shared" si="1"/>
        <v>0</v>
      </c>
      <c r="N13" s="5"/>
      <c r="O13" s="15">
        <f t="shared" si="2"/>
        <v>0</v>
      </c>
      <c r="P13" s="15">
        <f t="shared" si="2"/>
        <v>0</v>
      </c>
      <c r="R13" s="15">
        <f t="shared" si="3"/>
        <v>0</v>
      </c>
      <c r="S13" s="15"/>
      <c r="T13" s="15">
        <f t="shared" si="3"/>
        <v>0</v>
      </c>
      <c r="U13" s="15">
        <f t="shared" si="3"/>
        <v>0</v>
      </c>
      <c r="V13" s="15">
        <f t="shared" si="3"/>
        <v>0</v>
      </c>
      <c r="W13" s="15"/>
      <c r="X13" s="15">
        <f t="shared" si="4"/>
        <v>0</v>
      </c>
      <c r="Y13" s="15">
        <f t="shared" si="4"/>
        <v>0</v>
      </c>
      <c r="Z13" s="15"/>
      <c r="AA13" s="15">
        <f t="shared" si="5"/>
        <v>0</v>
      </c>
      <c r="AB13" s="15">
        <f t="shared" si="5"/>
        <v>0</v>
      </c>
      <c r="AC13" s="15">
        <f t="shared" si="5"/>
        <v>0</v>
      </c>
      <c r="AD13" s="15">
        <f t="shared" si="5"/>
        <v>0</v>
      </c>
      <c r="AE13" s="15">
        <f t="shared" si="5"/>
        <v>0</v>
      </c>
      <c r="AF13" s="15">
        <f t="shared" si="5"/>
        <v>0</v>
      </c>
      <c r="AG13" s="15">
        <f t="shared" si="5"/>
        <v>0</v>
      </c>
      <c r="AH13" s="15">
        <f t="shared" si="5"/>
        <v>0</v>
      </c>
      <c r="AI13" s="15">
        <f t="shared" si="5"/>
        <v>-500</v>
      </c>
      <c r="AJ13" s="15">
        <f t="shared" si="5"/>
        <v>0</v>
      </c>
      <c r="AK13" s="15">
        <f t="shared" si="5"/>
        <v>0</v>
      </c>
      <c r="AL13" s="15">
        <f t="shared" si="5"/>
        <v>0</v>
      </c>
      <c r="AM13" s="15">
        <f t="shared" si="5"/>
        <v>0</v>
      </c>
      <c r="AN13" s="15">
        <f t="shared" si="5"/>
        <v>0</v>
      </c>
      <c r="AO13" s="15">
        <f t="shared" si="5"/>
        <v>0</v>
      </c>
      <c r="AP13" s="15">
        <f t="shared" si="5"/>
        <v>0</v>
      </c>
      <c r="AQ13" s="5"/>
      <c r="AT13" s="52">
        <f t="shared" ref="AT13:AT76" si="9">IF(B13="","",B13)</f>
        <v>45658</v>
      </c>
      <c r="AU13" s="36" t="str">
        <f t="shared" si="6"/>
        <v>Cash-2501-002</v>
      </c>
      <c r="AV13" s="36"/>
      <c r="AW13" s="36">
        <f t="shared" ref="AW13:AW76" si="10">IF(AU13="","",COUNTIF(AU:AU,AU13)*2)</f>
        <v>2</v>
      </c>
      <c r="AX13" s="57">
        <f>IF(C13="","",IF($C$4="","",VLOOKUP($C$4,'Chart of Accounts'!$A:$B,2,FALSE)))</f>
        <v>2400</v>
      </c>
      <c r="AY13" s="55">
        <f>IF(C13="","",VLOOKUP(C:C,'Chart of Accounts'!$A:$B,2,FALSE))</f>
        <v>6750</v>
      </c>
      <c r="AZ13" s="36" t="str">
        <f>IF(C13="","",C13&amp;":"&amp;D13&amp;IF(E13="",""," - "&amp;E13)&amp;IF(F13="",""," - "&amp;F13))</f>
        <v>Local travelling:Travelling</v>
      </c>
      <c r="BA13" s="54">
        <f t="shared" ref="BA13:BA43" si="11">SUM(G13:H13)</f>
        <v>-500</v>
      </c>
      <c r="BB13" s="56">
        <f t="shared" si="7"/>
        <v>500</v>
      </c>
    </row>
    <row r="14" spans="1:55" x14ac:dyDescent="0.25">
      <c r="A14" s="1" t="s">
        <v>25</v>
      </c>
      <c r="B14" s="28"/>
      <c r="G14" s="5"/>
      <c r="H14" s="5"/>
      <c r="I14" s="30">
        <f t="shared" si="8"/>
        <v>10500</v>
      </c>
      <c r="K14" s="7">
        <f t="shared" si="0"/>
        <v>0</v>
      </c>
      <c r="M14" s="15">
        <f t="shared" si="1"/>
        <v>0</v>
      </c>
      <c r="N14" s="5"/>
      <c r="O14" s="15">
        <f t="shared" si="2"/>
        <v>0</v>
      </c>
      <c r="P14" s="15">
        <f t="shared" si="2"/>
        <v>0</v>
      </c>
      <c r="R14" s="15">
        <f t="shared" si="3"/>
        <v>0</v>
      </c>
      <c r="S14" s="15"/>
      <c r="T14" s="15">
        <f t="shared" si="3"/>
        <v>0</v>
      </c>
      <c r="U14" s="15">
        <f t="shared" si="3"/>
        <v>0</v>
      </c>
      <c r="V14" s="15">
        <f t="shared" si="3"/>
        <v>0</v>
      </c>
      <c r="W14" s="15"/>
      <c r="X14" s="15">
        <f t="shared" si="4"/>
        <v>0</v>
      </c>
      <c r="Y14" s="15">
        <f t="shared" si="4"/>
        <v>0</v>
      </c>
      <c r="Z14" s="15"/>
      <c r="AA14" s="15">
        <f t="shared" si="5"/>
        <v>0</v>
      </c>
      <c r="AB14" s="15">
        <f t="shared" si="5"/>
        <v>0</v>
      </c>
      <c r="AC14" s="15">
        <f t="shared" si="5"/>
        <v>0</v>
      </c>
      <c r="AD14" s="15">
        <f t="shared" si="5"/>
        <v>0</v>
      </c>
      <c r="AE14" s="15">
        <f t="shared" si="5"/>
        <v>0</v>
      </c>
      <c r="AF14" s="15">
        <f t="shared" si="5"/>
        <v>0</v>
      </c>
      <c r="AG14" s="15">
        <f t="shared" si="5"/>
        <v>0</v>
      </c>
      <c r="AH14" s="15">
        <f t="shared" si="5"/>
        <v>0</v>
      </c>
      <c r="AI14" s="15">
        <f t="shared" si="5"/>
        <v>0</v>
      </c>
      <c r="AJ14" s="15">
        <f t="shared" si="5"/>
        <v>0</v>
      </c>
      <c r="AK14" s="15">
        <f t="shared" si="5"/>
        <v>0</v>
      </c>
      <c r="AL14" s="15">
        <f t="shared" si="5"/>
        <v>0</v>
      </c>
      <c r="AM14" s="15">
        <f t="shared" si="5"/>
        <v>0</v>
      </c>
      <c r="AN14" s="15">
        <f t="shared" si="5"/>
        <v>0</v>
      </c>
      <c r="AO14" s="15">
        <f t="shared" si="5"/>
        <v>0</v>
      </c>
      <c r="AP14" s="15">
        <f t="shared" si="5"/>
        <v>0</v>
      </c>
      <c r="AQ14" s="5"/>
      <c r="AT14" s="52" t="str">
        <f t="shared" si="9"/>
        <v/>
      </c>
      <c r="AU14" s="36" t="str">
        <f t="shared" si="6"/>
        <v/>
      </c>
      <c r="AV14" s="36"/>
      <c r="AW14" s="36" t="str">
        <f t="shared" si="10"/>
        <v/>
      </c>
      <c r="AX14" s="57" t="str">
        <f>IF(C14="","",IF($C$4="","",VLOOKUP($C$4,'Chart of Accounts'!$A:$B,2,FALSE)))</f>
        <v/>
      </c>
      <c r="AY14" s="55" t="str">
        <f>IF(C14="","",VLOOKUP(C:C,'Chart of Accounts'!$A:$B,2,FALSE))</f>
        <v/>
      </c>
      <c r="AZ14" s="36" t="str">
        <f t="shared" ref="AZ14:AZ76" si="12">IF(C14="","",C14&amp;":"&amp;D14&amp;IF(E14="",""," - "&amp;E14)&amp;IF(F14="",""," - "&amp;F14))</f>
        <v/>
      </c>
      <c r="BA14" s="54">
        <f t="shared" si="11"/>
        <v>0</v>
      </c>
      <c r="BB14" s="56">
        <f t="shared" si="7"/>
        <v>0</v>
      </c>
    </row>
    <row r="15" spans="1:55" x14ac:dyDescent="0.25">
      <c r="A15" s="1" t="s">
        <v>26</v>
      </c>
      <c r="B15" s="28"/>
      <c r="G15" s="5"/>
      <c r="H15" s="5"/>
      <c r="I15" s="30">
        <f t="shared" si="8"/>
        <v>10500</v>
      </c>
      <c r="K15" s="7">
        <f t="shared" si="0"/>
        <v>0</v>
      </c>
      <c r="M15" s="15">
        <f t="shared" si="1"/>
        <v>0</v>
      </c>
      <c r="N15" s="5"/>
      <c r="O15" s="15">
        <f t="shared" si="2"/>
        <v>0</v>
      </c>
      <c r="P15" s="15">
        <f t="shared" si="2"/>
        <v>0</v>
      </c>
      <c r="R15" s="15">
        <f t="shared" si="3"/>
        <v>0</v>
      </c>
      <c r="S15" s="15"/>
      <c r="T15" s="15">
        <f t="shared" si="3"/>
        <v>0</v>
      </c>
      <c r="U15" s="15">
        <f t="shared" si="3"/>
        <v>0</v>
      </c>
      <c r="V15" s="15">
        <f t="shared" si="3"/>
        <v>0</v>
      </c>
      <c r="W15" s="15"/>
      <c r="X15" s="15">
        <f t="shared" si="4"/>
        <v>0</v>
      </c>
      <c r="Y15" s="15">
        <f t="shared" si="4"/>
        <v>0</v>
      </c>
      <c r="Z15" s="15"/>
      <c r="AA15" s="15">
        <f t="shared" si="5"/>
        <v>0</v>
      </c>
      <c r="AB15" s="15">
        <f t="shared" si="5"/>
        <v>0</v>
      </c>
      <c r="AC15" s="15">
        <f t="shared" si="5"/>
        <v>0</v>
      </c>
      <c r="AD15" s="15">
        <f t="shared" si="5"/>
        <v>0</v>
      </c>
      <c r="AE15" s="15">
        <f t="shared" si="5"/>
        <v>0</v>
      </c>
      <c r="AF15" s="15">
        <f t="shared" si="5"/>
        <v>0</v>
      </c>
      <c r="AG15" s="15">
        <f t="shared" si="5"/>
        <v>0</v>
      </c>
      <c r="AH15" s="15">
        <f t="shared" si="5"/>
        <v>0</v>
      </c>
      <c r="AI15" s="15">
        <f t="shared" si="5"/>
        <v>0</v>
      </c>
      <c r="AJ15" s="15">
        <f t="shared" si="5"/>
        <v>0</v>
      </c>
      <c r="AK15" s="15">
        <f t="shared" si="5"/>
        <v>0</v>
      </c>
      <c r="AL15" s="15">
        <f t="shared" si="5"/>
        <v>0</v>
      </c>
      <c r="AM15" s="15">
        <f t="shared" si="5"/>
        <v>0</v>
      </c>
      <c r="AN15" s="15">
        <f t="shared" si="5"/>
        <v>0</v>
      </c>
      <c r="AO15" s="15">
        <f t="shared" si="5"/>
        <v>0</v>
      </c>
      <c r="AP15" s="15">
        <f t="shared" si="5"/>
        <v>0</v>
      </c>
      <c r="AQ15" s="5"/>
      <c r="AT15" s="52" t="str">
        <f t="shared" si="9"/>
        <v/>
      </c>
      <c r="AU15" s="36" t="str">
        <f t="shared" si="6"/>
        <v/>
      </c>
      <c r="AV15" s="36"/>
      <c r="AW15" s="36" t="str">
        <f t="shared" si="10"/>
        <v/>
      </c>
      <c r="AX15" s="57" t="str">
        <f>IF(C15="","",IF($C$4="","",VLOOKUP($C$4,'Chart of Accounts'!$A:$B,2,FALSE)))</f>
        <v/>
      </c>
      <c r="AY15" s="55" t="str">
        <f>IF(C15="","",VLOOKUP(C:C,'Chart of Accounts'!$A:$B,2,FALSE))</f>
        <v/>
      </c>
      <c r="AZ15" s="36" t="str">
        <f t="shared" si="12"/>
        <v/>
      </c>
      <c r="BA15" s="54">
        <f t="shared" si="11"/>
        <v>0</v>
      </c>
      <c r="BB15" s="56">
        <f t="shared" si="7"/>
        <v>0</v>
      </c>
    </row>
    <row r="16" spans="1:55" x14ac:dyDescent="0.25">
      <c r="A16" s="1" t="s">
        <v>27</v>
      </c>
      <c r="B16" s="28"/>
      <c r="G16" s="5"/>
      <c r="H16" s="5"/>
      <c r="I16" s="30">
        <f t="shared" si="8"/>
        <v>10500</v>
      </c>
      <c r="K16" s="7">
        <f t="shared" si="0"/>
        <v>0</v>
      </c>
      <c r="M16" s="15">
        <f t="shared" si="1"/>
        <v>0</v>
      </c>
      <c r="N16" s="5"/>
      <c r="O16" s="15">
        <f t="shared" si="2"/>
        <v>0</v>
      </c>
      <c r="P16" s="15">
        <f t="shared" si="2"/>
        <v>0</v>
      </c>
      <c r="R16" s="15">
        <f t="shared" si="3"/>
        <v>0</v>
      </c>
      <c r="S16" s="15"/>
      <c r="T16" s="15">
        <f t="shared" si="3"/>
        <v>0</v>
      </c>
      <c r="U16" s="15">
        <f t="shared" si="3"/>
        <v>0</v>
      </c>
      <c r="V16" s="15">
        <f t="shared" si="3"/>
        <v>0</v>
      </c>
      <c r="W16" s="15"/>
      <c r="X16" s="15">
        <f t="shared" si="4"/>
        <v>0</v>
      </c>
      <c r="Y16" s="15">
        <f t="shared" si="4"/>
        <v>0</v>
      </c>
      <c r="Z16" s="15"/>
      <c r="AA16" s="15">
        <f t="shared" si="5"/>
        <v>0</v>
      </c>
      <c r="AB16" s="15">
        <f t="shared" si="5"/>
        <v>0</v>
      </c>
      <c r="AC16" s="15">
        <f t="shared" si="5"/>
        <v>0</v>
      </c>
      <c r="AD16" s="15">
        <f t="shared" si="5"/>
        <v>0</v>
      </c>
      <c r="AE16" s="15">
        <f t="shared" si="5"/>
        <v>0</v>
      </c>
      <c r="AF16" s="15">
        <f t="shared" si="5"/>
        <v>0</v>
      </c>
      <c r="AG16" s="15">
        <f t="shared" si="5"/>
        <v>0</v>
      </c>
      <c r="AH16" s="15">
        <f t="shared" si="5"/>
        <v>0</v>
      </c>
      <c r="AI16" s="15">
        <f t="shared" si="5"/>
        <v>0</v>
      </c>
      <c r="AJ16" s="15">
        <f t="shared" si="5"/>
        <v>0</v>
      </c>
      <c r="AK16" s="15">
        <f t="shared" si="5"/>
        <v>0</v>
      </c>
      <c r="AL16" s="15">
        <f t="shared" si="5"/>
        <v>0</v>
      </c>
      <c r="AM16" s="15">
        <f t="shared" si="5"/>
        <v>0</v>
      </c>
      <c r="AN16" s="15">
        <f t="shared" si="5"/>
        <v>0</v>
      </c>
      <c r="AO16" s="15">
        <f t="shared" si="5"/>
        <v>0</v>
      </c>
      <c r="AP16" s="15">
        <f t="shared" si="5"/>
        <v>0</v>
      </c>
      <c r="AQ16" s="5"/>
      <c r="AT16" s="52" t="str">
        <f t="shared" si="9"/>
        <v/>
      </c>
      <c r="AU16" s="36" t="str">
        <f t="shared" si="6"/>
        <v/>
      </c>
      <c r="AV16" s="36"/>
      <c r="AW16" s="36" t="str">
        <f t="shared" si="10"/>
        <v/>
      </c>
      <c r="AX16" s="57" t="str">
        <f>IF(C16="","",IF($C$4="","",VLOOKUP($C$4,'Chart of Accounts'!$A:$B,2,FALSE)))</f>
        <v/>
      </c>
      <c r="AY16" s="55" t="str">
        <f>IF(C16="","",VLOOKUP(C:C,'Chart of Accounts'!$A:$B,2,FALSE))</f>
        <v/>
      </c>
      <c r="AZ16" s="36" t="str">
        <f t="shared" si="12"/>
        <v/>
      </c>
      <c r="BA16" s="54">
        <f t="shared" si="11"/>
        <v>0</v>
      </c>
      <c r="BB16" s="56">
        <f t="shared" si="7"/>
        <v>0</v>
      </c>
    </row>
    <row r="17" spans="1:54" x14ac:dyDescent="0.25">
      <c r="A17" s="1" t="s">
        <v>28</v>
      </c>
      <c r="B17" s="28"/>
      <c r="G17" s="5"/>
      <c r="H17" s="5"/>
      <c r="I17" s="30">
        <f t="shared" si="8"/>
        <v>10500</v>
      </c>
      <c r="K17" s="7">
        <f t="shared" si="0"/>
        <v>0</v>
      </c>
      <c r="M17" s="15">
        <f t="shared" si="1"/>
        <v>0</v>
      </c>
      <c r="N17" s="5"/>
      <c r="O17" s="15">
        <f t="shared" si="2"/>
        <v>0</v>
      </c>
      <c r="P17" s="15">
        <f t="shared" si="2"/>
        <v>0</v>
      </c>
      <c r="R17" s="15">
        <f t="shared" si="3"/>
        <v>0</v>
      </c>
      <c r="S17" s="15"/>
      <c r="T17" s="15">
        <f t="shared" si="3"/>
        <v>0</v>
      </c>
      <c r="U17" s="15">
        <f t="shared" si="3"/>
        <v>0</v>
      </c>
      <c r="V17" s="15">
        <f t="shared" si="3"/>
        <v>0</v>
      </c>
      <c r="W17" s="15"/>
      <c r="X17" s="15">
        <f t="shared" si="4"/>
        <v>0</v>
      </c>
      <c r="Y17" s="15">
        <f t="shared" si="4"/>
        <v>0</v>
      </c>
      <c r="Z17" s="15"/>
      <c r="AA17" s="15">
        <f t="shared" si="5"/>
        <v>0</v>
      </c>
      <c r="AB17" s="15">
        <f t="shared" si="5"/>
        <v>0</v>
      </c>
      <c r="AC17" s="15">
        <f t="shared" si="5"/>
        <v>0</v>
      </c>
      <c r="AD17" s="15">
        <f t="shared" si="5"/>
        <v>0</v>
      </c>
      <c r="AE17" s="15">
        <f t="shared" si="5"/>
        <v>0</v>
      </c>
      <c r="AF17" s="15">
        <f t="shared" si="5"/>
        <v>0</v>
      </c>
      <c r="AG17" s="15">
        <f t="shared" si="5"/>
        <v>0</v>
      </c>
      <c r="AH17" s="15">
        <f t="shared" si="5"/>
        <v>0</v>
      </c>
      <c r="AI17" s="15">
        <f t="shared" si="5"/>
        <v>0</v>
      </c>
      <c r="AJ17" s="15">
        <f t="shared" si="5"/>
        <v>0</v>
      </c>
      <c r="AK17" s="15">
        <f t="shared" si="5"/>
        <v>0</v>
      </c>
      <c r="AL17" s="15">
        <f t="shared" si="5"/>
        <v>0</v>
      </c>
      <c r="AM17" s="15">
        <f t="shared" si="5"/>
        <v>0</v>
      </c>
      <c r="AN17" s="15">
        <f t="shared" si="5"/>
        <v>0</v>
      </c>
      <c r="AO17" s="15">
        <f t="shared" si="5"/>
        <v>0</v>
      </c>
      <c r="AP17" s="15">
        <f t="shared" si="5"/>
        <v>0</v>
      </c>
      <c r="AQ17" s="5"/>
      <c r="AT17" s="52" t="str">
        <f t="shared" si="9"/>
        <v/>
      </c>
      <c r="AU17" s="36" t="str">
        <f t="shared" si="6"/>
        <v/>
      </c>
      <c r="AV17" s="36"/>
      <c r="AW17" s="36" t="str">
        <f t="shared" si="10"/>
        <v/>
      </c>
      <c r="AX17" s="57" t="str">
        <f>IF(C17="","",IF($C$4="","",VLOOKUP($C$4,'Chart of Accounts'!$A:$B,2,FALSE)))</f>
        <v/>
      </c>
      <c r="AY17" s="55" t="str">
        <f>IF(C17="","",VLOOKUP(C:C,'Chart of Accounts'!$A:$B,2,FALSE))</f>
        <v/>
      </c>
      <c r="AZ17" s="36" t="str">
        <f t="shared" si="12"/>
        <v/>
      </c>
      <c r="BA17" s="54">
        <f t="shared" si="11"/>
        <v>0</v>
      </c>
      <c r="BB17" s="56">
        <f t="shared" si="7"/>
        <v>0</v>
      </c>
    </row>
    <row r="18" spans="1:54" x14ac:dyDescent="0.25">
      <c r="A18" s="1" t="s">
        <v>29</v>
      </c>
      <c r="B18" s="28"/>
      <c r="G18" s="5"/>
      <c r="H18" s="5"/>
      <c r="I18" s="30">
        <f t="shared" si="8"/>
        <v>10500</v>
      </c>
      <c r="K18" s="7">
        <f t="shared" si="0"/>
        <v>0</v>
      </c>
      <c r="M18" s="15">
        <f t="shared" si="1"/>
        <v>0</v>
      </c>
      <c r="N18" s="5"/>
      <c r="O18" s="15">
        <f t="shared" si="2"/>
        <v>0</v>
      </c>
      <c r="P18" s="15">
        <f t="shared" si="2"/>
        <v>0</v>
      </c>
      <c r="R18" s="15">
        <f t="shared" si="3"/>
        <v>0</v>
      </c>
      <c r="S18" s="15"/>
      <c r="T18" s="15">
        <f t="shared" si="3"/>
        <v>0</v>
      </c>
      <c r="U18" s="15">
        <f t="shared" si="3"/>
        <v>0</v>
      </c>
      <c r="V18" s="15">
        <f t="shared" si="3"/>
        <v>0</v>
      </c>
      <c r="W18" s="15"/>
      <c r="X18" s="15">
        <f t="shared" si="4"/>
        <v>0</v>
      </c>
      <c r="Y18" s="15">
        <f t="shared" si="4"/>
        <v>0</v>
      </c>
      <c r="Z18" s="15"/>
      <c r="AA18" s="15">
        <f t="shared" si="5"/>
        <v>0</v>
      </c>
      <c r="AB18" s="15">
        <f t="shared" si="5"/>
        <v>0</v>
      </c>
      <c r="AC18" s="15">
        <f t="shared" si="5"/>
        <v>0</v>
      </c>
      <c r="AD18" s="15">
        <f t="shared" si="5"/>
        <v>0</v>
      </c>
      <c r="AE18" s="15">
        <f t="shared" si="5"/>
        <v>0</v>
      </c>
      <c r="AF18" s="15">
        <f t="shared" si="5"/>
        <v>0</v>
      </c>
      <c r="AG18" s="15">
        <f t="shared" si="5"/>
        <v>0</v>
      </c>
      <c r="AH18" s="15">
        <f t="shared" si="5"/>
        <v>0</v>
      </c>
      <c r="AI18" s="15">
        <f t="shared" si="5"/>
        <v>0</v>
      </c>
      <c r="AJ18" s="15">
        <f t="shared" si="5"/>
        <v>0</v>
      </c>
      <c r="AK18" s="15">
        <f t="shared" si="5"/>
        <v>0</v>
      </c>
      <c r="AL18" s="15">
        <f t="shared" si="5"/>
        <v>0</v>
      </c>
      <c r="AM18" s="15">
        <f t="shared" si="5"/>
        <v>0</v>
      </c>
      <c r="AN18" s="15">
        <f t="shared" si="5"/>
        <v>0</v>
      </c>
      <c r="AO18" s="15">
        <f t="shared" si="5"/>
        <v>0</v>
      </c>
      <c r="AP18" s="15">
        <f t="shared" si="5"/>
        <v>0</v>
      </c>
      <c r="AQ18" s="5"/>
      <c r="AT18" s="52" t="str">
        <f t="shared" si="9"/>
        <v/>
      </c>
      <c r="AU18" s="36" t="str">
        <f t="shared" si="6"/>
        <v/>
      </c>
      <c r="AV18" s="36"/>
      <c r="AW18" s="36" t="str">
        <f t="shared" si="10"/>
        <v/>
      </c>
      <c r="AX18" s="57" t="str">
        <f>IF(C18="","",IF($C$4="","",VLOOKUP($C$4,'Chart of Accounts'!$A:$B,2,FALSE)))</f>
        <v/>
      </c>
      <c r="AY18" s="55" t="str">
        <f>IF(C18="","",VLOOKUP(C:C,'Chart of Accounts'!$A:$B,2,FALSE))</f>
        <v/>
      </c>
      <c r="AZ18" s="36" t="str">
        <f t="shared" si="12"/>
        <v/>
      </c>
      <c r="BA18" s="54">
        <f t="shared" si="11"/>
        <v>0</v>
      </c>
      <c r="BB18" s="56">
        <f t="shared" si="7"/>
        <v>0</v>
      </c>
    </row>
    <row r="19" spans="1:54" x14ac:dyDescent="0.25">
      <c r="A19" s="1" t="s">
        <v>30</v>
      </c>
      <c r="B19" s="28"/>
      <c r="G19" s="5"/>
      <c r="H19" s="5"/>
      <c r="I19" s="30">
        <f t="shared" si="8"/>
        <v>10500</v>
      </c>
      <c r="K19" s="7">
        <f t="shared" si="0"/>
        <v>0</v>
      </c>
      <c r="M19" s="15">
        <f t="shared" si="1"/>
        <v>0</v>
      </c>
      <c r="N19" s="5"/>
      <c r="O19" s="15">
        <f t="shared" si="2"/>
        <v>0</v>
      </c>
      <c r="P19" s="15">
        <f t="shared" si="2"/>
        <v>0</v>
      </c>
      <c r="R19" s="15">
        <f t="shared" si="3"/>
        <v>0</v>
      </c>
      <c r="S19" s="15"/>
      <c r="T19" s="15">
        <f t="shared" si="3"/>
        <v>0</v>
      </c>
      <c r="U19" s="15">
        <f t="shared" si="3"/>
        <v>0</v>
      </c>
      <c r="V19" s="15">
        <f t="shared" si="3"/>
        <v>0</v>
      </c>
      <c r="W19" s="15"/>
      <c r="X19" s="15">
        <f t="shared" si="4"/>
        <v>0</v>
      </c>
      <c r="Y19" s="15">
        <f t="shared" si="4"/>
        <v>0</v>
      </c>
      <c r="Z19" s="15"/>
      <c r="AA19" s="15">
        <f t="shared" si="5"/>
        <v>0</v>
      </c>
      <c r="AB19" s="15">
        <f t="shared" si="5"/>
        <v>0</v>
      </c>
      <c r="AC19" s="15">
        <f t="shared" si="5"/>
        <v>0</v>
      </c>
      <c r="AD19" s="15">
        <f t="shared" si="5"/>
        <v>0</v>
      </c>
      <c r="AE19" s="15">
        <f t="shared" si="5"/>
        <v>0</v>
      </c>
      <c r="AF19" s="15">
        <f t="shared" si="5"/>
        <v>0</v>
      </c>
      <c r="AG19" s="15">
        <f t="shared" si="5"/>
        <v>0</v>
      </c>
      <c r="AH19" s="15">
        <f t="shared" si="5"/>
        <v>0</v>
      </c>
      <c r="AI19" s="15">
        <f t="shared" si="5"/>
        <v>0</v>
      </c>
      <c r="AJ19" s="15">
        <f t="shared" si="5"/>
        <v>0</v>
      </c>
      <c r="AK19" s="15">
        <f t="shared" si="5"/>
        <v>0</v>
      </c>
      <c r="AL19" s="15">
        <f t="shared" si="5"/>
        <v>0</v>
      </c>
      <c r="AM19" s="15">
        <f t="shared" si="5"/>
        <v>0</v>
      </c>
      <c r="AN19" s="15">
        <f t="shared" si="5"/>
        <v>0</v>
      </c>
      <c r="AO19" s="15">
        <f t="shared" si="5"/>
        <v>0</v>
      </c>
      <c r="AP19" s="15">
        <f t="shared" si="5"/>
        <v>0</v>
      </c>
      <c r="AQ19" s="5"/>
      <c r="AT19" s="52" t="str">
        <f t="shared" si="9"/>
        <v/>
      </c>
      <c r="AU19" s="36" t="str">
        <f t="shared" si="6"/>
        <v/>
      </c>
      <c r="AV19" s="36"/>
      <c r="AW19" s="36" t="str">
        <f t="shared" si="10"/>
        <v/>
      </c>
      <c r="AX19" s="57" t="str">
        <f>IF(C19="","",IF($C$4="","",VLOOKUP($C$4,'Chart of Accounts'!$A:$B,2,FALSE)))</f>
        <v/>
      </c>
      <c r="AY19" s="55" t="str">
        <f>IF(C19="","",VLOOKUP(C:C,'Chart of Accounts'!$A:$B,2,FALSE))</f>
        <v/>
      </c>
      <c r="AZ19" s="36" t="str">
        <f t="shared" si="12"/>
        <v/>
      </c>
      <c r="BA19" s="54">
        <f t="shared" si="11"/>
        <v>0</v>
      </c>
      <c r="BB19" s="56">
        <f t="shared" si="7"/>
        <v>0</v>
      </c>
    </row>
    <row r="20" spans="1:54" x14ac:dyDescent="0.25">
      <c r="A20" s="1" t="s">
        <v>31</v>
      </c>
      <c r="B20" s="28"/>
      <c r="G20" s="5"/>
      <c r="H20" s="5"/>
      <c r="I20" s="30">
        <f t="shared" si="8"/>
        <v>10500</v>
      </c>
      <c r="K20" s="7">
        <f t="shared" si="0"/>
        <v>0</v>
      </c>
      <c r="M20" s="15">
        <f t="shared" si="1"/>
        <v>0</v>
      </c>
      <c r="N20" s="5"/>
      <c r="O20" s="15">
        <f t="shared" si="2"/>
        <v>0</v>
      </c>
      <c r="P20" s="15">
        <f t="shared" si="2"/>
        <v>0</v>
      </c>
      <c r="R20" s="15">
        <f t="shared" si="3"/>
        <v>0</v>
      </c>
      <c r="S20" s="15"/>
      <c r="T20" s="15">
        <f t="shared" si="3"/>
        <v>0</v>
      </c>
      <c r="U20" s="15">
        <f t="shared" si="3"/>
        <v>0</v>
      </c>
      <c r="V20" s="15">
        <f t="shared" si="3"/>
        <v>0</v>
      </c>
      <c r="W20" s="15"/>
      <c r="X20" s="15">
        <f t="shared" si="4"/>
        <v>0</v>
      </c>
      <c r="Y20" s="15">
        <f t="shared" si="4"/>
        <v>0</v>
      </c>
      <c r="Z20" s="15"/>
      <c r="AA20" s="15">
        <f t="shared" si="5"/>
        <v>0</v>
      </c>
      <c r="AB20" s="15">
        <f t="shared" si="5"/>
        <v>0</v>
      </c>
      <c r="AC20" s="15">
        <f t="shared" si="5"/>
        <v>0</v>
      </c>
      <c r="AD20" s="15">
        <f t="shared" si="5"/>
        <v>0</v>
      </c>
      <c r="AE20" s="15">
        <f t="shared" si="5"/>
        <v>0</v>
      </c>
      <c r="AF20" s="15">
        <f t="shared" si="5"/>
        <v>0</v>
      </c>
      <c r="AG20" s="15">
        <f t="shared" si="5"/>
        <v>0</v>
      </c>
      <c r="AH20" s="15">
        <f t="shared" si="5"/>
        <v>0</v>
      </c>
      <c r="AI20" s="15">
        <f t="shared" si="5"/>
        <v>0</v>
      </c>
      <c r="AJ20" s="15">
        <f t="shared" si="5"/>
        <v>0</v>
      </c>
      <c r="AK20" s="15">
        <f t="shared" si="5"/>
        <v>0</v>
      </c>
      <c r="AL20" s="15">
        <f t="shared" si="5"/>
        <v>0</v>
      </c>
      <c r="AM20" s="15">
        <f t="shared" si="5"/>
        <v>0</v>
      </c>
      <c r="AN20" s="15">
        <f t="shared" si="5"/>
        <v>0</v>
      </c>
      <c r="AO20" s="15">
        <f t="shared" si="5"/>
        <v>0</v>
      </c>
      <c r="AP20" s="15">
        <f t="shared" si="5"/>
        <v>0</v>
      </c>
      <c r="AQ20" s="5"/>
      <c r="AT20" s="52" t="str">
        <f t="shared" si="9"/>
        <v/>
      </c>
      <c r="AU20" s="36" t="str">
        <f t="shared" si="6"/>
        <v/>
      </c>
      <c r="AV20" s="36"/>
      <c r="AW20" s="36" t="str">
        <f t="shared" si="10"/>
        <v/>
      </c>
      <c r="AX20" s="57" t="str">
        <f>IF(C20="","",IF($C$4="","",VLOOKUP($C$4,'Chart of Accounts'!$A:$B,2,FALSE)))</f>
        <v/>
      </c>
      <c r="AY20" s="55" t="str">
        <f>IF(C20="","",VLOOKUP(C:C,'Chart of Accounts'!$A:$B,2,FALSE))</f>
        <v/>
      </c>
      <c r="AZ20" s="36" t="str">
        <f t="shared" si="12"/>
        <v/>
      </c>
      <c r="BA20" s="54">
        <f t="shared" si="11"/>
        <v>0</v>
      </c>
      <c r="BB20" s="56">
        <f t="shared" si="7"/>
        <v>0</v>
      </c>
    </row>
    <row r="21" spans="1:54" x14ac:dyDescent="0.25">
      <c r="A21" s="1" t="s">
        <v>32</v>
      </c>
      <c r="B21" s="28"/>
      <c r="G21" s="5"/>
      <c r="H21" s="5"/>
      <c r="I21" s="30">
        <f t="shared" si="8"/>
        <v>10500</v>
      </c>
      <c r="K21" s="7">
        <f t="shared" si="0"/>
        <v>0</v>
      </c>
      <c r="M21" s="15">
        <f t="shared" si="1"/>
        <v>0</v>
      </c>
      <c r="N21" s="5"/>
      <c r="O21" s="15">
        <f t="shared" si="2"/>
        <v>0</v>
      </c>
      <c r="P21" s="15">
        <f t="shared" si="2"/>
        <v>0</v>
      </c>
      <c r="R21" s="15">
        <f t="shared" si="3"/>
        <v>0</v>
      </c>
      <c r="S21" s="15"/>
      <c r="T21" s="15">
        <f t="shared" si="3"/>
        <v>0</v>
      </c>
      <c r="U21" s="15">
        <f t="shared" si="3"/>
        <v>0</v>
      </c>
      <c r="V21" s="15">
        <f t="shared" si="3"/>
        <v>0</v>
      </c>
      <c r="W21" s="15"/>
      <c r="X21" s="15">
        <f t="shared" si="4"/>
        <v>0</v>
      </c>
      <c r="Y21" s="15">
        <f t="shared" si="4"/>
        <v>0</v>
      </c>
      <c r="Z21" s="15"/>
      <c r="AA21" s="15">
        <f t="shared" si="5"/>
        <v>0</v>
      </c>
      <c r="AB21" s="15">
        <f t="shared" si="5"/>
        <v>0</v>
      </c>
      <c r="AC21" s="15">
        <f t="shared" si="5"/>
        <v>0</v>
      </c>
      <c r="AD21" s="15">
        <f t="shared" si="5"/>
        <v>0</v>
      </c>
      <c r="AE21" s="15">
        <f t="shared" si="5"/>
        <v>0</v>
      </c>
      <c r="AF21" s="15">
        <f t="shared" si="5"/>
        <v>0</v>
      </c>
      <c r="AG21" s="15">
        <f t="shared" si="5"/>
        <v>0</v>
      </c>
      <c r="AH21" s="15">
        <f t="shared" si="5"/>
        <v>0</v>
      </c>
      <c r="AI21" s="15">
        <f t="shared" si="5"/>
        <v>0</v>
      </c>
      <c r="AJ21" s="15">
        <f t="shared" si="5"/>
        <v>0</v>
      </c>
      <c r="AK21" s="15">
        <f t="shared" si="5"/>
        <v>0</v>
      </c>
      <c r="AL21" s="15">
        <f t="shared" si="5"/>
        <v>0</v>
      </c>
      <c r="AM21" s="15">
        <f t="shared" si="5"/>
        <v>0</v>
      </c>
      <c r="AN21" s="15">
        <f t="shared" si="5"/>
        <v>0</v>
      </c>
      <c r="AO21" s="15">
        <f t="shared" si="5"/>
        <v>0</v>
      </c>
      <c r="AP21" s="15">
        <f t="shared" si="5"/>
        <v>0</v>
      </c>
      <c r="AQ21" s="5"/>
      <c r="AT21" s="52" t="str">
        <f t="shared" si="9"/>
        <v/>
      </c>
      <c r="AU21" s="36" t="str">
        <f t="shared" si="6"/>
        <v/>
      </c>
      <c r="AV21" s="36"/>
      <c r="AW21" s="36" t="str">
        <f t="shared" si="10"/>
        <v/>
      </c>
      <c r="AX21" s="57" t="str">
        <f>IF(C21="","",IF($C$4="","",VLOOKUP($C$4,'Chart of Accounts'!$A:$B,2,FALSE)))</f>
        <v/>
      </c>
      <c r="AY21" s="55" t="str">
        <f>IF(C21="","",VLOOKUP(C:C,'Chart of Accounts'!$A:$B,2,FALSE))</f>
        <v/>
      </c>
      <c r="AZ21" s="36" t="str">
        <f t="shared" si="12"/>
        <v/>
      </c>
      <c r="BA21" s="54">
        <f t="shared" si="11"/>
        <v>0</v>
      </c>
      <c r="BB21" s="56">
        <f t="shared" si="7"/>
        <v>0</v>
      </c>
    </row>
    <row r="22" spans="1:54" x14ac:dyDescent="0.25">
      <c r="A22" s="1" t="s">
        <v>33</v>
      </c>
      <c r="B22" s="28"/>
      <c r="G22" s="5"/>
      <c r="H22" s="5"/>
      <c r="I22" s="30">
        <f t="shared" si="8"/>
        <v>10500</v>
      </c>
      <c r="K22" s="7">
        <f t="shared" si="0"/>
        <v>0</v>
      </c>
      <c r="M22" s="15">
        <f t="shared" si="1"/>
        <v>0</v>
      </c>
      <c r="N22" s="5"/>
      <c r="O22" s="15">
        <f t="shared" si="2"/>
        <v>0</v>
      </c>
      <c r="P22" s="15">
        <f t="shared" si="2"/>
        <v>0</v>
      </c>
      <c r="R22" s="15">
        <f t="shared" si="3"/>
        <v>0</v>
      </c>
      <c r="S22" s="15"/>
      <c r="T22" s="15">
        <f t="shared" si="3"/>
        <v>0</v>
      </c>
      <c r="U22" s="15">
        <f t="shared" si="3"/>
        <v>0</v>
      </c>
      <c r="V22" s="15">
        <f t="shared" si="3"/>
        <v>0</v>
      </c>
      <c r="W22" s="15"/>
      <c r="X22" s="15">
        <f t="shared" si="4"/>
        <v>0</v>
      </c>
      <c r="Y22" s="15">
        <f t="shared" si="4"/>
        <v>0</v>
      </c>
      <c r="Z22" s="15"/>
      <c r="AA22" s="15">
        <f t="shared" ref="AA22:AP31" si="13">IF($C22=AA$9,$G22+$H22,0)</f>
        <v>0</v>
      </c>
      <c r="AB22" s="15">
        <f t="shared" si="13"/>
        <v>0</v>
      </c>
      <c r="AC22" s="15">
        <f t="shared" si="13"/>
        <v>0</v>
      </c>
      <c r="AD22" s="15">
        <f t="shared" si="13"/>
        <v>0</v>
      </c>
      <c r="AE22" s="15">
        <f t="shared" si="13"/>
        <v>0</v>
      </c>
      <c r="AF22" s="15">
        <f t="shared" si="13"/>
        <v>0</v>
      </c>
      <c r="AG22" s="15">
        <f t="shared" si="13"/>
        <v>0</v>
      </c>
      <c r="AH22" s="15">
        <f t="shared" si="13"/>
        <v>0</v>
      </c>
      <c r="AI22" s="15">
        <f t="shared" si="13"/>
        <v>0</v>
      </c>
      <c r="AJ22" s="15">
        <f t="shared" si="13"/>
        <v>0</v>
      </c>
      <c r="AK22" s="15">
        <f t="shared" si="13"/>
        <v>0</v>
      </c>
      <c r="AL22" s="15">
        <f t="shared" si="13"/>
        <v>0</v>
      </c>
      <c r="AM22" s="15">
        <f t="shared" si="13"/>
        <v>0</v>
      </c>
      <c r="AN22" s="15">
        <f t="shared" si="13"/>
        <v>0</v>
      </c>
      <c r="AO22" s="15">
        <f t="shared" si="13"/>
        <v>0</v>
      </c>
      <c r="AP22" s="15">
        <f t="shared" si="13"/>
        <v>0</v>
      </c>
      <c r="AQ22" s="5"/>
      <c r="AT22" s="52" t="str">
        <f t="shared" si="9"/>
        <v/>
      </c>
      <c r="AU22" s="36" t="str">
        <f t="shared" si="6"/>
        <v/>
      </c>
      <c r="AV22" s="36"/>
      <c r="AW22" s="36" t="str">
        <f t="shared" si="10"/>
        <v/>
      </c>
      <c r="AX22" s="57" t="str">
        <f>IF(C22="","",IF($C$4="","",VLOOKUP($C$4,'Chart of Accounts'!$A:$B,2,FALSE)))</f>
        <v/>
      </c>
      <c r="AY22" s="55" t="str">
        <f>IF(C22="","",VLOOKUP(C:C,'Chart of Accounts'!$A:$B,2,FALSE))</f>
        <v/>
      </c>
      <c r="AZ22" s="36" t="str">
        <f t="shared" si="12"/>
        <v/>
      </c>
      <c r="BA22" s="54">
        <f t="shared" si="11"/>
        <v>0</v>
      </c>
      <c r="BB22" s="56">
        <f t="shared" si="7"/>
        <v>0</v>
      </c>
    </row>
    <row r="23" spans="1:54" x14ac:dyDescent="0.25">
      <c r="A23" s="1" t="s">
        <v>34</v>
      </c>
      <c r="B23" s="28"/>
      <c r="G23" s="5"/>
      <c r="H23" s="5"/>
      <c r="I23" s="30">
        <f t="shared" si="8"/>
        <v>10500</v>
      </c>
      <c r="K23" s="7">
        <f t="shared" si="0"/>
        <v>0</v>
      </c>
      <c r="M23" s="15">
        <f t="shared" si="1"/>
        <v>0</v>
      </c>
      <c r="N23" s="5"/>
      <c r="O23" s="15">
        <f t="shared" si="2"/>
        <v>0</v>
      </c>
      <c r="P23" s="15">
        <f t="shared" si="2"/>
        <v>0</v>
      </c>
      <c r="R23" s="15">
        <f t="shared" si="3"/>
        <v>0</v>
      </c>
      <c r="S23" s="15"/>
      <c r="T23" s="15">
        <f t="shared" si="3"/>
        <v>0</v>
      </c>
      <c r="U23" s="15">
        <f t="shared" si="3"/>
        <v>0</v>
      </c>
      <c r="V23" s="15">
        <f t="shared" si="3"/>
        <v>0</v>
      </c>
      <c r="W23" s="15"/>
      <c r="X23" s="15">
        <f t="shared" si="4"/>
        <v>0</v>
      </c>
      <c r="Y23" s="15">
        <f t="shared" si="4"/>
        <v>0</v>
      </c>
      <c r="Z23" s="15"/>
      <c r="AA23" s="15">
        <f t="shared" si="13"/>
        <v>0</v>
      </c>
      <c r="AB23" s="15">
        <f t="shared" si="13"/>
        <v>0</v>
      </c>
      <c r="AC23" s="15">
        <f t="shared" si="13"/>
        <v>0</v>
      </c>
      <c r="AD23" s="15">
        <f t="shared" si="13"/>
        <v>0</v>
      </c>
      <c r="AE23" s="15">
        <f t="shared" si="13"/>
        <v>0</v>
      </c>
      <c r="AF23" s="15">
        <f t="shared" si="13"/>
        <v>0</v>
      </c>
      <c r="AG23" s="15">
        <f t="shared" si="13"/>
        <v>0</v>
      </c>
      <c r="AH23" s="15">
        <f t="shared" si="13"/>
        <v>0</v>
      </c>
      <c r="AI23" s="15">
        <f t="shared" si="13"/>
        <v>0</v>
      </c>
      <c r="AJ23" s="15">
        <f t="shared" si="13"/>
        <v>0</v>
      </c>
      <c r="AK23" s="15">
        <f t="shared" si="13"/>
        <v>0</v>
      </c>
      <c r="AL23" s="15">
        <f t="shared" si="13"/>
        <v>0</v>
      </c>
      <c r="AM23" s="15">
        <f t="shared" si="13"/>
        <v>0</v>
      </c>
      <c r="AN23" s="15">
        <f t="shared" si="13"/>
        <v>0</v>
      </c>
      <c r="AO23" s="15">
        <f t="shared" si="13"/>
        <v>0</v>
      </c>
      <c r="AP23" s="15">
        <f t="shared" si="13"/>
        <v>0</v>
      </c>
      <c r="AQ23" s="5"/>
      <c r="AT23" s="52" t="str">
        <f t="shared" si="9"/>
        <v/>
      </c>
      <c r="AU23" s="36" t="str">
        <f t="shared" si="6"/>
        <v/>
      </c>
      <c r="AV23" s="36"/>
      <c r="AW23" s="36" t="str">
        <f t="shared" si="10"/>
        <v/>
      </c>
      <c r="AX23" s="57" t="str">
        <f>IF(C23="","",IF($C$4="","",VLOOKUP($C$4,'Chart of Accounts'!$A:$B,2,FALSE)))</f>
        <v/>
      </c>
      <c r="AY23" s="55" t="str">
        <f>IF(C23="","",VLOOKUP(C:C,'Chart of Accounts'!$A:$B,2,FALSE))</f>
        <v/>
      </c>
      <c r="AZ23" s="36" t="str">
        <f t="shared" si="12"/>
        <v/>
      </c>
      <c r="BA23" s="54">
        <f t="shared" si="11"/>
        <v>0</v>
      </c>
      <c r="BB23" s="56">
        <f t="shared" si="7"/>
        <v>0</v>
      </c>
    </row>
    <row r="24" spans="1:54" x14ac:dyDescent="0.25">
      <c r="A24" s="1" t="s">
        <v>35</v>
      </c>
      <c r="B24" s="28"/>
      <c r="G24" s="5"/>
      <c r="H24" s="5"/>
      <c r="I24" s="30">
        <f t="shared" si="8"/>
        <v>10500</v>
      </c>
      <c r="K24" s="7">
        <f t="shared" si="0"/>
        <v>0</v>
      </c>
      <c r="M24" s="15">
        <f t="shared" si="1"/>
        <v>0</v>
      </c>
      <c r="N24" s="5"/>
      <c r="O24" s="15">
        <f t="shared" si="2"/>
        <v>0</v>
      </c>
      <c r="P24" s="15">
        <f t="shared" si="2"/>
        <v>0</v>
      </c>
      <c r="R24" s="15">
        <f t="shared" si="3"/>
        <v>0</v>
      </c>
      <c r="S24" s="15"/>
      <c r="T24" s="15">
        <f t="shared" si="3"/>
        <v>0</v>
      </c>
      <c r="U24" s="15">
        <f t="shared" si="3"/>
        <v>0</v>
      </c>
      <c r="V24" s="15">
        <f t="shared" si="3"/>
        <v>0</v>
      </c>
      <c r="W24" s="15"/>
      <c r="X24" s="15">
        <f t="shared" si="4"/>
        <v>0</v>
      </c>
      <c r="Y24" s="15">
        <f t="shared" si="4"/>
        <v>0</v>
      </c>
      <c r="Z24" s="15"/>
      <c r="AA24" s="15">
        <f t="shared" si="13"/>
        <v>0</v>
      </c>
      <c r="AB24" s="15">
        <f t="shared" si="13"/>
        <v>0</v>
      </c>
      <c r="AC24" s="15">
        <f t="shared" si="13"/>
        <v>0</v>
      </c>
      <c r="AD24" s="15">
        <f t="shared" si="13"/>
        <v>0</v>
      </c>
      <c r="AE24" s="15">
        <f t="shared" si="13"/>
        <v>0</v>
      </c>
      <c r="AF24" s="15">
        <f t="shared" si="13"/>
        <v>0</v>
      </c>
      <c r="AG24" s="15">
        <f t="shared" si="13"/>
        <v>0</v>
      </c>
      <c r="AH24" s="15">
        <f t="shared" si="13"/>
        <v>0</v>
      </c>
      <c r="AI24" s="15">
        <f t="shared" si="13"/>
        <v>0</v>
      </c>
      <c r="AJ24" s="15">
        <f t="shared" si="13"/>
        <v>0</v>
      </c>
      <c r="AK24" s="15">
        <f t="shared" si="13"/>
        <v>0</v>
      </c>
      <c r="AL24" s="15">
        <f t="shared" si="13"/>
        <v>0</v>
      </c>
      <c r="AM24" s="15">
        <f t="shared" si="13"/>
        <v>0</v>
      </c>
      <c r="AN24" s="15">
        <f t="shared" si="13"/>
        <v>0</v>
      </c>
      <c r="AO24" s="15">
        <f t="shared" si="13"/>
        <v>0</v>
      </c>
      <c r="AP24" s="15">
        <f t="shared" si="13"/>
        <v>0</v>
      </c>
      <c r="AQ24" s="5"/>
      <c r="AT24" s="52" t="str">
        <f t="shared" si="9"/>
        <v/>
      </c>
      <c r="AU24" s="36" t="str">
        <f t="shared" si="6"/>
        <v/>
      </c>
      <c r="AV24" s="36"/>
      <c r="AW24" s="36" t="str">
        <f t="shared" si="10"/>
        <v/>
      </c>
      <c r="AX24" s="57" t="str">
        <f>IF(C24="","",IF($C$4="","",VLOOKUP($C$4,'Chart of Accounts'!$A:$B,2,FALSE)))</f>
        <v/>
      </c>
      <c r="AY24" s="55" t="str">
        <f>IF(C24="","",VLOOKUP(C:C,'Chart of Accounts'!$A:$B,2,FALSE))</f>
        <v/>
      </c>
      <c r="AZ24" s="36" t="str">
        <f t="shared" si="12"/>
        <v/>
      </c>
      <c r="BA24" s="54">
        <f t="shared" si="11"/>
        <v>0</v>
      </c>
      <c r="BB24" s="56">
        <f t="shared" si="7"/>
        <v>0</v>
      </c>
    </row>
    <row r="25" spans="1:54" x14ac:dyDescent="0.25">
      <c r="A25" s="1" t="s">
        <v>36</v>
      </c>
      <c r="B25" s="28"/>
      <c r="G25" s="5"/>
      <c r="H25" s="5"/>
      <c r="I25" s="30">
        <f t="shared" si="8"/>
        <v>10500</v>
      </c>
      <c r="K25" s="7">
        <f t="shared" si="0"/>
        <v>0</v>
      </c>
      <c r="M25" s="15">
        <f t="shared" si="1"/>
        <v>0</v>
      </c>
      <c r="N25" s="5"/>
      <c r="O25" s="15">
        <f t="shared" si="2"/>
        <v>0</v>
      </c>
      <c r="P25" s="15">
        <f t="shared" si="2"/>
        <v>0</v>
      </c>
      <c r="R25" s="15">
        <f t="shared" si="3"/>
        <v>0</v>
      </c>
      <c r="S25" s="15"/>
      <c r="T25" s="15">
        <f t="shared" si="3"/>
        <v>0</v>
      </c>
      <c r="U25" s="15">
        <f t="shared" si="3"/>
        <v>0</v>
      </c>
      <c r="V25" s="15">
        <f t="shared" si="3"/>
        <v>0</v>
      </c>
      <c r="W25" s="15"/>
      <c r="X25" s="15">
        <f t="shared" si="4"/>
        <v>0</v>
      </c>
      <c r="Y25" s="15">
        <f t="shared" si="4"/>
        <v>0</v>
      </c>
      <c r="Z25" s="15"/>
      <c r="AA25" s="15">
        <f t="shared" si="13"/>
        <v>0</v>
      </c>
      <c r="AB25" s="15">
        <f t="shared" si="13"/>
        <v>0</v>
      </c>
      <c r="AC25" s="15">
        <f t="shared" si="13"/>
        <v>0</v>
      </c>
      <c r="AD25" s="15">
        <f t="shared" si="13"/>
        <v>0</v>
      </c>
      <c r="AE25" s="15">
        <f t="shared" si="13"/>
        <v>0</v>
      </c>
      <c r="AF25" s="15">
        <f t="shared" si="13"/>
        <v>0</v>
      </c>
      <c r="AG25" s="15">
        <f t="shared" si="13"/>
        <v>0</v>
      </c>
      <c r="AH25" s="15">
        <f t="shared" si="13"/>
        <v>0</v>
      </c>
      <c r="AI25" s="15">
        <f t="shared" si="13"/>
        <v>0</v>
      </c>
      <c r="AJ25" s="15">
        <f t="shared" si="13"/>
        <v>0</v>
      </c>
      <c r="AK25" s="15">
        <f t="shared" si="13"/>
        <v>0</v>
      </c>
      <c r="AL25" s="15">
        <f t="shared" si="13"/>
        <v>0</v>
      </c>
      <c r="AM25" s="15">
        <f t="shared" si="13"/>
        <v>0</v>
      </c>
      <c r="AN25" s="15">
        <f t="shared" si="13"/>
        <v>0</v>
      </c>
      <c r="AO25" s="15">
        <f t="shared" si="13"/>
        <v>0</v>
      </c>
      <c r="AP25" s="15">
        <f t="shared" si="13"/>
        <v>0</v>
      </c>
      <c r="AQ25" s="5"/>
      <c r="AT25" s="52" t="str">
        <f t="shared" si="9"/>
        <v/>
      </c>
      <c r="AU25" s="36" t="str">
        <f t="shared" si="6"/>
        <v/>
      </c>
      <c r="AV25" s="36"/>
      <c r="AW25" s="36" t="str">
        <f t="shared" si="10"/>
        <v/>
      </c>
      <c r="AX25" s="57" t="str">
        <f>IF(C25="","",IF($C$4="","",VLOOKUP($C$4,'Chart of Accounts'!$A:$B,2,FALSE)))</f>
        <v/>
      </c>
      <c r="AY25" s="55" t="str">
        <f>IF(C25="","",VLOOKUP(C:C,'Chart of Accounts'!$A:$B,2,FALSE))</f>
        <v/>
      </c>
      <c r="AZ25" s="36" t="str">
        <f t="shared" si="12"/>
        <v/>
      </c>
      <c r="BA25" s="54">
        <f t="shared" si="11"/>
        <v>0</v>
      </c>
      <c r="BB25" s="56">
        <f t="shared" si="7"/>
        <v>0</v>
      </c>
    </row>
    <row r="26" spans="1:54" x14ac:dyDescent="0.25">
      <c r="A26" s="1" t="s">
        <v>37</v>
      </c>
      <c r="B26" s="28"/>
      <c r="G26" s="5"/>
      <c r="H26" s="5"/>
      <c r="I26" s="30">
        <f t="shared" si="8"/>
        <v>10500</v>
      </c>
      <c r="K26" s="7">
        <f t="shared" si="0"/>
        <v>0</v>
      </c>
      <c r="M26" s="15">
        <f t="shared" si="1"/>
        <v>0</v>
      </c>
      <c r="N26" s="5"/>
      <c r="O26" s="15">
        <f t="shared" si="2"/>
        <v>0</v>
      </c>
      <c r="P26" s="15">
        <f t="shared" si="2"/>
        <v>0</v>
      </c>
      <c r="R26" s="15">
        <f t="shared" si="3"/>
        <v>0</v>
      </c>
      <c r="S26" s="15"/>
      <c r="T26" s="15">
        <f t="shared" si="3"/>
        <v>0</v>
      </c>
      <c r="U26" s="15">
        <f t="shared" si="3"/>
        <v>0</v>
      </c>
      <c r="V26" s="15">
        <f t="shared" si="3"/>
        <v>0</v>
      </c>
      <c r="W26" s="15"/>
      <c r="X26" s="15">
        <f t="shared" si="4"/>
        <v>0</v>
      </c>
      <c r="Y26" s="15">
        <f t="shared" si="4"/>
        <v>0</v>
      </c>
      <c r="Z26" s="15"/>
      <c r="AA26" s="15">
        <f t="shared" si="13"/>
        <v>0</v>
      </c>
      <c r="AB26" s="15">
        <f t="shared" si="13"/>
        <v>0</v>
      </c>
      <c r="AC26" s="15">
        <f t="shared" si="13"/>
        <v>0</v>
      </c>
      <c r="AD26" s="15">
        <f t="shared" si="13"/>
        <v>0</v>
      </c>
      <c r="AE26" s="15">
        <f t="shared" si="13"/>
        <v>0</v>
      </c>
      <c r="AF26" s="15">
        <f t="shared" si="13"/>
        <v>0</v>
      </c>
      <c r="AG26" s="15">
        <f t="shared" si="13"/>
        <v>0</v>
      </c>
      <c r="AH26" s="15">
        <f t="shared" si="13"/>
        <v>0</v>
      </c>
      <c r="AI26" s="15">
        <f t="shared" si="13"/>
        <v>0</v>
      </c>
      <c r="AJ26" s="15">
        <f t="shared" si="13"/>
        <v>0</v>
      </c>
      <c r="AK26" s="15">
        <f t="shared" si="13"/>
        <v>0</v>
      </c>
      <c r="AL26" s="15">
        <f t="shared" si="13"/>
        <v>0</v>
      </c>
      <c r="AM26" s="15">
        <f t="shared" si="13"/>
        <v>0</v>
      </c>
      <c r="AN26" s="15">
        <f t="shared" si="13"/>
        <v>0</v>
      </c>
      <c r="AO26" s="15">
        <f t="shared" si="13"/>
        <v>0</v>
      </c>
      <c r="AP26" s="15">
        <f t="shared" si="13"/>
        <v>0</v>
      </c>
      <c r="AQ26" s="5"/>
      <c r="AT26" s="52" t="str">
        <f t="shared" si="9"/>
        <v/>
      </c>
      <c r="AU26" s="36" t="str">
        <f t="shared" si="6"/>
        <v/>
      </c>
      <c r="AV26" s="36"/>
      <c r="AW26" s="36" t="str">
        <f t="shared" si="10"/>
        <v/>
      </c>
      <c r="AX26" s="57" t="str">
        <f>IF(C26="","",IF($C$4="","",VLOOKUP($C$4,'Chart of Accounts'!$A:$B,2,FALSE)))</f>
        <v/>
      </c>
      <c r="AY26" s="55" t="str">
        <f>IF(C26="","",VLOOKUP(C:C,'Chart of Accounts'!$A:$B,2,FALSE))</f>
        <v/>
      </c>
      <c r="AZ26" s="36" t="str">
        <f t="shared" si="12"/>
        <v/>
      </c>
      <c r="BA26" s="54">
        <f t="shared" si="11"/>
        <v>0</v>
      </c>
      <c r="BB26" s="56">
        <f t="shared" si="7"/>
        <v>0</v>
      </c>
    </row>
    <row r="27" spans="1:54" x14ac:dyDescent="0.25">
      <c r="A27" s="1" t="s">
        <v>38</v>
      </c>
      <c r="B27" s="28"/>
      <c r="G27" s="5"/>
      <c r="H27" s="5"/>
      <c r="I27" s="30">
        <f t="shared" si="8"/>
        <v>10500</v>
      </c>
      <c r="K27" s="7">
        <f t="shared" si="0"/>
        <v>0</v>
      </c>
      <c r="M27" s="15">
        <f t="shared" si="1"/>
        <v>0</v>
      </c>
      <c r="N27" s="5"/>
      <c r="O27" s="15">
        <f t="shared" si="2"/>
        <v>0</v>
      </c>
      <c r="P27" s="15">
        <f t="shared" si="2"/>
        <v>0</v>
      </c>
      <c r="R27" s="15">
        <f t="shared" si="3"/>
        <v>0</v>
      </c>
      <c r="S27" s="15"/>
      <c r="T27" s="15">
        <f t="shared" si="3"/>
        <v>0</v>
      </c>
      <c r="U27" s="15">
        <f t="shared" si="3"/>
        <v>0</v>
      </c>
      <c r="V27" s="15">
        <f t="shared" si="3"/>
        <v>0</v>
      </c>
      <c r="W27" s="15"/>
      <c r="X27" s="15">
        <f t="shared" si="4"/>
        <v>0</v>
      </c>
      <c r="Y27" s="15">
        <f t="shared" si="4"/>
        <v>0</v>
      </c>
      <c r="Z27" s="15"/>
      <c r="AA27" s="15">
        <f t="shared" si="13"/>
        <v>0</v>
      </c>
      <c r="AB27" s="15">
        <f t="shared" si="13"/>
        <v>0</v>
      </c>
      <c r="AC27" s="15">
        <f t="shared" si="13"/>
        <v>0</v>
      </c>
      <c r="AD27" s="15">
        <f t="shared" si="13"/>
        <v>0</v>
      </c>
      <c r="AE27" s="15">
        <f t="shared" si="13"/>
        <v>0</v>
      </c>
      <c r="AF27" s="15">
        <f t="shared" si="13"/>
        <v>0</v>
      </c>
      <c r="AG27" s="15">
        <f t="shared" si="13"/>
        <v>0</v>
      </c>
      <c r="AH27" s="15">
        <f t="shared" si="13"/>
        <v>0</v>
      </c>
      <c r="AI27" s="15">
        <f t="shared" si="13"/>
        <v>0</v>
      </c>
      <c r="AJ27" s="15">
        <f t="shared" si="13"/>
        <v>0</v>
      </c>
      <c r="AK27" s="15">
        <f t="shared" si="13"/>
        <v>0</v>
      </c>
      <c r="AL27" s="15">
        <f t="shared" si="13"/>
        <v>0</v>
      </c>
      <c r="AM27" s="15">
        <f t="shared" si="13"/>
        <v>0</v>
      </c>
      <c r="AN27" s="15">
        <f t="shared" si="13"/>
        <v>0</v>
      </c>
      <c r="AO27" s="15">
        <f t="shared" si="13"/>
        <v>0</v>
      </c>
      <c r="AP27" s="15">
        <f t="shared" si="13"/>
        <v>0</v>
      </c>
      <c r="AQ27" s="5"/>
      <c r="AT27" s="52" t="str">
        <f t="shared" si="9"/>
        <v/>
      </c>
      <c r="AU27" s="36" t="str">
        <f t="shared" si="6"/>
        <v/>
      </c>
      <c r="AV27" s="36"/>
      <c r="AW27" s="36" t="str">
        <f t="shared" si="10"/>
        <v/>
      </c>
      <c r="AX27" s="57" t="str">
        <f>IF(C27="","",IF($C$4="","",VLOOKUP($C$4,'Chart of Accounts'!$A:$B,2,FALSE)))</f>
        <v/>
      </c>
      <c r="AY27" s="55" t="str">
        <f>IF(C27="","",VLOOKUP(C:C,'Chart of Accounts'!$A:$B,2,FALSE))</f>
        <v/>
      </c>
      <c r="AZ27" s="36" t="str">
        <f t="shared" si="12"/>
        <v/>
      </c>
      <c r="BA27" s="54">
        <f t="shared" si="11"/>
        <v>0</v>
      </c>
      <c r="BB27" s="56">
        <f t="shared" si="7"/>
        <v>0</v>
      </c>
    </row>
    <row r="28" spans="1:54" x14ac:dyDescent="0.25">
      <c r="A28" s="1" t="s">
        <v>39</v>
      </c>
      <c r="B28" s="28"/>
      <c r="G28" s="5"/>
      <c r="H28" s="5"/>
      <c r="I28" s="30">
        <f t="shared" si="8"/>
        <v>10500</v>
      </c>
      <c r="K28" s="7">
        <f t="shared" si="0"/>
        <v>0</v>
      </c>
      <c r="M28" s="15">
        <f t="shared" si="1"/>
        <v>0</v>
      </c>
      <c r="N28" s="5"/>
      <c r="O28" s="15">
        <f t="shared" si="2"/>
        <v>0</v>
      </c>
      <c r="P28" s="15">
        <f t="shared" si="2"/>
        <v>0</v>
      </c>
      <c r="R28" s="15">
        <f t="shared" si="3"/>
        <v>0</v>
      </c>
      <c r="S28" s="15"/>
      <c r="T28" s="15">
        <f t="shared" si="3"/>
        <v>0</v>
      </c>
      <c r="U28" s="15">
        <f t="shared" si="3"/>
        <v>0</v>
      </c>
      <c r="V28" s="15">
        <f t="shared" si="3"/>
        <v>0</v>
      </c>
      <c r="W28" s="15"/>
      <c r="X28" s="15">
        <f t="shared" si="4"/>
        <v>0</v>
      </c>
      <c r="Y28" s="15">
        <f t="shared" si="4"/>
        <v>0</v>
      </c>
      <c r="Z28" s="15"/>
      <c r="AA28" s="15">
        <f t="shared" si="13"/>
        <v>0</v>
      </c>
      <c r="AB28" s="15">
        <f t="shared" si="13"/>
        <v>0</v>
      </c>
      <c r="AC28" s="15">
        <f t="shared" si="13"/>
        <v>0</v>
      </c>
      <c r="AD28" s="15">
        <f t="shared" si="13"/>
        <v>0</v>
      </c>
      <c r="AE28" s="15">
        <f t="shared" si="13"/>
        <v>0</v>
      </c>
      <c r="AF28" s="15">
        <f t="shared" si="13"/>
        <v>0</v>
      </c>
      <c r="AG28" s="15">
        <f t="shared" si="13"/>
        <v>0</v>
      </c>
      <c r="AH28" s="15">
        <f t="shared" si="13"/>
        <v>0</v>
      </c>
      <c r="AI28" s="15">
        <f t="shared" si="13"/>
        <v>0</v>
      </c>
      <c r="AJ28" s="15">
        <f t="shared" si="13"/>
        <v>0</v>
      </c>
      <c r="AK28" s="15">
        <f t="shared" si="13"/>
        <v>0</v>
      </c>
      <c r="AL28" s="15">
        <f t="shared" si="13"/>
        <v>0</v>
      </c>
      <c r="AM28" s="15">
        <f t="shared" si="13"/>
        <v>0</v>
      </c>
      <c r="AN28" s="15">
        <f t="shared" si="13"/>
        <v>0</v>
      </c>
      <c r="AO28" s="15">
        <f t="shared" si="13"/>
        <v>0</v>
      </c>
      <c r="AP28" s="15">
        <f t="shared" si="13"/>
        <v>0</v>
      </c>
      <c r="AQ28" s="5"/>
      <c r="AT28" s="52" t="str">
        <f t="shared" si="9"/>
        <v/>
      </c>
      <c r="AU28" s="36" t="str">
        <f t="shared" si="6"/>
        <v/>
      </c>
      <c r="AV28" s="36"/>
      <c r="AW28" s="36" t="str">
        <f t="shared" si="10"/>
        <v/>
      </c>
      <c r="AX28" s="57" t="str">
        <f>IF(C28="","",IF($C$4="","",VLOOKUP($C$4,'Chart of Accounts'!$A:$B,2,FALSE)))</f>
        <v/>
      </c>
      <c r="AY28" s="55" t="str">
        <f>IF(C28="","",VLOOKUP(C:C,'Chart of Accounts'!$A:$B,2,FALSE))</f>
        <v/>
      </c>
      <c r="AZ28" s="36" t="str">
        <f t="shared" si="12"/>
        <v/>
      </c>
      <c r="BA28" s="54">
        <f t="shared" si="11"/>
        <v>0</v>
      </c>
      <c r="BB28" s="56">
        <f t="shared" si="7"/>
        <v>0</v>
      </c>
    </row>
    <row r="29" spans="1:54" x14ac:dyDescent="0.25">
      <c r="A29" s="1" t="s">
        <v>40</v>
      </c>
      <c r="B29" s="28"/>
      <c r="G29" s="5"/>
      <c r="H29" s="5"/>
      <c r="I29" s="30">
        <f t="shared" si="8"/>
        <v>10500</v>
      </c>
      <c r="K29" s="7">
        <f t="shared" si="0"/>
        <v>0</v>
      </c>
      <c r="M29" s="15">
        <f t="shared" si="1"/>
        <v>0</v>
      </c>
      <c r="N29" s="5"/>
      <c r="O29" s="15">
        <f t="shared" si="2"/>
        <v>0</v>
      </c>
      <c r="P29" s="15">
        <f t="shared" si="2"/>
        <v>0</v>
      </c>
      <c r="R29" s="15">
        <f t="shared" si="3"/>
        <v>0</v>
      </c>
      <c r="S29" s="15"/>
      <c r="T29" s="15">
        <f t="shared" si="3"/>
        <v>0</v>
      </c>
      <c r="U29" s="15">
        <f t="shared" si="3"/>
        <v>0</v>
      </c>
      <c r="V29" s="15">
        <f t="shared" si="3"/>
        <v>0</v>
      </c>
      <c r="W29" s="15"/>
      <c r="X29" s="15">
        <f t="shared" si="4"/>
        <v>0</v>
      </c>
      <c r="Y29" s="15">
        <f t="shared" si="4"/>
        <v>0</v>
      </c>
      <c r="Z29" s="15"/>
      <c r="AA29" s="15">
        <f t="shared" si="13"/>
        <v>0</v>
      </c>
      <c r="AB29" s="15">
        <f t="shared" si="13"/>
        <v>0</v>
      </c>
      <c r="AC29" s="15">
        <f t="shared" si="13"/>
        <v>0</v>
      </c>
      <c r="AD29" s="15">
        <f t="shared" si="13"/>
        <v>0</v>
      </c>
      <c r="AE29" s="15">
        <f t="shared" si="13"/>
        <v>0</v>
      </c>
      <c r="AF29" s="15">
        <f t="shared" si="13"/>
        <v>0</v>
      </c>
      <c r="AG29" s="15">
        <f t="shared" si="13"/>
        <v>0</v>
      </c>
      <c r="AH29" s="15">
        <f t="shared" si="13"/>
        <v>0</v>
      </c>
      <c r="AI29" s="15">
        <f t="shared" si="13"/>
        <v>0</v>
      </c>
      <c r="AJ29" s="15">
        <f t="shared" si="13"/>
        <v>0</v>
      </c>
      <c r="AK29" s="15">
        <f t="shared" si="13"/>
        <v>0</v>
      </c>
      <c r="AL29" s="15">
        <f t="shared" si="13"/>
        <v>0</v>
      </c>
      <c r="AM29" s="15">
        <f t="shared" si="13"/>
        <v>0</v>
      </c>
      <c r="AN29" s="15">
        <f t="shared" si="13"/>
        <v>0</v>
      </c>
      <c r="AO29" s="15">
        <f t="shared" si="13"/>
        <v>0</v>
      </c>
      <c r="AP29" s="15">
        <f t="shared" si="13"/>
        <v>0</v>
      </c>
      <c r="AQ29" s="5"/>
      <c r="AT29" s="52" t="str">
        <f t="shared" si="9"/>
        <v/>
      </c>
      <c r="AU29" s="36" t="str">
        <f t="shared" si="6"/>
        <v/>
      </c>
      <c r="AV29" s="36"/>
      <c r="AW29" s="36" t="str">
        <f t="shared" si="10"/>
        <v/>
      </c>
      <c r="AX29" s="57" t="str">
        <f>IF(C29="","",IF($C$4="","",VLOOKUP($C$4,'Chart of Accounts'!$A:$B,2,FALSE)))</f>
        <v/>
      </c>
      <c r="AY29" s="55" t="str">
        <f>IF(C29="","",VLOOKUP(C:C,'Chart of Accounts'!$A:$B,2,FALSE))</f>
        <v/>
      </c>
      <c r="AZ29" s="36" t="str">
        <f t="shared" si="12"/>
        <v/>
      </c>
      <c r="BA29" s="54">
        <f t="shared" si="11"/>
        <v>0</v>
      </c>
      <c r="BB29" s="56">
        <f t="shared" si="7"/>
        <v>0</v>
      </c>
    </row>
    <row r="30" spans="1:54" x14ac:dyDescent="0.25">
      <c r="A30" s="1" t="s">
        <v>41</v>
      </c>
      <c r="B30" s="28"/>
      <c r="G30" s="5"/>
      <c r="H30" s="5"/>
      <c r="I30" s="30">
        <f t="shared" si="8"/>
        <v>10500</v>
      </c>
      <c r="K30" s="7">
        <f t="shared" si="0"/>
        <v>0</v>
      </c>
      <c r="M30" s="15">
        <f t="shared" si="1"/>
        <v>0</v>
      </c>
      <c r="N30" s="5"/>
      <c r="O30" s="15">
        <f t="shared" si="2"/>
        <v>0</v>
      </c>
      <c r="P30" s="15">
        <f t="shared" si="2"/>
        <v>0</v>
      </c>
      <c r="R30" s="15">
        <f t="shared" si="3"/>
        <v>0</v>
      </c>
      <c r="S30" s="15"/>
      <c r="T30" s="15">
        <f t="shared" si="3"/>
        <v>0</v>
      </c>
      <c r="U30" s="15">
        <f t="shared" si="3"/>
        <v>0</v>
      </c>
      <c r="V30" s="15">
        <f t="shared" si="3"/>
        <v>0</v>
      </c>
      <c r="W30" s="15"/>
      <c r="X30" s="15">
        <f t="shared" si="4"/>
        <v>0</v>
      </c>
      <c r="Y30" s="15">
        <f t="shared" si="4"/>
        <v>0</v>
      </c>
      <c r="Z30" s="15"/>
      <c r="AA30" s="15">
        <f t="shared" si="13"/>
        <v>0</v>
      </c>
      <c r="AB30" s="15">
        <f t="shared" si="13"/>
        <v>0</v>
      </c>
      <c r="AC30" s="15">
        <f t="shared" si="13"/>
        <v>0</v>
      </c>
      <c r="AD30" s="15">
        <f t="shared" si="13"/>
        <v>0</v>
      </c>
      <c r="AE30" s="15">
        <f t="shared" si="13"/>
        <v>0</v>
      </c>
      <c r="AF30" s="15">
        <f t="shared" si="13"/>
        <v>0</v>
      </c>
      <c r="AG30" s="15">
        <f t="shared" si="13"/>
        <v>0</v>
      </c>
      <c r="AH30" s="15">
        <f t="shared" si="13"/>
        <v>0</v>
      </c>
      <c r="AI30" s="15">
        <f t="shared" si="13"/>
        <v>0</v>
      </c>
      <c r="AJ30" s="15">
        <f t="shared" si="13"/>
        <v>0</v>
      </c>
      <c r="AK30" s="15">
        <f t="shared" si="13"/>
        <v>0</v>
      </c>
      <c r="AL30" s="15">
        <f t="shared" si="13"/>
        <v>0</v>
      </c>
      <c r="AM30" s="15">
        <f t="shared" si="13"/>
        <v>0</v>
      </c>
      <c r="AN30" s="15">
        <f t="shared" si="13"/>
        <v>0</v>
      </c>
      <c r="AO30" s="15">
        <f t="shared" si="13"/>
        <v>0</v>
      </c>
      <c r="AP30" s="15">
        <f t="shared" si="13"/>
        <v>0</v>
      </c>
      <c r="AQ30" s="5"/>
      <c r="AT30" s="52" t="str">
        <f t="shared" si="9"/>
        <v/>
      </c>
      <c r="AU30" s="36" t="str">
        <f t="shared" si="6"/>
        <v/>
      </c>
      <c r="AV30" s="36"/>
      <c r="AW30" s="36" t="str">
        <f t="shared" si="10"/>
        <v/>
      </c>
      <c r="AX30" s="57" t="str">
        <f>IF(C30="","",IF($C$4="","",VLOOKUP($C$4,'Chart of Accounts'!$A:$B,2,FALSE)))</f>
        <v/>
      </c>
      <c r="AY30" s="55" t="str">
        <f>IF(C30="","",VLOOKUP(C:C,'Chart of Accounts'!$A:$B,2,FALSE))</f>
        <v/>
      </c>
      <c r="AZ30" s="36" t="str">
        <f t="shared" si="12"/>
        <v/>
      </c>
      <c r="BA30" s="54">
        <f t="shared" si="11"/>
        <v>0</v>
      </c>
      <c r="BB30" s="56">
        <f t="shared" si="7"/>
        <v>0</v>
      </c>
    </row>
    <row r="31" spans="1:54" x14ac:dyDescent="0.25">
      <c r="A31" s="1" t="s">
        <v>42</v>
      </c>
      <c r="B31" s="28"/>
      <c r="G31" s="5"/>
      <c r="H31" s="5"/>
      <c r="I31" s="30">
        <f t="shared" si="8"/>
        <v>10500</v>
      </c>
      <c r="K31" s="7">
        <f t="shared" si="0"/>
        <v>0</v>
      </c>
      <c r="M31" s="15">
        <f t="shared" si="1"/>
        <v>0</v>
      </c>
      <c r="N31" s="5"/>
      <c r="O31" s="15">
        <f t="shared" si="2"/>
        <v>0</v>
      </c>
      <c r="P31" s="15">
        <f t="shared" si="2"/>
        <v>0</v>
      </c>
      <c r="R31" s="15">
        <f t="shared" si="3"/>
        <v>0</v>
      </c>
      <c r="S31" s="15"/>
      <c r="T31" s="15">
        <f t="shared" si="3"/>
        <v>0</v>
      </c>
      <c r="U31" s="15">
        <f t="shared" si="3"/>
        <v>0</v>
      </c>
      <c r="V31" s="15">
        <f t="shared" si="3"/>
        <v>0</v>
      </c>
      <c r="W31" s="15"/>
      <c r="X31" s="15">
        <f t="shared" si="4"/>
        <v>0</v>
      </c>
      <c r="Y31" s="15">
        <f t="shared" si="4"/>
        <v>0</v>
      </c>
      <c r="Z31" s="15"/>
      <c r="AA31" s="15">
        <f t="shared" si="13"/>
        <v>0</v>
      </c>
      <c r="AB31" s="15">
        <f t="shared" si="13"/>
        <v>0</v>
      </c>
      <c r="AC31" s="15">
        <f t="shared" si="13"/>
        <v>0</v>
      </c>
      <c r="AD31" s="15">
        <f t="shared" si="13"/>
        <v>0</v>
      </c>
      <c r="AE31" s="15">
        <f t="shared" si="13"/>
        <v>0</v>
      </c>
      <c r="AF31" s="15">
        <f t="shared" si="13"/>
        <v>0</v>
      </c>
      <c r="AG31" s="15">
        <f t="shared" si="13"/>
        <v>0</v>
      </c>
      <c r="AH31" s="15">
        <f t="shared" si="13"/>
        <v>0</v>
      </c>
      <c r="AI31" s="15">
        <f t="shared" si="13"/>
        <v>0</v>
      </c>
      <c r="AJ31" s="15">
        <f t="shared" si="13"/>
        <v>0</v>
      </c>
      <c r="AK31" s="15">
        <f t="shared" si="13"/>
        <v>0</v>
      </c>
      <c r="AL31" s="15">
        <f t="shared" si="13"/>
        <v>0</v>
      </c>
      <c r="AM31" s="15">
        <f t="shared" si="13"/>
        <v>0</v>
      </c>
      <c r="AN31" s="15">
        <f t="shared" si="13"/>
        <v>0</v>
      </c>
      <c r="AO31" s="15">
        <f t="shared" si="13"/>
        <v>0</v>
      </c>
      <c r="AP31" s="15">
        <f t="shared" si="13"/>
        <v>0</v>
      </c>
      <c r="AQ31" s="5"/>
      <c r="AT31" s="52" t="str">
        <f t="shared" si="9"/>
        <v/>
      </c>
      <c r="AU31" s="36" t="str">
        <f t="shared" si="6"/>
        <v/>
      </c>
      <c r="AV31" s="36"/>
      <c r="AW31" s="36" t="str">
        <f t="shared" si="10"/>
        <v/>
      </c>
      <c r="AX31" s="57" t="str">
        <f>IF(C31="","",IF($C$4="","",VLOOKUP($C$4,'Chart of Accounts'!$A:$B,2,FALSE)))</f>
        <v/>
      </c>
      <c r="AY31" s="55" t="str">
        <f>IF(C31="","",VLOOKUP(C:C,'Chart of Accounts'!$A:$B,2,FALSE))</f>
        <v/>
      </c>
      <c r="AZ31" s="36" t="str">
        <f t="shared" si="12"/>
        <v/>
      </c>
      <c r="BA31" s="54">
        <f t="shared" si="11"/>
        <v>0</v>
      </c>
      <c r="BB31" s="56">
        <f t="shared" si="7"/>
        <v>0</v>
      </c>
    </row>
    <row r="32" spans="1:54" x14ac:dyDescent="0.25">
      <c r="A32" s="1" t="s">
        <v>43</v>
      </c>
      <c r="B32" s="28"/>
      <c r="G32" s="5"/>
      <c r="H32" s="5"/>
      <c r="I32" s="30">
        <f t="shared" si="8"/>
        <v>10500</v>
      </c>
      <c r="K32" s="7">
        <f t="shared" si="0"/>
        <v>0</v>
      </c>
      <c r="M32" s="15">
        <f t="shared" si="1"/>
        <v>0</v>
      </c>
      <c r="N32" s="5"/>
      <c r="O32" s="15">
        <f t="shared" ref="O32:P51" si="14">IF($C32=O$9,$G32+$H32,0)</f>
        <v>0</v>
      </c>
      <c r="P32" s="15">
        <f t="shared" si="14"/>
        <v>0</v>
      </c>
      <c r="R32" s="15">
        <f t="shared" ref="R32:V51" si="15">IF($C32=R$9,$G32+$H32,0)</f>
        <v>0</v>
      </c>
      <c r="S32" s="15"/>
      <c r="T32" s="15">
        <f t="shared" si="15"/>
        <v>0</v>
      </c>
      <c r="U32" s="15">
        <f t="shared" si="15"/>
        <v>0</v>
      </c>
      <c r="V32" s="15">
        <f t="shared" si="15"/>
        <v>0</v>
      </c>
      <c r="W32" s="15"/>
      <c r="X32" s="15">
        <f t="shared" ref="X32:Y51" si="16">IF($C32=X$9,$G32+$H32,0)</f>
        <v>0</v>
      </c>
      <c r="Y32" s="15">
        <f t="shared" si="16"/>
        <v>0</v>
      </c>
      <c r="Z32" s="15"/>
      <c r="AA32" s="15">
        <f t="shared" ref="AA32:AP41" si="17">IF($C32=AA$9,$G32+$H32,0)</f>
        <v>0</v>
      </c>
      <c r="AB32" s="15">
        <f t="shared" si="17"/>
        <v>0</v>
      </c>
      <c r="AC32" s="15">
        <f t="shared" si="17"/>
        <v>0</v>
      </c>
      <c r="AD32" s="15">
        <f t="shared" si="17"/>
        <v>0</v>
      </c>
      <c r="AE32" s="15">
        <f t="shared" si="17"/>
        <v>0</v>
      </c>
      <c r="AF32" s="15">
        <f t="shared" si="17"/>
        <v>0</v>
      </c>
      <c r="AG32" s="15">
        <f t="shared" si="17"/>
        <v>0</v>
      </c>
      <c r="AH32" s="15">
        <f t="shared" si="17"/>
        <v>0</v>
      </c>
      <c r="AI32" s="15">
        <f t="shared" si="17"/>
        <v>0</v>
      </c>
      <c r="AJ32" s="15">
        <f t="shared" si="17"/>
        <v>0</v>
      </c>
      <c r="AK32" s="15">
        <f t="shared" si="17"/>
        <v>0</v>
      </c>
      <c r="AL32" s="15">
        <f t="shared" si="17"/>
        <v>0</v>
      </c>
      <c r="AM32" s="15">
        <f t="shared" si="17"/>
        <v>0</v>
      </c>
      <c r="AN32" s="15">
        <f t="shared" si="17"/>
        <v>0</v>
      </c>
      <c r="AO32" s="15">
        <f t="shared" si="17"/>
        <v>0</v>
      </c>
      <c r="AP32" s="15">
        <f t="shared" si="17"/>
        <v>0</v>
      </c>
      <c r="AQ32" s="5"/>
      <c r="AT32" s="52" t="str">
        <f t="shared" si="9"/>
        <v/>
      </c>
      <c r="AU32" s="36" t="str">
        <f t="shared" si="6"/>
        <v/>
      </c>
      <c r="AV32" s="36"/>
      <c r="AW32" s="36" t="str">
        <f t="shared" si="10"/>
        <v/>
      </c>
      <c r="AX32" s="57" t="str">
        <f>IF(C32="","",IF($C$4="","",VLOOKUP($C$4,'Chart of Accounts'!$A:$B,2,FALSE)))</f>
        <v/>
      </c>
      <c r="AY32" s="55" t="str">
        <f>IF(C32="","",VLOOKUP(C:C,'Chart of Accounts'!$A:$B,2,FALSE))</f>
        <v/>
      </c>
      <c r="AZ32" s="36" t="str">
        <f t="shared" si="12"/>
        <v/>
      </c>
      <c r="BA32" s="54">
        <f t="shared" si="11"/>
        <v>0</v>
      </c>
      <c r="BB32" s="56">
        <f t="shared" si="7"/>
        <v>0</v>
      </c>
    </row>
    <row r="33" spans="1:54" x14ac:dyDescent="0.25">
      <c r="A33" s="1" t="s">
        <v>44</v>
      </c>
      <c r="B33" s="28"/>
      <c r="G33" s="5"/>
      <c r="H33" s="5"/>
      <c r="I33" s="30">
        <f t="shared" si="8"/>
        <v>10500</v>
      </c>
      <c r="K33" s="7">
        <f t="shared" si="0"/>
        <v>0</v>
      </c>
      <c r="M33" s="15">
        <f t="shared" si="1"/>
        <v>0</v>
      </c>
      <c r="N33" s="5"/>
      <c r="O33" s="15">
        <f t="shared" si="14"/>
        <v>0</v>
      </c>
      <c r="P33" s="15">
        <f t="shared" si="14"/>
        <v>0</v>
      </c>
      <c r="R33" s="15">
        <f t="shared" si="15"/>
        <v>0</v>
      </c>
      <c r="S33" s="15"/>
      <c r="T33" s="15">
        <f t="shared" si="15"/>
        <v>0</v>
      </c>
      <c r="U33" s="15">
        <f t="shared" si="15"/>
        <v>0</v>
      </c>
      <c r="V33" s="15">
        <f t="shared" si="15"/>
        <v>0</v>
      </c>
      <c r="W33" s="15"/>
      <c r="X33" s="15">
        <f t="shared" si="16"/>
        <v>0</v>
      </c>
      <c r="Y33" s="15">
        <f t="shared" si="16"/>
        <v>0</v>
      </c>
      <c r="Z33" s="15"/>
      <c r="AA33" s="15">
        <f t="shared" si="17"/>
        <v>0</v>
      </c>
      <c r="AB33" s="15">
        <f t="shared" si="17"/>
        <v>0</v>
      </c>
      <c r="AC33" s="15">
        <f t="shared" si="17"/>
        <v>0</v>
      </c>
      <c r="AD33" s="15">
        <f t="shared" si="17"/>
        <v>0</v>
      </c>
      <c r="AE33" s="15">
        <f t="shared" si="17"/>
        <v>0</v>
      </c>
      <c r="AF33" s="15">
        <f t="shared" si="17"/>
        <v>0</v>
      </c>
      <c r="AG33" s="15">
        <f t="shared" si="17"/>
        <v>0</v>
      </c>
      <c r="AH33" s="15">
        <f t="shared" si="17"/>
        <v>0</v>
      </c>
      <c r="AI33" s="15">
        <f t="shared" si="17"/>
        <v>0</v>
      </c>
      <c r="AJ33" s="15">
        <f t="shared" si="17"/>
        <v>0</v>
      </c>
      <c r="AK33" s="15">
        <f t="shared" si="17"/>
        <v>0</v>
      </c>
      <c r="AL33" s="15">
        <f t="shared" si="17"/>
        <v>0</v>
      </c>
      <c r="AM33" s="15">
        <f t="shared" si="17"/>
        <v>0</v>
      </c>
      <c r="AN33" s="15">
        <f t="shared" si="17"/>
        <v>0</v>
      </c>
      <c r="AO33" s="15">
        <f t="shared" si="17"/>
        <v>0</v>
      </c>
      <c r="AP33" s="15">
        <f t="shared" si="17"/>
        <v>0</v>
      </c>
      <c r="AQ33" s="5"/>
      <c r="AT33" s="52" t="str">
        <f t="shared" si="9"/>
        <v/>
      </c>
      <c r="AU33" s="36" t="str">
        <f t="shared" si="6"/>
        <v/>
      </c>
      <c r="AV33" s="36"/>
      <c r="AW33" s="36" t="str">
        <f t="shared" si="10"/>
        <v/>
      </c>
      <c r="AX33" s="57" t="str">
        <f>IF(C33="","",IF($C$4="","",VLOOKUP($C$4,'Chart of Accounts'!$A:$B,2,FALSE)))</f>
        <v/>
      </c>
      <c r="AY33" s="55" t="str">
        <f>IF(C33="","",VLOOKUP(C:C,'Chart of Accounts'!$A:$B,2,FALSE))</f>
        <v/>
      </c>
      <c r="AZ33" s="36" t="str">
        <f t="shared" si="12"/>
        <v/>
      </c>
      <c r="BA33" s="54">
        <f t="shared" si="11"/>
        <v>0</v>
      </c>
      <c r="BB33" s="56">
        <f t="shared" si="7"/>
        <v>0</v>
      </c>
    </row>
    <row r="34" spans="1:54" x14ac:dyDescent="0.25">
      <c r="A34" s="1" t="s">
        <v>45</v>
      </c>
      <c r="B34" s="28"/>
      <c r="G34" s="5"/>
      <c r="H34" s="5"/>
      <c r="I34" s="30">
        <f t="shared" si="8"/>
        <v>10500</v>
      </c>
      <c r="K34" s="7">
        <f t="shared" si="0"/>
        <v>0</v>
      </c>
      <c r="M34" s="15">
        <f t="shared" si="1"/>
        <v>0</v>
      </c>
      <c r="N34" s="5"/>
      <c r="O34" s="15">
        <f t="shared" si="14"/>
        <v>0</v>
      </c>
      <c r="P34" s="15">
        <f t="shared" si="14"/>
        <v>0</v>
      </c>
      <c r="R34" s="15">
        <f t="shared" si="15"/>
        <v>0</v>
      </c>
      <c r="S34" s="15"/>
      <c r="T34" s="15">
        <f t="shared" si="15"/>
        <v>0</v>
      </c>
      <c r="U34" s="15">
        <f t="shared" si="15"/>
        <v>0</v>
      </c>
      <c r="V34" s="15">
        <f t="shared" si="15"/>
        <v>0</v>
      </c>
      <c r="W34" s="15"/>
      <c r="X34" s="15">
        <f t="shared" si="16"/>
        <v>0</v>
      </c>
      <c r="Y34" s="15">
        <f t="shared" si="16"/>
        <v>0</v>
      </c>
      <c r="Z34" s="15"/>
      <c r="AA34" s="15">
        <f t="shared" si="17"/>
        <v>0</v>
      </c>
      <c r="AB34" s="15">
        <f t="shared" si="17"/>
        <v>0</v>
      </c>
      <c r="AC34" s="15">
        <f t="shared" si="17"/>
        <v>0</v>
      </c>
      <c r="AD34" s="15">
        <f t="shared" si="17"/>
        <v>0</v>
      </c>
      <c r="AE34" s="15">
        <f t="shared" si="17"/>
        <v>0</v>
      </c>
      <c r="AF34" s="15">
        <f t="shared" si="17"/>
        <v>0</v>
      </c>
      <c r="AG34" s="15">
        <f t="shared" si="17"/>
        <v>0</v>
      </c>
      <c r="AH34" s="15">
        <f t="shared" si="17"/>
        <v>0</v>
      </c>
      <c r="AI34" s="15">
        <f t="shared" si="17"/>
        <v>0</v>
      </c>
      <c r="AJ34" s="15">
        <f t="shared" si="17"/>
        <v>0</v>
      </c>
      <c r="AK34" s="15">
        <f t="shared" si="17"/>
        <v>0</v>
      </c>
      <c r="AL34" s="15">
        <f t="shared" si="17"/>
        <v>0</v>
      </c>
      <c r="AM34" s="15">
        <f t="shared" si="17"/>
        <v>0</v>
      </c>
      <c r="AN34" s="15">
        <f t="shared" si="17"/>
        <v>0</v>
      </c>
      <c r="AO34" s="15">
        <f t="shared" si="17"/>
        <v>0</v>
      </c>
      <c r="AP34" s="15">
        <f t="shared" si="17"/>
        <v>0</v>
      </c>
      <c r="AQ34" s="5"/>
      <c r="AT34" s="52" t="str">
        <f t="shared" si="9"/>
        <v/>
      </c>
      <c r="AU34" s="36" t="str">
        <f t="shared" si="6"/>
        <v/>
      </c>
      <c r="AV34" s="36"/>
      <c r="AW34" s="36" t="str">
        <f t="shared" si="10"/>
        <v/>
      </c>
      <c r="AX34" s="57" t="str">
        <f>IF(C34="","",IF($C$4="","",VLOOKUP($C$4,'Chart of Accounts'!$A:$B,2,FALSE)))</f>
        <v/>
      </c>
      <c r="AY34" s="55" t="str">
        <f>IF(C34="","",VLOOKUP(C:C,'Chart of Accounts'!$A:$B,2,FALSE))</f>
        <v/>
      </c>
      <c r="AZ34" s="36" t="str">
        <f t="shared" si="12"/>
        <v/>
      </c>
      <c r="BA34" s="54">
        <f t="shared" si="11"/>
        <v>0</v>
      </c>
      <c r="BB34" s="56">
        <f t="shared" si="7"/>
        <v>0</v>
      </c>
    </row>
    <row r="35" spans="1:54" x14ac:dyDescent="0.25">
      <c r="A35" s="1" t="s">
        <v>46</v>
      </c>
      <c r="B35" s="28"/>
      <c r="G35" s="5"/>
      <c r="H35" s="5"/>
      <c r="I35" s="30">
        <f t="shared" si="8"/>
        <v>10500</v>
      </c>
      <c r="K35" s="7">
        <f t="shared" si="0"/>
        <v>0</v>
      </c>
      <c r="M35" s="15">
        <f t="shared" si="1"/>
        <v>0</v>
      </c>
      <c r="N35" s="5"/>
      <c r="O35" s="15">
        <f t="shared" si="14"/>
        <v>0</v>
      </c>
      <c r="P35" s="15">
        <f t="shared" si="14"/>
        <v>0</v>
      </c>
      <c r="R35" s="15">
        <f t="shared" si="15"/>
        <v>0</v>
      </c>
      <c r="S35" s="15"/>
      <c r="T35" s="15">
        <f t="shared" si="15"/>
        <v>0</v>
      </c>
      <c r="U35" s="15">
        <f t="shared" si="15"/>
        <v>0</v>
      </c>
      <c r="V35" s="15">
        <f t="shared" si="15"/>
        <v>0</v>
      </c>
      <c r="W35" s="15"/>
      <c r="X35" s="15">
        <f t="shared" si="16"/>
        <v>0</v>
      </c>
      <c r="Y35" s="15">
        <f t="shared" si="16"/>
        <v>0</v>
      </c>
      <c r="Z35" s="15"/>
      <c r="AA35" s="15">
        <f t="shared" si="17"/>
        <v>0</v>
      </c>
      <c r="AB35" s="15">
        <f t="shared" si="17"/>
        <v>0</v>
      </c>
      <c r="AC35" s="15">
        <f t="shared" si="17"/>
        <v>0</v>
      </c>
      <c r="AD35" s="15">
        <f t="shared" si="17"/>
        <v>0</v>
      </c>
      <c r="AE35" s="15">
        <f t="shared" si="17"/>
        <v>0</v>
      </c>
      <c r="AF35" s="15">
        <f t="shared" si="17"/>
        <v>0</v>
      </c>
      <c r="AG35" s="15">
        <f t="shared" si="17"/>
        <v>0</v>
      </c>
      <c r="AH35" s="15">
        <f t="shared" si="17"/>
        <v>0</v>
      </c>
      <c r="AI35" s="15">
        <f t="shared" si="17"/>
        <v>0</v>
      </c>
      <c r="AJ35" s="15">
        <f t="shared" si="17"/>
        <v>0</v>
      </c>
      <c r="AK35" s="15">
        <f t="shared" si="17"/>
        <v>0</v>
      </c>
      <c r="AL35" s="15">
        <f t="shared" si="17"/>
        <v>0</v>
      </c>
      <c r="AM35" s="15">
        <f t="shared" si="17"/>
        <v>0</v>
      </c>
      <c r="AN35" s="15">
        <f t="shared" si="17"/>
        <v>0</v>
      </c>
      <c r="AO35" s="15">
        <f t="shared" si="17"/>
        <v>0</v>
      </c>
      <c r="AP35" s="15">
        <f t="shared" si="17"/>
        <v>0</v>
      </c>
      <c r="AQ35" s="5"/>
      <c r="AT35" s="52" t="str">
        <f t="shared" si="9"/>
        <v/>
      </c>
      <c r="AU35" s="36" t="str">
        <f t="shared" si="6"/>
        <v/>
      </c>
      <c r="AV35" s="36"/>
      <c r="AW35" s="36" t="str">
        <f t="shared" si="10"/>
        <v/>
      </c>
      <c r="AX35" s="57" t="str">
        <f>IF(C35="","",IF($C$4="","",VLOOKUP($C$4,'Chart of Accounts'!$A:$B,2,FALSE)))</f>
        <v/>
      </c>
      <c r="AY35" s="55" t="str">
        <f>IF(C35="","",VLOOKUP(C:C,'Chart of Accounts'!$A:$B,2,FALSE))</f>
        <v/>
      </c>
      <c r="AZ35" s="36" t="str">
        <f t="shared" si="12"/>
        <v/>
      </c>
      <c r="BA35" s="54">
        <f t="shared" si="11"/>
        <v>0</v>
      </c>
      <c r="BB35" s="56">
        <f t="shared" si="7"/>
        <v>0</v>
      </c>
    </row>
    <row r="36" spans="1:54" x14ac:dyDescent="0.25">
      <c r="A36" s="1" t="s">
        <v>47</v>
      </c>
      <c r="B36" s="28"/>
      <c r="G36" s="5"/>
      <c r="H36" s="5"/>
      <c r="I36" s="30">
        <f t="shared" si="8"/>
        <v>10500</v>
      </c>
      <c r="K36" s="7">
        <f t="shared" si="0"/>
        <v>0</v>
      </c>
      <c r="M36" s="15">
        <f t="shared" si="1"/>
        <v>0</v>
      </c>
      <c r="N36" s="5"/>
      <c r="O36" s="15">
        <f t="shared" si="14"/>
        <v>0</v>
      </c>
      <c r="P36" s="15">
        <f t="shared" si="14"/>
        <v>0</v>
      </c>
      <c r="R36" s="15">
        <f t="shared" si="15"/>
        <v>0</v>
      </c>
      <c r="S36" s="15"/>
      <c r="T36" s="15">
        <f t="shared" si="15"/>
        <v>0</v>
      </c>
      <c r="U36" s="15">
        <f t="shared" si="15"/>
        <v>0</v>
      </c>
      <c r="V36" s="15">
        <f t="shared" si="15"/>
        <v>0</v>
      </c>
      <c r="W36" s="15"/>
      <c r="X36" s="15">
        <f t="shared" si="16"/>
        <v>0</v>
      </c>
      <c r="Y36" s="15">
        <f t="shared" si="16"/>
        <v>0</v>
      </c>
      <c r="Z36" s="15"/>
      <c r="AA36" s="15">
        <f t="shared" si="17"/>
        <v>0</v>
      </c>
      <c r="AB36" s="15">
        <f t="shared" si="17"/>
        <v>0</v>
      </c>
      <c r="AC36" s="15">
        <f t="shared" si="17"/>
        <v>0</v>
      </c>
      <c r="AD36" s="15">
        <f t="shared" si="17"/>
        <v>0</v>
      </c>
      <c r="AE36" s="15">
        <f t="shared" si="17"/>
        <v>0</v>
      </c>
      <c r="AF36" s="15">
        <f t="shared" si="17"/>
        <v>0</v>
      </c>
      <c r="AG36" s="15">
        <f t="shared" si="17"/>
        <v>0</v>
      </c>
      <c r="AH36" s="15">
        <f t="shared" si="17"/>
        <v>0</v>
      </c>
      <c r="AI36" s="15">
        <f t="shared" si="17"/>
        <v>0</v>
      </c>
      <c r="AJ36" s="15">
        <f t="shared" si="17"/>
        <v>0</v>
      </c>
      <c r="AK36" s="15">
        <f t="shared" si="17"/>
        <v>0</v>
      </c>
      <c r="AL36" s="15">
        <f t="shared" si="17"/>
        <v>0</v>
      </c>
      <c r="AM36" s="15">
        <f t="shared" si="17"/>
        <v>0</v>
      </c>
      <c r="AN36" s="15">
        <f t="shared" si="17"/>
        <v>0</v>
      </c>
      <c r="AO36" s="15">
        <f t="shared" si="17"/>
        <v>0</v>
      </c>
      <c r="AP36" s="15">
        <f t="shared" si="17"/>
        <v>0</v>
      </c>
      <c r="AQ36" s="5"/>
      <c r="AT36" s="52" t="str">
        <f t="shared" si="9"/>
        <v/>
      </c>
      <c r="AU36" s="36" t="str">
        <f t="shared" si="6"/>
        <v/>
      </c>
      <c r="AV36" s="36"/>
      <c r="AW36" s="36" t="str">
        <f t="shared" si="10"/>
        <v/>
      </c>
      <c r="AX36" s="57" t="str">
        <f>IF(C36="","",IF($C$4="","",VLOOKUP($C$4,'Chart of Accounts'!$A:$B,2,FALSE)))</f>
        <v/>
      </c>
      <c r="AY36" s="55" t="str">
        <f>IF(C36="","",VLOOKUP(C:C,'Chart of Accounts'!$A:$B,2,FALSE))</f>
        <v/>
      </c>
      <c r="AZ36" s="36" t="str">
        <f t="shared" si="12"/>
        <v/>
      </c>
      <c r="BA36" s="54">
        <f t="shared" si="11"/>
        <v>0</v>
      </c>
      <c r="BB36" s="56">
        <f t="shared" si="7"/>
        <v>0</v>
      </c>
    </row>
    <row r="37" spans="1:54" x14ac:dyDescent="0.25">
      <c r="A37" s="1" t="s">
        <v>48</v>
      </c>
      <c r="B37" s="28"/>
      <c r="G37" s="5"/>
      <c r="H37" s="5"/>
      <c r="I37" s="30">
        <f t="shared" si="8"/>
        <v>10500</v>
      </c>
      <c r="K37" s="7">
        <f t="shared" si="0"/>
        <v>0</v>
      </c>
      <c r="M37" s="15">
        <f t="shared" si="1"/>
        <v>0</v>
      </c>
      <c r="N37" s="5"/>
      <c r="O37" s="15">
        <f t="shared" si="14"/>
        <v>0</v>
      </c>
      <c r="P37" s="15">
        <f t="shared" si="14"/>
        <v>0</v>
      </c>
      <c r="R37" s="15">
        <f t="shared" si="15"/>
        <v>0</v>
      </c>
      <c r="S37" s="15"/>
      <c r="T37" s="15">
        <f t="shared" si="15"/>
        <v>0</v>
      </c>
      <c r="U37" s="15">
        <f t="shared" si="15"/>
        <v>0</v>
      </c>
      <c r="V37" s="15">
        <f t="shared" si="15"/>
        <v>0</v>
      </c>
      <c r="W37" s="15"/>
      <c r="X37" s="15">
        <f t="shared" si="16"/>
        <v>0</v>
      </c>
      <c r="Y37" s="15">
        <f t="shared" si="16"/>
        <v>0</v>
      </c>
      <c r="Z37" s="15"/>
      <c r="AA37" s="15">
        <f t="shared" si="17"/>
        <v>0</v>
      </c>
      <c r="AB37" s="15">
        <f t="shared" si="17"/>
        <v>0</v>
      </c>
      <c r="AC37" s="15">
        <f t="shared" si="17"/>
        <v>0</v>
      </c>
      <c r="AD37" s="15">
        <f t="shared" si="17"/>
        <v>0</v>
      </c>
      <c r="AE37" s="15">
        <f t="shared" si="17"/>
        <v>0</v>
      </c>
      <c r="AF37" s="15">
        <f t="shared" si="17"/>
        <v>0</v>
      </c>
      <c r="AG37" s="15">
        <f t="shared" si="17"/>
        <v>0</v>
      </c>
      <c r="AH37" s="15">
        <f t="shared" si="17"/>
        <v>0</v>
      </c>
      <c r="AI37" s="15">
        <f t="shared" si="17"/>
        <v>0</v>
      </c>
      <c r="AJ37" s="15">
        <f t="shared" si="17"/>
        <v>0</v>
      </c>
      <c r="AK37" s="15">
        <f t="shared" si="17"/>
        <v>0</v>
      </c>
      <c r="AL37" s="15">
        <f t="shared" si="17"/>
        <v>0</v>
      </c>
      <c r="AM37" s="15">
        <f t="shared" si="17"/>
        <v>0</v>
      </c>
      <c r="AN37" s="15">
        <f t="shared" si="17"/>
        <v>0</v>
      </c>
      <c r="AO37" s="15">
        <f t="shared" si="17"/>
        <v>0</v>
      </c>
      <c r="AP37" s="15">
        <f t="shared" si="17"/>
        <v>0</v>
      </c>
      <c r="AQ37" s="5"/>
      <c r="AT37" s="52" t="str">
        <f t="shared" si="9"/>
        <v/>
      </c>
      <c r="AU37" s="36" t="str">
        <f t="shared" si="6"/>
        <v/>
      </c>
      <c r="AV37" s="36"/>
      <c r="AW37" s="36" t="str">
        <f t="shared" si="10"/>
        <v/>
      </c>
      <c r="AX37" s="57" t="str">
        <f>IF(C37="","",IF($C$4="","",VLOOKUP($C$4,'Chart of Accounts'!$A:$B,2,FALSE)))</f>
        <v/>
      </c>
      <c r="AY37" s="55" t="str">
        <f>IF(C37="","",VLOOKUP(C:C,'Chart of Accounts'!$A:$B,2,FALSE))</f>
        <v/>
      </c>
      <c r="AZ37" s="36" t="str">
        <f t="shared" si="12"/>
        <v/>
      </c>
      <c r="BA37" s="54">
        <f t="shared" si="11"/>
        <v>0</v>
      </c>
      <c r="BB37" s="56">
        <f t="shared" si="7"/>
        <v>0</v>
      </c>
    </row>
    <row r="38" spans="1:54" x14ac:dyDescent="0.25">
      <c r="A38" s="1" t="s">
        <v>49</v>
      </c>
      <c r="B38" s="28"/>
      <c r="G38" s="5"/>
      <c r="H38" s="5"/>
      <c r="I38" s="30">
        <f t="shared" si="8"/>
        <v>10500</v>
      </c>
      <c r="K38" s="7">
        <f t="shared" si="0"/>
        <v>0</v>
      </c>
      <c r="M38" s="15">
        <f t="shared" si="1"/>
        <v>0</v>
      </c>
      <c r="N38" s="5"/>
      <c r="O38" s="15">
        <f t="shared" si="14"/>
        <v>0</v>
      </c>
      <c r="P38" s="15">
        <f t="shared" si="14"/>
        <v>0</v>
      </c>
      <c r="R38" s="15">
        <f t="shared" si="15"/>
        <v>0</v>
      </c>
      <c r="S38" s="15"/>
      <c r="T38" s="15">
        <f t="shared" si="15"/>
        <v>0</v>
      </c>
      <c r="U38" s="15">
        <f t="shared" si="15"/>
        <v>0</v>
      </c>
      <c r="V38" s="15">
        <f t="shared" si="15"/>
        <v>0</v>
      </c>
      <c r="W38" s="15"/>
      <c r="X38" s="15">
        <f t="shared" si="16"/>
        <v>0</v>
      </c>
      <c r="Y38" s="15">
        <f t="shared" si="16"/>
        <v>0</v>
      </c>
      <c r="Z38" s="15"/>
      <c r="AA38" s="15">
        <f t="shared" si="17"/>
        <v>0</v>
      </c>
      <c r="AB38" s="15">
        <f t="shared" si="17"/>
        <v>0</v>
      </c>
      <c r="AC38" s="15">
        <f t="shared" si="17"/>
        <v>0</v>
      </c>
      <c r="AD38" s="15">
        <f t="shared" si="17"/>
        <v>0</v>
      </c>
      <c r="AE38" s="15">
        <f t="shared" si="17"/>
        <v>0</v>
      </c>
      <c r="AF38" s="15">
        <f t="shared" si="17"/>
        <v>0</v>
      </c>
      <c r="AG38" s="15">
        <f t="shared" si="17"/>
        <v>0</v>
      </c>
      <c r="AH38" s="15">
        <f t="shared" si="17"/>
        <v>0</v>
      </c>
      <c r="AI38" s="15">
        <f t="shared" si="17"/>
        <v>0</v>
      </c>
      <c r="AJ38" s="15">
        <f t="shared" si="17"/>
        <v>0</v>
      </c>
      <c r="AK38" s="15">
        <f t="shared" si="17"/>
        <v>0</v>
      </c>
      <c r="AL38" s="15">
        <f t="shared" si="17"/>
        <v>0</v>
      </c>
      <c r="AM38" s="15">
        <f t="shared" si="17"/>
        <v>0</v>
      </c>
      <c r="AN38" s="15">
        <f t="shared" si="17"/>
        <v>0</v>
      </c>
      <c r="AO38" s="15">
        <f t="shared" si="17"/>
        <v>0</v>
      </c>
      <c r="AP38" s="15">
        <f t="shared" si="17"/>
        <v>0</v>
      </c>
      <c r="AQ38" s="5"/>
      <c r="AT38" s="52" t="str">
        <f t="shared" si="9"/>
        <v/>
      </c>
      <c r="AU38" s="36" t="str">
        <f t="shared" si="6"/>
        <v/>
      </c>
      <c r="AV38" s="36"/>
      <c r="AW38" s="36" t="str">
        <f t="shared" si="10"/>
        <v/>
      </c>
      <c r="AX38" s="57" t="str">
        <f>IF(C38="","",IF($C$4="","",VLOOKUP($C$4,'Chart of Accounts'!$A:$B,2,FALSE)))</f>
        <v/>
      </c>
      <c r="AY38" s="55" t="str">
        <f>IF(C38="","",VLOOKUP(C:C,'Chart of Accounts'!$A:$B,2,FALSE))</f>
        <v/>
      </c>
      <c r="AZ38" s="36" t="str">
        <f t="shared" si="12"/>
        <v/>
      </c>
      <c r="BA38" s="54">
        <f t="shared" si="11"/>
        <v>0</v>
      </c>
      <c r="BB38" s="56">
        <f t="shared" si="7"/>
        <v>0</v>
      </c>
    </row>
    <row r="39" spans="1:54" x14ac:dyDescent="0.25">
      <c r="A39" s="1" t="s">
        <v>50</v>
      </c>
      <c r="B39" s="28"/>
      <c r="G39" s="5"/>
      <c r="H39" s="5"/>
      <c r="I39" s="30">
        <f t="shared" si="8"/>
        <v>10500</v>
      </c>
      <c r="K39" s="7">
        <f t="shared" si="0"/>
        <v>0</v>
      </c>
      <c r="M39" s="15">
        <f t="shared" si="1"/>
        <v>0</v>
      </c>
      <c r="N39" s="5"/>
      <c r="O39" s="15">
        <f t="shared" si="14"/>
        <v>0</v>
      </c>
      <c r="P39" s="15">
        <f t="shared" si="14"/>
        <v>0</v>
      </c>
      <c r="R39" s="15">
        <f t="shared" si="15"/>
        <v>0</v>
      </c>
      <c r="S39" s="15"/>
      <c r="T39" s="15">
        <f t="shared" si="15"/>
        <v>0</v>
      </c>
      <c r="U39" s="15">
        <f t="shared" si="15"/>
        <v>0</v>
      </c>
      <c r="V39" s="15">
        <f t="shared" si="15"/>
        <v>0</v>
      </c>
      <c r="W39" s="15"/>
      <c r="X39" s="15">
        <f t="shared" si="16"/>
        <v>0</v>
      </c>
      <c r="Y39" s="15">
        <f t="shared" si="16"/>
        <v>0</v>
      </c>
      <c r="Z39" s="15"/>
      <c r="AA39" s="15">
        <f t="shared" si="17"/>
        <v>0</v>
      </c>
      <c r="AB39" s="15">
        <f t="shared" si="17"/>
        <v>0</v>
      </c>
      <c r="AC39" s="15">
        <f t="shared" si="17"/>
        <v>0</v>
      </c>
      <c r="AD39" s="15">
        <f t="shared" si="17"/>
        <v>0</v>
      </c>
      <c r="AE39" s="15">
        <f t="shared" si="17"/>
        <v>0</v>
      </c>
      <c r="AF39" s="15">
        <f t="shared" si="17"/>
        <v>0</v>
      </c>
      <c r="AG39" s="15">
        <f t="shared" si="17"/>
        <v>0</v>
      </c>
      <c r="AH39" s="15">
        <f t="shared" si="17"/>
        <v>0</v>
      </c>
      <c r="AI39" s="15">
        <f t="shared" si="17"/>
        <v>0</v>
      </c>
      <c r="AJ39" s="15">
        <f t="shared" si="17"/>
        <v>0</v>
      </c>
      <c r="AK39" s="15">
        <f t="shared" si="17"/>
        <v>0</v>
      </c>
      <c r="AL39" s="15">
        <f t="shared" si="17"/>
        <v>0</v>
      </c>
      <c r="AM39" s="15">
        <f t="shared" si="17"/>
        <v>0</v>
      </c>
      <c r="AN39" s="15">
        <f t="shared" si="17"/>
        <v>0</v>
      </c>
      <c r="AO39" s="15">
        <f t="shared" si="17"/>
        <v>0</v>
      </c>
      <c r="AP39" s="15">
        <f t="shared" si="17"/>
        <v>0</v>
      </c>
      <c r="AQ39" s="5"/>
      <c r="AT39" s="52" t="str">
        <f t="shared" si="9"/>
        <v/>
      </c>
      <c r="AU39" s="36" t="str">
        <f t="shared" si="6"/>
        <v/>
      </c>
      <c r="AV39" s="36"/>
      <c r="AW39" s="36" t="str">
        <f t="shared" si="10"/>
        <v/>
      </c>
      <c r="AX39" s="57" t="str">
        <f>IF(C39="","",IF($C$4="","",VLOOKUP($C$4,'Chart of Accounts'!$A:$B,2,FALSE)))</f>
        <v/>
      </c>
      <c r="AY39" s="55" t="str">
        <f>IF(C39="","",VLOOKUP(C:C,'Chart of Accounts'!$A:$B,2,FALSE))</f>
        <v/>
      </c>
      <c r="AZ39" s="36" t="str">
        <f t="shared" si="12"/>
        <v/>
      </c>
      <c r="BA39" s="54">
        <f t="shared" si="11"/>
        <v>0</v>
      </c>
      <c r="BB39" s="56">
        <f t="shared" si="7"/>
        <v>0</v>
      </c>
    </row>
    <row r="40" spans="1:54" x14ac:dyDescent="0.25">
      <c r="A40" s="1" t="s">
        <v>51</v>
      </c>
      <c r="B40" s="28"/>
      <c r="G40" s="5"/>
      <c r="H40" s="5"/>
      <c r="I40" s="30">
        <f t="shared" si="8"/>
        <v>10500</v>
      </c>
      <c r="K40" s="7">
        <f t="shared" si="0"/>
        <v>0</v>
      </c>
      <c r="M40" s="15">
        <f t="shared" si="1"/>
        <v>0</v>
      </c>
      <c r="N40" s="5"/>
      <c r="O40" s="15">
        <f t="shared" si="14"/>
        <v>0</v>
      </c>
      <c r="P40" s="15">
        <f t="shared" si="14"/>
        <v>0</v>
      </c>
      <c r="R40" s="15">
        <f t="shared" si="15"/>
        <v>0</v>
      </c>
      <c r="S40" s="15"/>
      <c r="T40" s="15">
        <f t="shared" si="15"/>
        <v>0</v>
      </c>
      <c r="U40" s="15">
        <f t="shared" si="15"/>
        <v>0</v>
      </c>
      <c r="V40" s="15">
        <f t="shared" si="15"/>
        <v>0</v>
      </c>
      <c r="W40" s="15"/>
      <c r="X40" s="15">
        <f t="shared" si="16"/>
        <v>0</v>
      </c>
      <c r="Y40" s="15">
        <f t="shared" si="16"/>
        <v>0</v>
      </c>
      <c r="Z40" s="15"/>
      <c r="AA40" s="15">
        <f t="shared" si="17"/>
        <v>0</v>
      </c>
      <c r="AB40" s="15">
        <f t="shared" si="17"/>
        <v>0</v>
      </c>
      <c r="AC40" s="15">
        <f t="shared" si="17"/>
        <v>0</v>
      </c>
      <c r="AD40" s="15">
        <f t="shared" si="17"/>
        <v>0</v>
      </c>
      <c r="AE40" s="15">
        <f t="shared" si="17"/>
        <v>0</v>
      </c>
      <c r="AF40" s="15">
        <f t="shared" si="17"/>
        <v>0</v>
      </c>
      <c r="AG40" s="15">
        <f t="shared" si="17"/>
        <v>0</v>
      </c>
      <c r="AH40" s="15">
        <f t="shared" si="17"/>
        <v>0</v>
      </c>
      <c r="AI40" s="15">
        <f t="shared" si="17"/>
        <v>0</v>
      </c>
      <c r="AJ40" s="15">
        <f t="shared" si="17"/>
        <v>0</v>
      </c>
      <c r="AK40" s="15">
        <f t="shared" si="17"/>
        <v>0</v>
      </c>
      <c r="AL40" s="15">
        <f t="shared" si="17"/>
        <v>0</v>
      </c>
      <c r="AM40" s="15">
        <f t="shared" si="17"/>
        <v>0</v>
      </c>
      <c r="AN40" s="15">
        <f t="shared" si="17"/>
        <v>0</v>
      </c>
      <c r="AO40" s="15">
        <f t="shared" si="17"/>
        <v>0</v>
      </c>
      <c r="AP40" s="15">
        <f t="shared" si="17"/>
        <v>0</v>
      </c>
      <c r="AQ40" s="5"/>
      <c r="AT40" s="52" t="str">
        <f t="shared" si="9"/>
        <v/>
      </c>
      <c r="AU40" s="36" t="str">
        <f t="shared" si="6"/>
        <v/>
      </c>
      <c r="AV40" s="36"/>
      <c r="AW40" s="36" t="str">
        <f t="shared" si="10"/>
        <v/>
      </c>
      <c r="AX40" s="57" t="str">
        <f>IF(C40="","",IF($C$4="","",VLOOKUP($C$4,'Chart of Accounts'!$A:$B,2,FALSE)))</f>
        <v/>
      </c>
      <c r="AY40" s="55" t="str">
        <f>IF(C40="","",VLOOKUP(C:C,'Chart of Accounts'!$A:$B,2,FALSE))</f>
        <v/>
      </c>
      <c r="AZ40" s="36" t="str">
        <f t="shared" si="12"/>
        <v/>
      </c>
      <c r="BA40" s="54">
        <f t="shared" si="11"/>
        <v>0</v>
      </c>
      <c r="BB40" s="56">
        <f t="shared" si="7"/>
        <v>0</v>
      </c>
    </row>
    <row r="41" spans="1:54" x14ac:dyDescent="0.25">
      <c r="A41" s="1" t="s">
        <v>52</v>
      </c>
      <c r="B41" s="28"/>
      <c r="G41" s="5"/>
      <c r="H41" s="5"/>
      <c r="I41" s="30">
        <f t="shared" si="8"/>
        <v>10500</v>
      </c>
      <c r="K41" s="7">
        <f t="shared" si="0"/>
        <v>0</v>
      </c>
      <c r="M41" s="15">
        <f t="shared" si="1"/>
        <v>0</v>
      </c>
      <c r="N41" s="5"/>
      <c r="O41" s="15">
        <f t="shared" si="14"/>
        <v>0</v>
      </c>
      <c r="P41" s="15">
        <f t="shared" si="14"/>
        <v>0</v>
      </c>
      <c r="R41" s="15">
        <f t="shared" si="15"/>
        <v>0</v>
      </c>
      <c r="S41" s="15"/>
      <c r="T41" s="15">
        <f t="shared" si="15"/>
        <v>0</v>
      </c>
      <c r="U41" s="15">
        <f t="shared" si="15"/>
        <v>0</v>
      </c>
      <c r="V41" s="15">
        <f t="shared" si="15"/>
        <v>0</v>
      </c>
      <c r="W41" s="15"/>
      <c r="X41" s="15">
        <f t="shared" si="16"/>
        <v>0</v>
      </c>
      <c r="Y41" s="15">
        <f t="shared" si="16"/>
        <v>0</v>
      </c>
      <c r="Z41" s="15"/>
      <c r="AA41" s="15">
        <f t="shared" si="17"/>
        <v>0</v>
      </c>
      <c r="AB41" s="15">
        <f t="shared" si="17"/>
        <v>0</v>
      </c>
      <c r="AC41" s="15">
        <f t="shared" si="17"/>
        <v>0</v>
      </c>
      <c r="AD41" s="15">
        <f t="shared" si="17"/>
        <v>0</v>
      </c>
      <c r="AE41" s="15">
        <f t="shared" si="17"/>
        <v>0</v>
      </c>
      <c r="AF41" s="15">
        <f t="shared" si="17"/>
        <v>0</v>
      </c>
      <c r="AG41" s="15">
        <f t="shared" si="17"/>
        <v>0</v>
      </c>
      <c r="AH41" s="15">
        <f t="shared" si="17"/>
        <v>0</v>
      </c>
      <c r="AI41" s="15">
        <f t="shared" si="17"/>
        <v>0</v>
      </c>
      <c r="AJ41" s="15">
        <f t="shared" si="17"/>
        <v>0</v>
      </c>
      <c r="AK41" s="15">
        <f t="shared" si="17"/>
        <v>0</v>
      </c>
      <c r="AL41" s="15">
        <f t="shared" si="17"/>
        <v>0</v>
      </c>
      <c r="AM41" s="15">
        <f t="shared" si="17"/>
        <v>0</v>
      </c>
      <c r="AN41" s="15">
        <f t="shared" si="17"/>
        <v>0</v>
      </c>
      <c r="AO41" s="15">
        <f t="shared" si="17"/>
        <v>0</v>
      </c>
      <c r="AP41" s="15">
        <f t="shared" si="17"/>
        <v>0</v>
      </c>
      <c r="AQ41" s="5"/>
      <c r="AT41" s="52" t="str">
        <f t="shared" si="9"/>
        <v/>
      </c>
      <c r="AU41" s="36" t="str">
        <f t="shared" si="6"/>
        <v/>
      </c>
      <c r="AV41" s="36"/>
      <c r="AW41" s="36" t="str">
        <f t="shared" si="10"/>
        <v/>
      </c>
      <c r="AX41" s="57" t="str">
        <f>IF(C41="","",IF($C$4="","",VLOOKUP($C$4,'Chart of Accounts'!$A:$B,2,FALSE)))</f>
        <v/>
      </c>
      <c r="AY41" s="55" t="str">
        <f>IF(C41="","",VLOOKUP(C:C,'Chart of Accounts'!$A:$B,2,FALSE))</f>
        <v/>
      </c>
      <c r="AZ41" s="36" t="str">
        <f t="shared" si="12"/>
        <v/>
      </c>
      <c r="BA41" s="54">
        <f t="shared" si="11"/>
        <v>0</v>
      </c>
      <c r="BB41" s="56">
        <f t="shared" si="7"/>
        <v>0</v>
      </c>
    </row>
    <row r="42" spans="1:54" x14ac:dyDescent="0.25">
      <c r="A42" s="1" t="s">
        <v>53</v>
      </c>
      <c r="B42" s="28"/>
      <c r="G42" s="5"/>
      <c r="H42" s="5"/>
      <c r="I42" s="30">
        <f t="shared" si="8"/>
        <v>10500</v>
      </c>
      <c r="K42" s="7">
        <f t="shared" si="0"/>
        <v>0</v>
      </c>
      <c r="M42" s="15">
        <f t="shared" si="1"/>
        <v>0</v>
      </c>
      <c r="N42" s="5"/>
      <c r="O42" s="15">
        <f t="shared" si="14"/>
        <v>0</v>
      </c>
      <c r="P42" s="15">
        <f t="shared" si="14"/>
        <v>0</v>
      </c>
      <c r="R42" s="15">
        <f t="shared" si="15"/>
        <v>0</v>
      </c>
      <c r="S42" s="15"/>
      <c r="T42" s="15">
        <f t="shared" si="15"/>
        <v>0</v>
      </c>
      <c r="U42" s="15">
        <f t="shared" si="15"/>
        <v>0</v>
      </c>
      <c r="V42" s="15">
        <f t="shared" si="15"/>
        <v>0</v>
      </c>
      <c r="W42" s="15"/>
      <c r="X42" s="15">
        <f t="shared" si="16"/>
        <v>0</v>
      </c>
      <c r="Y42" s="15">
        <f t="shared" si="16"/>
        <v>0</v>
      </c>
      <c r="Z42" s="15"/>
      <c r="AA42" s="15">
        <f t="shared" ref="AA42:AP51" si="18">IF($C42=AA$9,$G42+$H42,0)</f>
        <v>0</v>
      </c>
      <c r="AB42" s="15">
        <f t="shared" si="18"/>
        <v>0</v>
      </c>
      <c r="AC42" s="15">
        <f t="shared" si="18"/>
        <v>0</v>
      </c>
      <c r="AD42" s="15">
        <f t="shared" si="18"/>
        <v>0</v>
      </c>
      <c r="AE42" s="15">
        <f t="shared" si="18"/>
        <v>0</v>
      </c>
      <c r="AF42" s="15">
        <f t="shared" si="18"/>
        <v>0</v>
      </c>
      <c r="AG42" s="15">
        <f t="shared" si="18"/>
        <v>0</v>
      </c>
      <c r="AH42" s="15">
        <f t="shared" si="18"/>
        <v>0</v>
      </c>
      <c r="AI42" s="15">
        <f t="shared" si="18"/>
        <v>0</v>
      </c>
      <c r="AJ42" s="15">
        <f t="shared" si="18"/>
        <v>0</v>
      </c>
      <c r="AK42" s="15">
        <f t="shared" si="18"/>
        <v>0</v>
      </c>
      <c r="AL42" s="15">
        <f t="shared" si="18"/>
        <v>0</v>
      </c>
      <c r="AM42" s="15">
        <f t="shared" si="18"/>
        <v>0</v>
      </c>
      <c r="AN42" s="15">
        <f t="shared" si="18"/>
        <v>0</v>
      </c>
      <c r="AO42" s="15">
        <f t="shared" si="18"/>
        <v>0</v>
      </c>
      <c r="AP42" s="15">
        <f t="shared" si="18"/>
        <v>0</v>
      </c>
      <c r="AQ42" s="5"/>
      <c r="AT42" s="52" t="str">
        <f t="shared" si="9"/>
        <v/>
      </c>
      <c r="AU42" s="36" t="str">
        <f t="shared" si="6"/>
        <v/>
      </c>
      <c r="AV42" s="36"/>
      <c r="AW42" s="36" t="str">
        <f t="shared" si="10"/>
        <v/>
      </c>
      <c r="AX42" s="57" t="str">
        <f>IF(C42="","",IF($C$4="","",VLOOKUP($C$4,'Chart of Accounts'!$A:$B,2,FALSE)))</f>
        <v/>
      </c>
      <c r="AY42" s="55" t="str">
        <f>IF(C42="","",VLOOKUP(C:C,'Chart of Accounts'!$A:$B,2,FALSE))</f>
        <v/>
      </c>
      <c r="AZ42" s="36" t="str">
        <f t="shared" si="12"/>
        <v/>
      </c>
      <c r="BA42" s="54">
        <f t="shared" si="11"/>
        <v>0</v>
      </c>
      <c r="BB42" s="56">
        <f t="shared" si="7"/>
        <v>0</v>
      </c>
    </row>
    <row r="43" spans="1:54" x14ac:dyDescent="0.25">
      <c r="A43" s="1" t="s">
        <v>54</v>
      </c>
      <c r="B43" s="28"/>
      <c r="G43" s="5"/>
      <c r="H43" s="5"/>
      <c r="I43" s="30">
        <f t="shared" si="8"/>
        <v>10500</v>
      </c>
      <c r="K43" s="7">
        <f t="shared" si="0"/>
        <v>0</v>
      </c>
      <c r="M43" s="15">
        <f t="shared" si="1"/>
        <v>0</v>
      </c>
      <c r="N43" s="5"/>
      <c r="O43" s="15">
        <f t="shared" si="14"/>
        <v>0</v>
      </c>
      <c r="P43" s="15">
        <f t="shared" si="14"/>
        <v>0</v>
      </c>
      <c r="R43" s="15">
        <f t="shared" si="15"/>
        <v>0</v>
      </c>
      <c r="S43" s="15"/>
      <c r="T43" s="15">
        <f t="shared" si="15"/>
        <v>0</v>
      </c>
      <c r="U43" s="15">
        <f t="shared" si="15"/>
        <v>0</v>
      </c>
      <c r="V43" s="15">
        <f t="shared" si="15"/>
        <v>0</v>
      </c>
      <c r="W43" s="15"/>
      <c r="X43" s="15">
        <f t="shared" si="16"/>
        <v>0</v>
      </c>
      <c r="Y43" s="15">
        <f t="shared" si="16"/>
        <v>0</v>
      </c>
      <c r="Z43" s="15"/>
      <c r="AA43" s="15">
        <f t="shared" si="18"/>
        <v>0</v>
      </c>
      <c r="AB43" s="15">
        <f t="shared" si="18"/>
        <v>0</v>
      </c>
      <c r="AC43" s="15">
        <f t="shared" si="18"/>
        <v>0</v>
      </c>
      <c r="AD43" s="15">
        <f t="shared" si="18"/>
        <v>0</v>
      </c>
      <c r="AE43" s="15">
        <f t="shared" si="18"/>
        <v>0</v>
      </c>
      <c r="AF43" s="15">
        <f t="shared" si="18"/>
        <v>0</v>
      </c>
      <c r="AG43" s="15">
        <f t="shared" si="18"/>
        <v>0</v>
      </c>
      <c r="AH43" s="15">
        <f t="shared" si="18"/>
        <v>0</v>
      </c>
      <c r="AI43" s="15">
        <f t="shared" si="18"/>
        <v>0</v>
      </c>
      <c r="AJ43" s="15">
        <f t="shared" si="18"/>
        <v>0</v>
      </c>
      <c r="AK43" s="15">
        <f t="shared" si="18"/>
        <v>0</v>
      </c>
      <c r="AL43" s="15">
        <f t="shared" si="18"/>
        <v>0</v>
      </c>
      <c r="AM43" s="15">
        <f t="shared" si="18"/>
        <v>0</v>
      </c>
      <c r="AN43" s="15">
        <f t="shared" si="18"/>
        <v>0</v>
      </c>
      <c r="AO43" s="15">
        <f t="shared" si="18"/>
        <v>0</v>
      </c>
      <c r="AP43" s="15">
        <f t="shared" si="18"/>
        <v>0</v>
      </c>
      <c r="AQ43" s="5"/>
      <c r="AT43" s="52" t="str">
        <f t="shared" si="9"/>
        <v/>
      </c>
      <c r="AU43" s="36" t="str">
        <f t="shared" si="6"/>
        <v/>
      </c>
      <c r="AV43" s="36"/>
      <c r="AW43" s="36" t="str">
        <f t="shared" si="10"/>
        <v/>
      </c>
      <c r="AX43" s="57" t="str">
        <f>IF(C43="","",IF($C$4="","",VLOOKUP($C$4,'Chart of Accounts'!$A:$B,2,FALSE)))</f>
        <v/>
      </c>
      <c r="AY43" s="55" t="str">
        <f>IF(C43="","",VLOOKUP(C:C,'Chart of Accounts'!$A:$B,2,FALSE))</f>
        <v/>
      </c>
      <c r="AZ43" s="36" t="str">
        <f t="shared" si="12"/>
        <v/>
      </c>
      <c r="BA43" s="54">
        <f t="shared" si="11"/>
        <v>0</v>
      </c>
      <c r="BB43" s="56">
        <f t="shared" si="7"/>
        <v>0</v>
      </c>
    </row>
    <row r="44" spans="1:54" x14ac:dyDescent="0.25">
      <c r="A44" s="1" t="s">
        <v>55</v>
      </c>
      <c r="B44" s="28"/>
      <c r="G44" s="5"/>
      <c r="H44" s="5"/>
      <c r="I44" s="30">
        <f t="shared" si="8"/>
        <v>10500</v>
      </c>
      <c r="K44" s="7">
        <f t="shared" ref="K44:K75" si="19">SUM(G44:H44)-SUM(L44:AQ44)</f>
        <v>0</v>
      </c>
      <c r="M44" s="15">
        <f t="shared" ref="M44:M75" si="20">IF($C44=M$9,$G44+$H44,0)</f>
        <v>0</v>
      </c>
      <c r="N44" s="5"/>
      <c r="O44" s="15">
        <f t="shared" si="14"/>
        <v>0</v>
      </c>
      <c r="P44" s="15">
        <f t="shared" si="14"/>
        <v>0</v>
      </c>
      <c r="R44" s="15">
        <f t="shared" si="15"/>
        <v>0</v>
      </c>
      <c r="S44" s="15"/>
      <c r="T44" s="15">
        <f t="shared" si="15"/>
        <v>0</v>
      </c>
      <c r="U44" s="15">
        <f t="shared" si="15"/>
        <v>0</v>
      </c>
      <c r="V44" s="15">
        <f t="shared" si="15"/>
        <v>0</v>
      </c>
      <c r="W44" s="15"/>
      <c r="X44" s="15">
        <f t="shared" si="16"/>
        <v>0</v>
      </c>
      <c r="Y44" s="15">
        <f t="shared" si="16"/>
        <v>0</v>
      </c>
      <c r="Z44" s="15"/>
      <c r="AA44" s="15">
        <f t="shared" si="18"/>
        <v>0</v>
      </c>
      <c r="AB44" s="15">
        <f t="shared" si="18"/>
        <v>0</v>
      </c>
      <c r="AC44" s="15">
        <f t="shared" si="18"/>
        <v>0</v>
      </c>
      <c r="AD44" s="15">
        <f t="shared" si="18"/>
        <v>0</v>
      </c>
      <c r="AE44" s="15">
        <f t="shared" si="18"/>
        <v>0</v>
      </c>
      <c r="AF44" s="15">
        <f t="shared" si="18"/>
        <v>0</v>
      </c>
      <c r="AG44" s="15">
        <f t="shared" si="18"/>
        <v>0</v>
      </c>
      <c r="AH44" s="15">
        <f t="shared" si="18"/>
        <v>0</v>
      </c>
      <c r="AI44" s="15">
        <f t="shared" si="18"/>
        <v>0</v>
      </c>
      <c r="AJ44" s="15">
        <f t="shared" si="18"/>
        <v>0</v>
      </c>
      <c r="AK44" s="15">
        <f t="shared" si="18"/>
        <v>0</v>
      </c>
      <c r="AL44" s="15">
        <f t="shared" si="18"/>
        <v>0</v>
      </c>
      <c r="AM44" s="15">
        <f t="shared" si="18"/>
        <v>0</v>
      </c>
      <c r="AN44" s="15">
        <f t="shared" si="18"/>
        <v>0</v>
      </c>
      <c r="AO44" s="15">
        <f t="shared" si="18"/>
        <v>0</v>
      </c>
      <c r="AP44" s="15">
        <f t="shared" si="18"/>
        <v>0</v>
      </c>
      <c r="AQ44" s="5"/>
      <c r="AT44" s="52" t="str">
        <f t="shared" si="9"/>
        <v/>
      </c>
      <c r="AU44" s="36" t="str">
        <f t="shared" ref="AU44:AU75" si="21">IF(C44="","",$C$5&amp;"-"&amp;A44)</f>
        <v/>
      </c>
      <c r="AV44" s="36"/>
      <c r="AW44" s="36" t="str">
        <f t="shared" si="10"/>
        <v/>
      </c>
      <c r="AX44" s="57" t="str">
        <f>IF(C44="","",IF($C$4="","",VLOOKUP($C$4,'Chart of Accounts'!$A:$B,2,FALSE)))</f>
        <v/>
      </c>
      <c r="AY44" s="55" t="str">
        <f>IF(C44="","",VLOOKUP(C:C,'Chart of Accounts'!$A:$B,2,FALSE))</f>
        <v/>
      </c>
      <c r="AZ44" s="36" t="str">
        <f t="shared" si="12"/>
        <v/>
      </c>
      <c r="BA44" s="54">
        <f t="shared" ref="BA44:BA75" si="22">SUM(G44:H44)</f>
        <v>0</v>
      </c>
      <c r="BB44" s="56">
        <f t="shared" ref="BB44:BB75" si="23">-SUM(G44:H44)</f>
        <v>0</v>
      </c>
    </row>
    <row r="45" spans="1:54" x14ac:dyDescent="0.25">
      <c r="A45" s="1" t="s">
        <v>56</v>
      </c>
      <c r="B45" s="28"/>
      <c r="G45" s="5"/>
      <c r="H45" s="5"/>
      <c r="I45" s="30">
        <f t="shared" si="8"/>
        <v>10500</v>
      </c>
      <c r="K45" s="7">
        <f t="shared" si="19"/>
        <v>0</v>
      </c>
      <c r="M45" s="15">
        <f t="shared" si="20"/>
        <v>0</v>
      </c>
      <c r="N45" s="5"/>
      <c r="O45" s="15">
        <f t="shared" si="14"/>
        <v>0</v>
      </c>
      <c r="P45" s="15">
        <f t="shared" si="14"/>
        <v>0</v>
      </c>
      <c r="R45" s="15">
        <f t="shared" si="15"/>
        <v>0</v>
      </c>
      <c r="S45" s="15"/>
      <c r="T45" s="15">
        <f t="shared" si="15"/>
        <v>0</v>
      </c>
      <c r="U45" s="15">
        <f t="shared" si="15"/>
        <v>0</v>
      </c>
      <c r="V45" s="15">
        <f t="shared" si="15"/>
        <v>0</v>
      </c>
      <c r="W45" s="15"/>
      <c r="X45" s="15">
        <f t="shared" si="16"/>
        <v>0</v>
      </c>
      <c r="Y45" s="15">
        <f t="shared" si="16"/>
        <v>0</v>
      </c>
      <c r="Z45" s="15"/>
      <c r="AA45" s="15">
        <f t="shared" si="18"/>
        <v>0</v>
      </c>
      <c r="AB45" s="15">
        <f t="shared" si="18"/>
        <v>0</v>
      </c>
      <c r="AC45" s="15">
        <f t="shared" si="18"/>
        <v>0</v>
      </c>
      <c r="AD45" s="15">
        <f t="shared" si="18"/>
        <v>0</v>
      </c>
      <c r="AE45" s="15">
        <f t="shared" si="18"/>
        <v>0</v>
      </c>
      <c r="AF45" s="15">
        <f t="shared" si="18"/>
        <v>0</v>
      </c>
      <c r="AG45" s="15">
        <f t="shared" si="18"/>
        <v>0</v>
      </c>
      <c r="AH45" s="15">
        <f t="shared" si="18"/>
        <v>0</v>
      </c>
      <c r="AI45" s="15">
        <f t="shared" si="18"/>
        <v>0</v>
      </c>
      <c r="AJ45" s="15">
        <f t="shared" si="18"/>
        <v>0</v>
      </c>
      <c r="AK45" s="15">
        <f t="shared" si="18"/>
        <v>0</v>
      </c>
      <c r="AL45" s="15">
        <f t="shared" si="18"/>
        <v>0</v>
      </c>
      <c r="AM45" s="15">
        <f t="shared" si="18"/>
        <v>0</v>
      </c>
      <c r="AN45" s="15">
        <f t="shared" si="18"/>
        <v>0</v>
      </c>
      <c r="AO45" s="15">
        <f t="shared" si="18"/>
        <v>0</v>
      </c>
      <c r="AP45" s="15">
        <f t="shared" si="18"/>
        <v>0</v>
      </c>
      <c r="AQ45" s="5"/>
      <c r="AT45" s="52" t="str">
        <f t="shared" si="9"/>
        <v/>
      </c>
      <c r="AU45" s="36" t="str">
        <f t="shared" si="21"/>
        <v/>
      </c>
      <c r="AV45" s="36"/>
      <c r="AW45" s="36" t="str">
        <f t="shared" si="10"/>
        <v/>
      </c>
      <c r="AX45" s="57" t="str">
        <f>IF(C45="","",IF($C$4="","",VLOOKUP($C$4,'Chart of Accounts'!$A:$B,2,FALSE)))</f>
        <v/>
      </c>
      <c r="AY45" s="55" t="str">
        <f>IF(C45="","",VLOOKUP(C:C,'Chart of Accounts'!$A:$B,2,FALSE))</f>
        <v/>
      </c>
      <c r="AZ45" s="36" t="str">
        <f t="shared" si="12"/>
        <v/>
      </c>
      <c r="BA45" s="54">
        <f t="shared" si="22"/>
        <v>0</v>
      </c>
      <c r="BB45" s="56">
        <f t="shared" si="23"/>
        <v>0</v>
      </c>
    </row>
    <row r="46" spans="1:54" x14ac:dyDescent="0.25">
      <c r="A46" s="1" t="s">
        <v>57</v>
      </c>
      <c r="B46" s="28"/>
      <c r="G46" s="5"/>
      <c r="H46" s="5"/>
      <c r="I46" s="30">
        <f t="shared" si="8"/>
        <v>10500</v>
      </c>
      <c r="K46" s="7">
        <f t="shared" si="19"/>
        <v>0</v>
      </c>
      <c r="M46" s="15">
        <f t="shared" si="20"/>
        <v>0</v>
      </c>
      <c r="N46" s="5"/>
      <c r="O46" s="15">
        <f t="shared" si="14"/>
        <v>0</v>
      </c>
      <c r="P46" s="15">
        <f t="shared" si="14"/>
        <v>0</v>
      </c>
      <c r="R46" s="15">
        <f t="shared" si="15"/>
        <v>0</v>
      </c>
      <c r="S46" s="15"/>
      <c r="T46" s="15">
        <f t="shared" si="15"/>
        <v>0</v>
      </c>
      <c r="U46" s="15">
        <f t="shared" si="15"/>
        <v>0</v>
      </c>
      <c r="V46" s="15">
        <f t="shared" si="15"/>
        <v>0</v>
      </c>
      <c r="W46" s="15"/>
      <c r="X46" s="15">
        <f t="shared" si="16"/>
        <v>0</v>
      </c>
      <c r="Y46" s="15">
        <f t="shared" si="16"/>
        <v>0</v>
      </c>
      <c r="Z46" s="15"/>
      <c r="AA46" s="15">
        <f t="shared" si="18"/>
        <v>0</v>
      </c>
      <c r="AB46" s="15">
        <f t="shared" si="18"/>
        <v>0</v>
      </c>
      <c r="AC46" s="15">
        <f t="shared" si="18"/>
        <v>0</v>
      </c>
      <c r="AD46" s="15">
        <f t="shared" si="18"/>
        <v>0</v>
      </c>
      <c r="AE46" s="15">
        <f t="shared" si="18"/>
        <v>0</v>
      </c>
      <c r="AF46" s="15">
        <f t="shared" si="18"/>
        <v>0</v>
      </c>
      <c r="AG46" s="15">
        <f t="shared" si="18"/>
        <v>0</v>
      </c>
      <c r="AH46" s="15">
        <f t="shared" si="18"/>
        <v>0</v>
      </c>
      <c r="AI46" s="15">
        <f t="shared" si="18"/>
        <v>0</v>
      </c>
      <c r="AJ46" s="15">
        <f t="shared" si="18"/>
        <v>0</v>
      </c>
      <c r="AK46" s="15">
        <f t="shared" si="18"/>
        <v>0</v>
      </c>
      <c r="AL46" s="15">
        <f t="shared" si="18"/>
        <v>0</v>
      </c>
      <c r="AM46" s="15">
        <f t="shared" si="18"/>
        <v>0</v>
      </c>
      <c r="AN46" s="15">
        <f t="shared" si="18"/>
        <v>0</v>
      </c>
      <c r="AO46" s="15">
        <f t="shared" si="18"/>
        <v>0</v>
      </c>
      <c r="AP46" s="15">
        <f t="shared" si="18"/>
        <v>0</v>
      </c>
      <c r="AQ46" s="5"/>
      <c r="AT46" s="52" t="str">
        <f t="shared" si="9"/>
        <v/>
      </c>
      <c r="AU46" s="36" t="str">
        <f t="shared" si="21"/>
        <v/>
      </c>
      <c r="AV46" s="36"/>
      <c r="AW46" s="36" t="str">
        <f t="shared" si="10"/>
        <v/>
      </c>
      <c r="AX46" s="57" t="str">
        <f>IF(C46="","",IF($C$4="","",VLOOKUP($C$4,'Chart of Accounts'!$A:$B,2,FALSE)))</f>
        <v/>
      </c>
      <c r="AY46" s="55" t="str">
        <f>IF(C46="","",VLOOKUP(C:C,'Chart of Accounts'!$A:$B,2,FALSE))</f>
        <v/>
      </c>
      <c r="AZ46" s="36" t="str">
        <f t="shared" si="12"/>
        <v/>
      </c>
      <c r="BA46" s="54">
        <f t="shared" si="22"/>
        <v>0</v>
      </c>
      <c r="BB46" s="56">
        <f t="shared" si="23"/>
        <v>0</v>
      </c>
    </row>
    <row r="47" spans="1:54" x14ac:dyDescent="0.25">
      <c r="A47" s="1" t="s">
        <v>58</v>
      </c>
      <c r="B47" s="28"/>
      <c r="G47" s="5"/>
      <c r="H47" s="5"/>
      <c r="I47" s="30">
        <f t="shared" si="8"/>
        <v>10500</v>
      </c>
      <c r="K47" s="7">
        <f t="shared" si="19"/>
        <v>0</v>
      </c>
      <c r="M47" s="15">
        <f t="shared" si="20"/>
        <v>0</v>
      </c>
      <c r="N47" s="5"/>
      <c r="O47" s="15">
        <f t="shared" si="14"/>
        <v>0</v>
      </c>
      <c r="P47" s="15">
        <f t="shared" si="14"/>
        <v>0</v>
      </c>
      <c r="R47" s="15">
        <f t="shared" si="15"/>
        <v>0</v>
      </c>
      <c r="S47" s="15"/>
      <c r="T47" s="15">
        <f t="shared" si="15"/>
        <v>0</v>
      </c>
      <c r="U47" s="15">
        <f t="shared" si="15"/>
        <v>0</v>
      </c>
      <c r="V47" s="15">
        <f t="shared" si="15"/>
        <v>0</v>
      </c>
      <c r="W47" s="15"/>
      <c r="X47" s="15">
        <f t="shared" si="16"/>
        <v>0</v>
      </c>
      <c r="Y47" s="15">
        <f t="shared" si="16"/>
        <v>0</v>
      </c>
      <c r="Z47" s="15"/>
      <c r="AA47" s="15">
        <f t="shared" si="18"/>
        <v>0</v>
      </c>
      <c r="AB47" s="15">
        <f t="shared" si="18"/>
        <v>0</v>
      </c>
      <c r="AC47" s="15">
        <f t="shared" si="18"/>
        <v>0</v>
      </c>
      <c r="AD47" s="15">
        <f t="shared" si="18"/>
        <v>0</v>
      </c>
      <c r="AE47" s="15">
        <f t="shared" si="18"/>
        <v>0</v>
      </c>
      <c r="AF47" s="15">
        <f t="shared" si="18"/>
        <v>0</v>
      </c>
      <c r="AG47" s="15">
        <f t="shared" si="18"/>
        <v>0</v>
      </c>
      <c r="AH47" s="15">
        <f t="shared" si="18"/>
        <v>0</v>
      </c>
      <c r="AI47" s="15">
        <f t="shared" si="18"/>
        <v>0</v>
      </c>
      <c r="AJ47" s="15">
        <f t="shared" si="18"/>
        <v>0</v>
      </c>
      <c r="AK47" s="15">
        <f t="shared" si="18"/>
        <v>0</v>
      </c>
      <c r="AL47" s="15">
        <f t="shared" si="18"/>
        <v>0</v>
      </c>
      <c r="AM47" s="15">
        <f t="shared" si="18"/>
        <v>0</v>
      </c>
      <c r="AN47" s="15">
        <f t="shared" si="18"/>
        <v>0</v>
      </c>
      <c r="AO47" s="15">
        <f t="shared" si="18"/>
        <v>0</v>
      </c>
      <c r="AP47" s="15">
        <f t="shared" si="18"/>
        <v>0</v>
      </c>
      <c r="AQ47" s="5"/>
      <c r="AT47" s="52" t="str">
        <f t="shared" si="9"/>
        <v/>
      </c>
      <c r="AU47" s="36" t="str">
        <f t="shared" si="21"/>
        <v/>
      </c>
      <c r="AV47" s="36"/>
      <c r="AW47" s="36" t="str">
        <f t="shared" si="10"/>
        <v/>
      </c>
      <c r="AX47" s="57" t="str">
        <f>IF(C47="","",IF($C$4="","",VLOOKUP($C$4,'Chart of Accounts'!$A:$B,2,FALSE)))</f>
        <v/>
      </c>
      <c r="AY47" s="55" t="str">
        <f>IF(C47="","",VLOOKUP(C:C,'Chart of Accounts'!$A:$B,2,FALSE))</f>
        <v/>
      </c>
      <c r="AZ47" s="36" t="str">
        <f t="shared" si="12"/>
        <v/>
      </c>
      <c r="BA47" s="54">
        <f t="shared" si="22"/>
        <v>0</v>
      </c>
      <c r="BB47" s="56">
        <f t="shared" si="23"/>
        <v>0</v>
      </c>
    </row>
    <row r="48" spans="1:54" x14ac:dyDescent="0.25">
      <c r="A48" s="1" t="s">
        <v>59</v>
      </c>
      <c r="B48" s="28"/>
      <c r="G48" s="5"/>
      <c r="H48" s="5"/>
      <c r="I48" s="30">
        <f t="shared" si="8"/>
        <v>10500</v>
      </c>
      <c r="K48" s="7">
        <f t="shared" si="19"/>
        <v>0</v>
      </c>
      <c r="M48" s="15">
        <f t="shared" si="20"/>
        <v>0</v>
      </c>
      <c r="N48" s="5"/>
      <c r="O48" s="15">
        <f t="shared" si="14"/>
        <v>0</v>
      </c>
      <c r="P48" s="15">
        <f t="shared" si="14"/>
        <v>0</v>
      </c>
      <c r="R48" s="15">
        <f t="shared" si="15"/>
        <v>0</v>
      </c>
      <c r="S48" s="15"/>
      <c r="T48" s="15">
        <f t="shared" si="15"/>
        <v>0</v>
      </c>
      <c r="U48" s="15">
        <f t="shared" si="15"/>
        <v>0</v>
      </c>
      <c r="V48" s="15">
        <f t="shared" si="15"/>
        <v>0</v>
      </c>
      <c r="W48" s="15"/>
      <c r="X48" s="15">
        <f t="shared" si="16"/>
        <v>0</v>
      </c>
      <c r="Y48" s="15">
        <f t="shared" si="16"/>
        <v>0</v>
      </c>
      <c r="Z48" s="15"/>
      <c r="AA48" s="15">
        <f t="shared" si="18"/>
        <v>0</v>
      </c>
      <c r="AB48" s="15">
        <f t="shared" si="18"/>
        <v>0</v>
      </c>
      <c r="AC48" s="15">
        <f t="shared" si="18"/>
        <v>0</v>
      </c>
      <c r="AD48" s="15">
        <f t="shared" si="18"/>
        <v>0</v>
      </c>
      <c r="AE48" s="15">
        <f t="shared" si="18"/>
        <v>0</v>
      </c>
      <c r="AF48" s="15">
        <f t="shared" si="18"/>
        <v>0</v>
      </c>
      <c r="AG48" s="15">
        <f t="shared" si="18"/>
        <v>0</v>
      </c>
      <c r="AH48" s="15">
        <f t="shared" si="18"/>
        <v>0</v>
      </c>
      <c r="AI48" s="15">
        <f t="shared" si="18"/>
        <v>0</v>
      </c>
      <c r="AJ48" s="15">
        <f t="shared" si="18"/>
        <v>0</v>
      </c>
      <c r="AK48" s="15">
        <f t="shared" si="18"/>
        <v>0</v>
      </c>
      <c r="AL48" s="15">
        <f t="shared" si="18"/>
        <v>0</v>
      </c>
      <c r="AM48" s="15">
        <f t="shared" si="18"/>
        <v>0</v>
      </c>
      <c r="AN48" s="15">
        <f t="shared" si="18"/>
        <v>0</v>
      </c>
      <c r="AO48" s="15">
        <f t="shared" si="18"/>
        <v>0</v>
      </c>
      <c r="AP48" s="15">
        <f t="shared" si="18"/>
        <v>0</v>
      </c>
      <c r="AQ48" s="5"/>
      <c r="AT48" s="52" t="str">
        <f t="shared" si="9"/>
        <v/>
      </c>
      <c r="AU48" s="36" t="str">
        <f t="shared" si="21"/>
        <v/>
      </c>
      <c r="AV48" s="36"/>
      <c r="AW48" s="36" t="str">
        <f t="shared" si="10"/>
        <v/>
      </c>
      <c r="AX48" s="57" t="str">
        <f>IF(C48="","",IF($C$4="","",VLOOKUP($C$4,'Chart of Accounts'!$A:$B,2,FALSE)))</f>
        <v/>
      </c>
      <c r="AY48" s="55" t="str">
        <f>IF(C48="","",VLOOKUP(C:C,'Chart of Accounts'!$A:$B,2,FALSE))</f>
        <v/>
      </c>
      <c r="AZ48" s="36" t="str">
        <f t="shared" si="12"/>
        <v/>
      </c>
      <c r="BA48" s="54">
        <f t="shared" si="22"/>
        <v>0</v>
      </c>
      <c r="BB48" s="56">
        <f t="shared" si="23"/>
        <v>0</v>
      </c>
    </row>
    <row r="49" spans="1:54" x14ac:dyDescent="0.25">
      <c r="A49" s="1" t="s">
        <v>60</v>
      </c>
      <c r="B49" s="28"/>
      <c r="G49" s="5"/>
      <c r="H49" s="5"/>
      <c r="I49" s="30">
        <f t="shared" si="8"/>
        <v>10500</v>
      </c>
      <c r="K49" s="7">
        <f t="shared" si="19"/>
        <v>0</v>
      </c>
      <c r="M49" s="15">
        <f t="shared" si="20"/>
        <v>0</v>
      </c>
      <c r="N49" s="5"/>
      <c r="O49" s="15">
        <f t="shared" si="14"/>
        <v>0</v>
      </c>
      <c r="P49" s="15">
        <f t="shared" si="14"/>
        <v>0</v>
      </c>
      <c r="R49" s="15">
        <f t="shared" si="15"/>
        <v>0</v>
      </c>
      <c r="S49" s="15"/>
      <c r="T49" s="15">
        <f t="shared" si="15"/>
        <v>0</v>
      </c>
      <c r="U49" s="15">
        <f t="shared" si="15"/>
        <v>0</v>
      </c>
      <c r="V49" s="15">
        <f t="shared" si="15"/>
        <v>0</v>
      </c>
      <c r="W49" s="15"/>
      <c r="X49" s="15">
        <f t="shared" si="16"/>
        <v>0</v>
      </c>
      <c r="Y49" s="15">
        <f t="shared" si="16"/>
        <v>0</v>
      </c>
      <c r="Z49" s="15"/>
      <c r="AA49" s="15">
        <f t="shared" si="18"/>
        <v>0</v>
      </c>
      <c r="AB49" s="15">
        <f t="shared" si="18"/>
        <v>0</v>
      </c>
      <c r="AC49" s="15">
        <f t="shared" si="18"/>
        <v>0</v>
      </c>
      <c r="AD49" s="15">
        <f t="shared" si="18"/>
        <v>0</v>
      </c>
      <c r="AE49" s="15">
        <f t="shared" si="18"/>
        <v>0</v>
      </c>
      <c r="AF49" s="15">
        <f t="shared" si="18"/>
        <v>0</v>
      </c>
      <c r="AG49" s="15">
        <f t="shared" si="18"/>
        <v>0</v>
      </c>
      <c r="AH49" s="15">
        <f t="shared" si="18"/>
        <v>0</v>
      </c>
      <c r="AI49" s="15">
        <f t="shared" si="18"/>
        <v>0</v>
      </c>
      <c r="AJ49" s="15">
        <f t="shared" si="18"/>
        <v>0</v>
      </c>
      <c r="AK49" s="15">
        <f t="shared" si="18"/>
        <v>0</v>
      </c>
      <c r="AL49" s="15">
        <f t="shared" si="18"/>
        <v>0</v>
      </c>
      <c r="AM49" s="15">
        <f t="shared" si="18"/>
        <v>0</v>
      </c>
      <c r="AN49" s="15">
        <f t="shared" si="18"/>
        <v>0</v>
      </c>
      <c r="AO49" s="15">
        <f t="shared" si="18"/>
        <v>0</v>
      </c>
      <c r="AP49" s="15">
        <f t="shared" si="18"/>
        <v>0</v>
      </c>
      <c r="AQ49" s="5"/>
      <c r="AT49" s="52" t="str">
        <f t="shared" si="9"/>
        <v/>
      </c>
      <c r="AU49" s="36" t="str">
        <f t="shared" si="21"/>
        <v/>
      </c>
      <c r="AV49" s="36"/>
      <c r="AW49" s="36" t="str">
        <f t="shared" si="10"/>
        <v/>
      </c>
      <c r="AX49" s="57" t="str">
        <f>IF(C49="","",IF($C$4="","",VLOOKUP($C$4,'Chart of Accounts'!$A:$B,2,FALSE)))</f>
        <v/>
      </c>
      <c r="AY49" s="55" t="str">
        <f>IF(C49="","",VLOOKUP(C:C,'Chart of Accounts'!$A:$B,2,FALSE))</f>
        <v/>
      </c>
      <c r="AZ49" s="36" t="str">
        <f t="shared" si="12"/>
        <v/>
      </c>
      <c r="BA49" s="54">
        <f t="shared" si="22"/>
        <v>0</v>
      </c>
      <c r="BB49" s="56">
        <f t="shared" si="23"/>
        <v>0</v>
      </c>
    </row>
    <row r="50" spans="1:54" x14ac:dyDescent="0.25">
      <c r="A50" s="1" t="s">
        <v>61</v>
      </c>
      <c r="B50" s="28"/>
      <c r="G50" s="5"/>
      <c r="H50" s="5"/>
      <c r="I50" s="30">
        <f t="shared" si="8"/>
        <v>10500</v>
      </c>
      <c r="K50" s="7">
        <f t="shared" si="19"/>
        <v>0</v>
      </c>
      <c r="M50" s="15">
        <f t="shared" si="20"/>
        <v>0</v>
      </c>
      <c r="N50" s="5"/>
      <c r="O50" s="15">
        <f t="shared" si="14"/>
        <v>0</v>
      </c>
      <c r="P50" s="15">
        <f t="shared" si="14"/>
        <v>0</v>
      </c>
      <c r="R50" s="15">
        <f t="shared" si="15"/>
        <v>0</v>
      </c>
      <c r="S50" s="15"/>
      <c r="T50" s="15">
        <f t="shared" si="15"/>
        <v>0</v>
      </c>
      <c r="U50" s="15">
        <f t="shared" si="15"/>
        <v>0</v>
      </c>
      <c r="V50" s="15">
        <f t="shared" si="15"/>
        <v>0</v>
      </c>
      <c r="W50" s="15"/>
      <c r="X50" s="15">
        <f t="shared" si="16"/>
        <v>0</v>
      </c>
      <c r="Y50" s="15">
        <f t="shared" si="16"/>
        <v>0</v>
      </c>
      <c r="Z50" s="15"/>
      <c r="AA50" s="15">
        <f t="shared" si="18"/>
        <v>0</v>
      </c>
      <c r="AB50" s="15">
        <f t="shared" si="18"/>
        <v>0</v>
      </c>
      <c r="AC50" s="15">
        <f t="shared" si="18"/>
        <v>0</v>
      </c>
      <c r="AD50" s="15">
        <f t="shared" si="18"/>
        <v>0</v>
      </c>
      <c r="AE50" s="15">
        <f t="shared" si="18"/>
        <v>0</v>
      </c>
      <c r="AF50" s="15">
        <f t="shared" si="18"/>
        <v>0</v>
      </c>
      <c r="AG50" s="15">
        <f t="shared" si="18"/>
        <v>0</v>
      </c>
      <c r="AH50" s="15">
        <f t="shared" si="18"/>
        <v>0</v>
      </c>
      <c r="AI50" s="15">
        <f t="shared" si="18"/>
        <v>0</v>
      </c>
      <c r="AJ50" s="15">
        <f t="shared" si="18"/>
        <v>0</v>
      </c>
      <c r="AK50" s="15">
        <f t="shared" si="18"/>
        <v>0</v>
      </c>
      <c r="AL50" s="15">
        <f t="shared" si="18"/>
        <v>0</v>
      </c>
      <c r="AM50" s="15">
        <f t="shared" si="18"/>
        <v>0</v>
      </c>
      <c r="AN50" s="15">
        <f t="shared" si="18"/>
        <v>0</v>
      </c>
      <c r="AO50" s="15">
        <f t="shared" si="18"/>
        <v>0</v>
      </c>
      <c r="AP50" s="15">
        <f t="shared" si="18"/>
        <v>0</v>
      </c>
      <c r="AQ50" s="5"/>
      <c r="AT50" s="52" t="str">
        <f t="shared" si="9"/>
        <v/>
      </c>
      <c r="AU50" s="36" t="str">
        <f t="shared" si="21"/>
        <v/>
      </c>
      <c r="AV50" s="36"/>
      <c r="AW50" s="36" t="str">
        <f t="shared" si="10"/>
        <v/>
      </c>
      <c r="AX50" s="57" t="str">
        <f>IF(C50="","",IF($C$4="","",VLOOKUP($C$4,'Chart of Accounts'!$A:$B,2,FALSE)))</f>
        <v/>
      </c>
      <c r="AY50" s="55" t="str">
        <f>IF(C50="","",VLOOKUP(C:C,'Chart of Accounts'!$A:$B,2,FALSE))</f>
        <v/>
      </c>
      <c r="AZ50" s="36" t="str">
        <f t="shared" si="12"/>
        <v/>
      </c>
      <c r="BA50" s="54">
        <f t="shared" si="22"/>
        <v>0</v>
      </c>
      <c r="BB50" s="56">
        <f t="shared" si="23"/>
        <v>0</v>
      </c>
    </row>
    <row r="51" spans="1:54" x14ac:dyDescent="0.25">
      <c r="A51" s="1" t="s">
        <v>62</v>
      </c>
      <c r="B51" s="28"/>
      <c r="G51" s="5"/>
      <c r="H51" s="5"/>
      <c r="I51" s="30">
        <f t="shared" si="8"/>
        <v>10500</v>
      </c>
      <c r="K51" s="7">
        <f t="shared" si="19"/>
        <v>0</v>
      </c>
      <c r="M51" s="15">
        <f t="shared" si="20"/>
        <v>0</v>
      </c>
      <c r="N51" s="5"/>
      <c r="O51" s="15">
        <f t="shared" si="14"/>
        <v>0</v>
      </c>
      <c r="P51" s="15">
        <f t="shared" si="14"/>
        <v>0</v>
      </c>
      <c r="R51" s="15">
        <f t="shared" si="15"/>
        <v>0</v>
      </c>
      <c r="S51" s="15"/>
      <c r="T51" s="15">
        <f t="shared" si="15"/>
        <v>0</v>
      </c>
      <c r="U51" s="15">
        <f t="shared" si="15"/>
        <v>0</v>
      </c>
      <c r="V51" s="15">
        <f t="shared" si="15"/>
        <v>0</v>
      </c>
      <c r="W51" s="15"/>
      <c r="X51" s="15">
        <f t="shared" si="16"/>
        <v>0</v>
      </c>
      <c r="Y51" s="15">
        <f t="shared" si="16"/>
        <v>0</v>
      </c>
      <c r="Z51" s="15"/>
      <c r="AA51" s="15">
        <f t="shared" si="18"/>
        <v>0</v>
      </c>
      <c r="AB51" s="15">
        <f t="shared" si="18"/>
        <v>0</v>
      </c>
      <c r="AC51" s="15">
        <f t="shared" si="18"/>
        <v>0</v>
      </c>
      <c r="AD51" s="15">
        <f t="shared" si="18"/>
        <v>0</v>
      </c>
      <c r="AE51" s="15">
        <f t="shared" si="18"/>
        <v>0</v>
      </c>
      <c r="AF51" s="15">
        <f t="shared" si="18"/>
        <v>0</v>
      </c>
      <c r="AG51" s="15">
        <f t="shared" si="18"/>
        <v>0</v>
      </c>
      <c r="AH51" s="15">
        <f t="shared" si="18"/>
        <v>0</v>
      </c>
      <c r="AI51" s="15">
        <f t="shared" si="18"/>
        <v>0</v>
      </c>
      <c r="AJ51" s="15">
        <f t="shared" si="18"/>
        <v>0</v>
      </c>
      <c r="AK51" s="15">
        <f t="shared" si="18"/>
        <v>0</v>
      </c>
      <c r="AL51" s="15">
        <f t="shared" si="18"/>
        <v>0</v>
      </c>
      <c r="AM51" s="15">
        <f t="shared" si="18"/>
        <v>0</v>
      </c>
      <c r="AN51" s="15">
        <f t="shared" si="18"/>
        <v>0</v>
      </c>
      <c r="AO51" s="15">
        <f t="shared" si="18"/>
        <v>0</v>
      </c>
      <c r="AP51" s="15">
        <f t="shared" si="18"/>
        <v>0</v>
      </c>
      <c r="AQ51" s="5"/>
      <c r="AT51" s="52" t="str">
        <f t="shared" si="9"/>
        <v/>
      </c>
      <c r="AU51" s="36" t="str">
        <f t="shared" si="21"/>
        <v/>
      </c>
      <c r="AV51" s="36"/>
      <c r="AW51" s="36" t="str">
        <f t="shared" si="10"/>
        <v/>
      </c>
      <c r="AX51" s="57" t="str">
        <f>IF(C51="","",IF($C$4="","",VLOOKUP($C$4,'Chart of Accounts'!$A:$B,2,FALSE)))</f>
        <v/>
      </c>
      <c r="AY51" s="55" t="str">
        <f>IF(C51="","",VLOOKUP(C:C,'Chart of Accounts'!$A:$B,2,FALSE))</f>
        <v/>
      </c>
      <c r="AZ51" s="36" t="str">
        <f t="shared" si="12"/>
        <v/>
      </c>
      <c r="BA51" s="54">
        <f t="shared" si="22"/>
        <v>0</v>
      </c>
      <c r="BB51" s="56">
        <f t="shared" si="23"/>
        <v>0</v>
      </c>
    </row>
    <row r="52" spans="1:54" x14ac:dyDescent="0.25">
      <c r="A52" s="1" t="s">
        <v>63</v>
      </c>
      <c r="B52" s="28"/>
      <c r="G52" s="5"/>
      <c r="H52" s="5"/>
      <c r="I52" s="30">
        <f t="shared" si="8"/>
        <v>10500</v>
      </c>
      <c r="K52" s="7">
        <f t="shared" si="19"/>
        <v>0</v>
      </c>
      <c r="M52" s="15">
        <f t="shared" si="20"/>
        <v>0</v>
      </c>
      <c r="O52" s="15">
        <f t="shared" ref="O52:P76" si="24">IF($C52=O$9,$G52+$H52,0)</f>
        <v>0</v>
      </c>
      <c r="P52" s="15">
        <f t="shared" si="24"/>
        <v>0</v>
      </c>
      <c r="R52" s="15">
        <f t="shared" ref="R52:V75" si="25">IF($C52=R$9,$G52+$H52,0)</f>
        <v>0</v>
      </c>
      <c r="S52" s="15"/>
      <c r="T52" s="15">
        <f t="shared" si="25"/>
        <v>0</v>
      </c>
      <c r="U52" s="15">
        <f t="shared" si="25"/>
        <v>0</v>
      </c>
      <c r="V52" s="15">
        <f t="shared" si="25"/>
        <v>0</v>
      </c>
      <c r="W52" s="15"/>
      <c r="X52" s="15">
        <f t="shared" ref="X52:Y71" si="26">IF($C52=X$9,$G52+$H52,0)</f>
        <v>0</v>
      </c>
      <c r="Y52" s="15">
        <f t="shared" si="26"/>
        <v>0</v>
      </c>
      <c r="Z52" s="15"/>
      <c r="AA52" s="15">
        <f t="shared" ref="AA52:AP61" si="27">IF($C52=AA$9,$G52+$H52,0)</f>
        <v>0</v>
      </c>
      <c r="AB52" s="15">
        <f t="shared" si="27"/>
        <v>0</v>
      </c>
      <c r="AC52" s="15">
        <f t="shared" si="27"/>
        <v>0</v>
      </c>
      <c r="AD52" s="15">
        <f t="shared" si="27"/>
        <v>0</v>
      </c>
      <c r="AE52" s="15">
        <f t="shared" si="27"/>
        <v>0</v>
      </c>
      <c r="AF52" s="15">
        <f t="shared" si="27"/>
        <v>0</v>
      </c>
      <c r="AG52" s="15">
        <f t="shared" si="27"/>
        <v>0</v>
      </c>
      <c r="AH52" s="15">
        <f t="shared" si="27"/>
        <v>0</v>
      </c>
      <c r="AI52" s="15">
        <f t="shared" si="27"/>
        <v>0</v>
      </c>
      <c r="AJ52" s="15">
        <f t="shared" si="27"/>
        <v>0</v>
      </c>
      <c r="AK52" s="15">
        <f t="shared" si="27"/>
        <v>0</v>
      </c>
      <c r="AL52" s="15">
        <f t="shared" si="27"/>
        <v>0</v>
      </c>
      <c r="AM52" s="15">
        <f t="shared" si="27"/>
        <v>0</v>
      </c>
      <c r="AN52" s="15">
        <f t="shared" si="27"/>
        <v>0</v>
      </c>
      <c r="AO52" s="15">
        <f t="shared" si="27"/>
        <v>0</v>
      </c>
      <c r="AP52" s="15">
        <f t="shared" si="27"/>
        <v>0</v>
      </c>
      <c r="AQ52" s="5"/>
      <c r="AT52" s="52" t="str">
        <f t="shared" si="9"/>
        <v/>
      </c>
      <c r="AU52" s="36" t="str">
        <f t="shared" si="21"/>
        <v/>
      </c>
      <c r="AV52" s="36"/>
      <c r="AW52" s="36" t="str">
        <f t="shared" si="10"/>
        <v/>
      </c>
      <c r="AX52" s="57" t="str">
        <f>IF(C52="","",IF($C$4="","",VLOOKUP($C$4,'Chart of Accounts'!$A:$B,2,FALSE)))</f>
        <v/>
      </c>
      <c r="AY52" s="55" t="str">
        <f>IF(C52="","",VLOOKUP(C:C,'Chart of Accounts'!$A:$B,2,FALSE))</f>
        <v/>
      </c>
      <c r="AZ52" s="36" t="str">
        <f t="shared" si="12"/>
        <v/>
      </c>
      <c r="BA52" s="54">
        <f t="shared" si="22"/>
        <v>0</v>
      </c>
      <c r="BB52" s="56">
        <f t="shared" si="23"/>
        <v>0</v>
      </c>
    </row>
    <row r="53" spans="1:54" x14ac:dyDescent="0.25">
      <c r="A53" s="1" t="s">
        <v>64</v>
      </c>
      <c r="B53" s="28"/>
      <c r="G53" s="5"/>
      <c r="H53" s="5"/>
      <c r="I53" s="30">
        <f t="shared" si="8"/>
        <v>10500</v>
      </c>
      <c r="K53" s="7">
        <f t="shared" si="19"/>
        <v>0</v>
      </c>
      <c r="M53" s="15">
        <f t="shared" si="20"/>
        <v>0</v>
      </c>
      <c r="N53" s="5"/>
      <c r="O53" s="15">
        <f t="shared" si="24"/>
        <v>0</v>
      </c>
      <c r="P53" s="15">
        <f t="shared" si="24"/>
        <v>0</v>
      </c>
      <c r="R53" s="15">
        <f t="shared" si="25"/>
        <v>0</v>
      </c>
      <c r="S53" s="15"/>
      <c r="T53" s="15">
        <f t="shared" si="25"/>
        <v>0</v>
      </c>
      <c r="U53" s="15">
        <f t="shared" si="25"/>
        <v>0</v>
      </c>
      <c r="V53" s="15">
        <f t="shared" si="25"/>
        <v>0</v>
      </c>
      <c r="W53" s="15"/>
      <c r="X53" s="15">
        <f t="shared" si="26"/>
        <v>0</v>
      </c>
      <c r="Y53" s="15">
        <f t="shared" si="26"/>
        <v>0</v>
      </c>
      <c r="Z53" s="15"/>
      <c r="AA53" s="15">
        <f t="shared" si="27"/>
        <v>0</v>
      </c>
      <c r="AB53" s="15">
        <f t="shared" si="27"/>
        <v>0</v>
      </c>
      <c r="AC53" s="15">
        <f t="shared" si="27"/>
        <v>0</v>
      </c>
      <c r="AD53" s="15">
        <f t="shared" si="27"/>
        <v>0</v>
      </c>
      <c r="AE53" s="15">
        <f t="shared" si="27"/>
        <v>0</v>
      </c>
      <c r="AF53" s="15">
        <f t="shared" si="27"/>
        <v>0</v>
      </c>
      <c r="AG53" s="15">
        <f t="shared" si="27"/>
        <v>0</v>
      </c>
      <c r="AH53" s="15">
        <f t="shared" si="27"/>
        <v>0</v>
      </c>
      <c r="AI53" s="15">
        <f t="shared" si="27"/>
        <v>0</v>
      </c>
      <c r="AJ53" s="15">
        <f t="shared" si="27"/>
        <v>0</v>
      </c>
      <c r="AK53" s="15">
        <f t="shared" si="27"/>
        <v>0</v>
      </c>
      <c r="AL53" s="15">
        <f t="shared" si="27"/>
        <v>0</v>
      </c>
      <c r="AM53" s="15">
        <f t="shared" si="27"/>
        <v>0</v>
      </c>
      <c r="AN53" s="15">
        <f t="shared" si="27"/>
        <v>0</v>
      </c>
      <c r="AO53" s="15">
        <f t="shared" si="27"/>
        <v>0</v>
      </c>
      <c r="AP53" s="15">
        <f t="shared" si="27"/>
        <v>0</v>
      </c>
      <c r="AQ53" s="5"/>
      <c r="AT53" s="52" t="str">
        <f t="shared" si="9"/>
        <v/>
      </c>
      <c r="AU53" s="36" t="str">
        <f t="shared" si="21"/>
        <v/>
      </c>
      <c r="AV53" s="36"/>
      <c r="AW53" s="36" t="str">
        <f t="shared" si="10"/>
        <v/>
      </c>
      <c r="AX53" s="57" t="str">
        <f>IF(C53="","",IF($C$4="","",VLOOKUP($C$4,'Chart of Accounts'!$A:$B,2,FALSE)))</f>
        <v/>
      </c>
      <c r="AY53" s="55" t="str">
        <f>IF(C53="","",VLOOKUP(C:C,'Chart of Accounts'!$A:$B,2,FALSE))</f>
        <v/>
      </c>
      <c r="AZ53" s="36" t="str">
        <f t="shared" si="12"/>
        <v/>
      </c>
      <c r="BA53" s="54">
        <f t="shared" si="22"/>
        <v>0</v>
      </c>
      <c r="BB53" s="56">
        <f t="shared" si="23"/>
        <v>0</v>
      </c>
    </row>
    <row r="54" spans="1:54" x14ac:dyDescent="0.25">
      <c r="A54" s="1" t="s">
        <v>65</v>
      </c>
      <c r="B54" s="28"/>
      <c r="G54" s="5"/>
      <c r="H54" s="5"/>
      <c r="I54" s="30">
        <f t="shared" si="8"/>
        <v>10500</v>
      </c>
      <c r="K54" s="7">
        <f t="shared" si="19"/>
        <v>0</v>
      </c>
      <c r="M54" s="15">
        <f t="shared" si="20"/>
        <v>0</v>
      </c>
      <c r="N54" s="5"/>
      <c r="O54" s="15">
        <f t="shared" si="24"/>
        <v>0</v>
      </c>
      <c r="P54" s="15">
        <f t="shared" si="24"/>
        <v>0</v>
      </c>
      <c r="R54" s="15">
        <f t="shared" si="25"/>
        <v>0</v>
      </c>
      <c r="S54" s="15"/>
      <c r="T54" s="15">
        <f t="shared" si="25"/>
        <v>0</v>
      </c>
      <c r="U54" s="15">
        <f t="shared" si="25"/>
        <v>0</v>
      </c>
      <c r="V54" s="15">
        <f t="shared" si="25"/>
        <v>0</v>
      </c>
      <c r="W54" s="15"/>
      <c r="X54" s="15">
        <f t="shared" si="26"/>
        <v>0</v>
      </c>
      <c r="Y54" s="15">
        <f t="shared" si="26"/>
        <v>0</v>
      </c>
      <c r="Z54" s="15"/>
      <c r="AA54" s="15">
        <f t="shared" si="27"/>
        <v>0</v>
      </c>
      <c r="AB54" s="15">
        <f t="shared" si="27"/>
        <v>0</v>
      </c>
      <c r="AC54" s="15">
        <f t="shared" si="27"/>
        <v>0</v>
      </c>
      <c r="AD54" s="15">
        <f t="shared" si="27"/>
        <v>0</v>
      </c>
      <c r="AE54" s="15">
        <f t="shared" si="27"/>
        <v>0</v>
      </c>
      <c r="AF54" s="15">
        <f t="shared" si="27"/>
        <v>0</v>
      </c>
      <c r="AG54" s="15">
        <f t="shared" si="27"/>
        <v>0</v>
      </c>
      <c r="AH54" s="15">
        <f t="shared" si="27"/>
        <v>0</v>
      </c>
      <c r="AI54" s="15">
        <f t="shared" si="27"/>
        <v>0</v>
      </c>
      <c r="AJ54" s="15">
        <f t="shared" si="27"/>
        <v>0</v>
      </c>
      <c r="AK54" s="15">
        <f t="shared" si="27"/>
        <v>0</v>
      </c>
      <c r="AL54" s="15">
        <f t="shared" si="27"/>
        <v>0</v>
      </c>
      <c r="AM54" s="15">
        <f t="shared" si="27"/>
        <v>0</v>
      </c>
      <c r="AN54" s="15">
        <f t="shared" si="27"/>
        <v>0</v>
      </c>
      <c r="AO54" s="15">
        <f t="shared" si="27"/>
        <v>0</v>
      </c>
      <c r="AP54" s="15">
        <f t="shared" si="27"/>
        <v>0</v>
      </c>
      <c r="AQ54" s="5"/>
      <c r="AT54" s="52" t="str">
        <f t="shared" si="9"/>
        <v/>
      </c>
      <c r="AU54" s="36" t="str">
        <f t="shared" si="21"/>
        <v/>
      </c>
      <c r="AV54" s="36"/>
      <c r="AW54" s="36" t="str">
        <f t="shared" si="10"/>
        <v/>
      </c>
      <c r="AX54" s="57" t="str">
        <f>IF(C54="","",IF($C$4="","",VLOOKUP($C$4,'Chart of Accounts'!$A:$B,2,FALSE)))</f>
        <v/>
      </c>
      <c r="AY54" s="55" t="str">
        <f>IF(C54="","",VLOOKUP(C:C,'Chart of Accounts'!$A:$B,2,FALSE))</f>
        <v/>
      </c>
      <c r="AZ54" s="36" t="str">
        <f t="shared" si="12"/>
        <v/>
      </c>
      <c r="BA54" s="54">
        <f t="shared" si="22"/>
        <v>0</v>
      </c>
      <c r="BB54" s="56">
        <f t="shared" si="23"/>
        <v>0</v>
      </c>
    </row>
    <row r="55" spans="1:54" x14ac:dyDescent="0.25">
      <c r="A55" s="1" t="s">
        <v>66</v>
      </c>
      <c r="B55" s="28"/>
      <c r="G55" s="5"/>
      <c r="H55" s="5"/>
      <c r="I55" s="30">
        <f t="shared" si="8"/>
        <v>10500</v>
      </c>
      <c r="K55" s="7">
        <f t="shared" si="19"/>
        <v>0</v>
      </c>
      <c r="M55" s="15">
        <f t="shared" si="20"/>
        <v>0</v>
      </c>
      <c r="N55" s="5"/>
      <c r="O55" s="15">
        <f t="shared" si="24"/>
        <v>0</v>
      </c>
      <c r="P55" s="15">
        <f t="shared" si="24"/>
        <v>0</v>
      </c>
      <c r="R55" s="15">
        <f t="shared" si="25"/>
        <v>0</v>
      </c>
      <c r="S55" s="15"/>
      <c r="T55" s="15">
        <f t="shared" si="25"/>
        <v>0</v>
      </c>
      <c r="U55" s="15">
        <f t="shared" si="25"/>
        <v>0</v>
      </c>
      <c r="V55" s="15">
        <f t="shared" si="25"/>
        <v>0</v>
      </c>
      <c r="W55" s="15"/>
      <c r="X55" s="15">
        <f t="shared" si="26"/>
        <v>0</v>
      </c>
      <c r="Y55" s="15">
        <f t="shared" si="26"/>
        <v>0</v>
      </c>
      <c r="Z55" s="15"/>
      <c r="AA55" s="15">
        <f t="shared" si="27"/>
        <v>0</v>
      </c>
      <c r="AB55" s="15">
        <f t="shared" si="27"/>
        <v>0</v>
      </c>
      <c r="AC55" s="15">
        <f t="shared" si="27"/>
        <v>0</v>
      </c>
      <c r="AD55" s="15">
        <f t="shared" si="27"/>
        <v>0</v>
      </c>
      <c r="AE55" s="15">
        <f t="shared" si="27"/>
        <v>0</v>
      </c>
      <c r="AF55" s="15">
        <f t="shared" si="27"/>
        <v>0</v>
      </c>
      <c r="AG55" s="15">
        <f t="shared" si="27"/>
        <v>0</v>
      </c>
      <c r="AH55" s="15">
        <f t="shared" si="27"/>
        <v>0</v>
      </c>
      <c r="AI55" s="15">
        <f t="shared" si="27"/>
        <v>0</v>
      </c>
      <c r="AJ55" s="15">
        <f t="shared" si="27"/>
        <v>0</v>
      </c>
      <c r="AK55" s="15">
        <f t="shared" si="27"/>
        <v>0</v>
      </c>
      <c r="AL55" s="15">
        <f t="shared" si="27"/>
        <v>0</v>
      </c>
      <c r="AM55" s="15">
        <f t="shared" si="27"/>
        <v>0</v>
      </c>
      <c r="AN55" s="15">
        <f t="shared" si="27"/>
        <v>0</v>
      </c>
      <c r="AO55" s="15">
        <f t="shared" si="27"/>
        <v>0</v>
      </c>
      <c r="AP55" s="15">
        <f t="shared" si="27"/>
        <v>0</v>
      </c>
      <c r="AQ55" s="5"/>
      <c r="AT55" s="52" t="str">
        <f t="shared" si="9"/>
        <v/>
      </c>
      <c r="AU55" s="36" t="str">
        <f t="shared" si="21"/>
        <v/>
      </c>
      <c r="AV55" s="36"/>
      <c r="AW55" s="36" t="str">
        <f t="shared" si="10"/>
        <v/>
      </c>
      <c r="AX55" s="57" t="str">
        <f>IF(C55="","",IF($C$4="","",VLOOKUP($C$4,'Chart of Accounts'!$A:$B,2,FALSE)))</f>
        <v/>
      </c>
      <c r="AY55" s="55" t="str">
        <f>IF(C55="","",VLOOKUP(C:C,'Chart of Accounts'!$A:$B,2,FALSE))</f>
        <v/>
      </c>
      <c r="AZ55" s="36" t="str">
        <f t="shared" si="12"/>
        <v/>
      </c>
      <c r="BA55" s="54">
        <f t="shared" si="22"/>
        <v>0</v>
      </c>
      <c r="BB55" s="56">
        <f t="shared" si="23"/>
        <v>0</v>
      </c>
    </row>
    <row r="56" spans="1:54" x14ac:dyDescent="0.25">
      <c r="A56" s="1" t="s">
        <v>67</v>
      </c>
      <c r="B56" s="28"/>
      <c r="G56" s="5"/>
      <c r="H56" s="5"/>
      <c r="I56" s="30">
        <f t="shared" si="8"/>
        <v>10500</v>
      </c>
      <c r="K56" s="7">
        <f t="shared" si="19"/>
        <v>0</v>
      </c>
      <c r="M56" s="15">
        <f t="shared" si="20"/>
        <v>0</v>
      </c>
      <c r="N56" s="5"/>
      <c r="O56" s="15">
        <f t="shared" si="24"/>
        <v>0</v>
      </c>
      <c r="P56" s="15">
        <f t="shared" si="24"/>
        <v>0</v>
      </c>
      <c r="R56" s="15">
        <f t="shared" si="25"/>
        <v>0</v>
      </c>
      <c r="S56" s="15"/>
      <c r="T56" s="15">
        <f t="shared" si="25"/>
        <v>0</v>
      </c>
      <c r="U56" s="15">
        <f t="shared" si="25"/>
        <v>0</v>
      </c>
      <c r="V56" s="15">
        <f t="shared" si="25"/>
        <v>0</v>
      </c>
      <c r="W56" s="15"/>
      <c r="X56" s="15">
        <f t="shared" si="26"/>
        <v>0</v>
      </c>
      <c r="Y56" s="15">
        <f t="shared" si="26"/>
        <v>0</v>
      </c>
      <c r="Z56" s="15"/>
      <c r="AA56" s="15">
        <f t="shared" si="27"/>
        <v>0</v>
      </c>
      <c r="AB56" s="15">
        <f t="shared" si="27"/>
        <v>0</v>
      </c>
      <c r="AC56" s="15">
        <f t="shared" si="27"/>
        <v>0</v>
      </c>
      <c r="AD56" s="15">
        <f t="shared" si="27"/>
        <v>0</v>
      </c>
      <c r="AE56" s="15">
        <f t="shared" si="27"/>
        <v>0</v>
      </c>
      <c r="AF56" s="15">
        <f t="shared" si="27"/>
        <v>0</v>
      </c>
      <c r="AG56" s="15">
        <f t="shared" si="27"/>
        <v>0</v>
      </c>
      <c r="AH56" s="15">
        <f t="shared" si="27"/>
        <v>0</v>
      </c>
      <c r="AI56" s="15">
        <f t="shared" si="27"/>
        <v>0</v>
      </c>
      <c r="AJ56" s="15">
        <f t="shared" si="27"/>
        <v>0</v>
      </c>
      <c r="AK56" s="15">
        <f t="shared" si="27"/>
        <v>0</v>
      </c>
      <c r="AL56" s="15">
        <f t="shared" si="27"/>
        <v>0</v>
      </c>
      <c r="AM56" s="15">
        <f t="shared" si="27"/>
        <v>0</v>
      </c>
      <c r="AN56" s="15">
        <f t="shared" si="27"/>
        <v>0</v>
      </c>
      <c r="AO56" s="15">
        <f t="shared" si="27"/>
        <v>0</v>
      </c>
      <c r="AP56" s="15">
        <f t="shared" si="27"/>
        <v>0</v>
      </c>
      <c r="AQ56" s="5"/>
      <c r="AT56" s="52" t="str">
        <f t="shared" si="9"/>
        <v/>
      </c>
      <c r="AU56" s="36" t="str">
        <f t="shared" si="21"/>
        <v/>
      </c>
      <c r="AV56" s="36"/>
      <c r="AW56" s="36" t="str">
        <f t="shared" si="10"/>
        <v/>
      </c>
      <c r="AX56" s="57" t="str">
        <f>IF(C56="","",IF($C$4="","",VLOOKUP($C$4,'Chart of Accounts'!$A:$B,2,FALSE)))</f>
        <v/>
      </c>
      <c r="AY56" s="55" t="str">
        <f>IF(C56="","",VLOOKUP(C:C,'Chart of Accounts'!$A:$B,2,FALSE))</f>
        <v/>
      </c>
      <c r="AZ56" s="36" t="str">
        <f t="shared" si="12"/>
        <v/>
      </c>
      <c r="BA56" s="54">
        <f t="shared" si="22"/>
        <v>0</v>
      </c>
      <c r="BB56" s="56">
        <f t="shared" si="23"/>
        <v>0</v>
      </c>
    </row>
    <row r="57" spans="1:54" x14ac:dyDescent="0.25">
      <c r="A57" s="1" t="s">
        <v>68</v>
      </c>
      <c r="B57" s="28"/>
      <c r="G57" s="5"/>
      <c r="H57" s="5"/>
      <c r="I57" s="30">
        <f t="shared" si="8"/>
        <v>10500</v>
      </c>
      <c r="K57" s="7">
        <f t="shared" si="19"/>
        <v>0</v>
      </c>
      <c r="M57" s="15">
        <f t="shared" si="20"/>
        <v>0</v>
      </c>
      <c r="N57" s="5"/>
      <c r="O57" s="15">
        <f t="shared" si="24"/>
        <v>0</v>
      </c>
      <c r="P57" s="15">
        <f t="shared" si="24"/>
        <v>0</v>
      </c>
      <c r="R57" s="15">
        <f t="shared" si="25"/>
        <v>0</v>
      </c>
      <c r="S57" s="15"/>
      <c r="T57" s="15">
        <f t="shared" si="25"/>
        <v>0</v>
      </c>
      <c r="U57" s="15">
        <f t="shared" si="25"/>
        <v>0</v>
      </c>
      <c r="V57" s="15">
        <f t="shared" si="25"/>
        <v>0</v>
      </c>
      <c r="W57" s="15"/>
      <c r="X57" s="15">
        <f t="shared" si="26"/>
        <v>0</v>
      </c>
      <c r="Y57" s="15">
        <f t="shared" si="26"/>
        <v>0</v>
      </c>
      <c r="Z57" s="15"/>
      <c r="AA57" s="15">
        <f t="shared" si="27"/>
        <v>0</v>
      </c>
      <c r="AB57" s="15">
        <f t="shared" si="27"/>
        <v>0</v>
      </c>
      <c r="AC57" s="15">
        <f t="shared" si="27"/>
        <v>0</v>
      </c>
      <c r="AD57" s="15">
        <f t="shared" si="27"/>
        <v>0</v>
      </c>
      <c r="AE57" s="15">
        <f t="shared" si="27"/>
        <v>0</v>
      </c>
      <c r="AF57" s="15">
        <f t="shared" si="27"/>
        <v>0</v>
      </c>
      <c r="AG57" s="15">
        <f t="shared" si="27"/>
        <v>0</v>
      </c>
      <c r="AH57" s="15">
        <f t="shared" si="27"/>
        <v>0</v>
      </c>
      <c r="AI57" s="15">
        <f t="shared" si="27"/>
        <v>0</v>
      </c>
      <c r="AJ57" s="15">
        <f t="shared" si="27"/>
        <v>0</v>
      </c>
      <c r="AK57" s="15">
        <f t="shared" si="27"/>
        <v>0</v>
      </c>
      <c r="AL57" s="15">
        <f t="shared" si="27"/>
        <v>0</v>
      </c>
      <c r="AM57" s="15">
        <f t="shared" si="27"/>
        <v>0</v>
      </c>
      <c r="AN57" s="15">
        <f t="shared" si="27"/>
        <v>0</v>
      </c>
      <c r="AO57" s="15">
        <f t="shared" si="27"/>
        <v>0</v>
      </c>
      <c r="AP57" s="15">
        <f t="shared" si="27"/>
        <v>0</v>
      </c>
      <c r="AQ57" s="5"/>
      <c r="AT57" s="52" t="str">
        <f t="shared" si="9"/>
        <v/>
      </c>
      <c r="AU57" s="36" t="str">
        <f t="shared" si="21"/>
        <v/>
      </c>
      <c r="AV57" s="36"/>
      <c r="AW57" s="36" t="str">
        <f t="shared" si="10"/>
        <v/>
      </c>
      <c r="AX57" s="57" t="str">
        <f>IF(C57="","",IF($C$4="","",VLOOKUP($C$4,'Chart of Accounts'!$A:$B,2,FALSE)))</f>
        <v/>
      </c>
      <c r="AY57" s="55" t="str">
        <f>IF(C57="","",VLOOKUP(C:C,'Chart of Accounts'!$A:$B,2,FALSE))</f>
        <v/>
      </c>
      <c r="AZ57" s="36" t="str">
        <f t="shared" si="12"/>
        <v/>
      </c>
      <c r="BA57" s="54">
        <f t="shared" si="22"/>
        <v>0</v>
      </c>
      <c r="BB57" s="56">
        <f t="shared" si="23"/>
        <v>0</v>
      </c>
    </row>
    <row r="58" spans="1:54" x14ac:dyDescent="0.25">
      <c r="A58" s="1" t="s">
        <v>69</v>
      </c>
      <c r="B58" s="28"/>
      <c r="G58" s="5"/>
      <c r="H58" s="5"/>
      <c r="I58" s="30">
        <f t="shared" si="8"/>
        <v>10500</v>
      </c>
      <c r="K58" s="7">
        <f t="shared" si="19"/>
        <v>0</v>
      </c>
      <c r="M58" s="15">
        <f t="shared" si="20"/>
        <v>0</v>
      </c>
      <c r="N58" s="5"/>
      <c r="O58" s="15">
        <f t="shared" si="24"/>
        <v>0</v>
      </c>
      <c r="P58" s="15">
        <f t="shared" si="24"/>
        <v>0</v>
      </c>
      <c r="R58" s="15">
        <f t="shared" si="25"/>
        <v>0</v>
      </c>
      <c r="S58" s="15"/>
      <c r="T58" s="15">
        <f t="shared" si="25"/>
        <v>0</v>
      </c>
      <c r="U58" s="15">
        <f t="shared" si="25"/>
        <v>0</v>
      </c>
      <c r="V58" s="15">
        <f t="shared" si="25"/>
        <v>0</v>
      </c>
      <c r="W58" s="15"/>
      <c r="X58" s="15">
        <f t="shared" si="26"/>
        <v>0</v>
      </c>
      <c r="Y58" s="15">
        <f t="shared" si="26"/>
        <v>0</v>
      </c>
      <c r="Z58" s="15"/>
      <c r="AA58" s="15">
        <f t="shared" si="27"/>
        <v>0</v>
      </c>
      <c r="AB58" s="15">
        <f t="shared" si="27"/>
        <v>0</v>
      </c>
      <c r="AC58" s="15">
        <f t="shared" si="27"/>
        <v>0</v>
      </c>
      <c r="AD58" s="15">
        <f t="shared" si="27"/>
        <v>0</v>
      </c>
      <c r="AE58" s="15">
        <f t="shared" si="27"/>
        <v>0</v>
      </c>
      <c r="AF58" s="15">
        <f t="shared" si="27"/>
        <v>0</v>
      </c>
      <c r="AG58" s="15">
        <f t="shared" si="27"/>
        <v>0</v>
      </c>
      <c r="AH58" s="15">
        <f t="shared" si="27"/>
        <v>0</v>
      </c>
      <c r="AI58" s="15">
        <f t="shared" si="27"/>
        <v>0</v>
      </c>
      <c r="AJ58" s="15">
        <f t="shared" si="27"/>
        <v>0</v>
      </c>
      <c r="AK58" s="15">
        <f t="shared" si="27"/>
        <v>0</v>
      </c>
      <c r="AL58" s="15">
        <f t="shared" si="27"/>
        <v>0</v>
      </c>
      <c r="AM58" s="15">
        <f t="shared" si="27"/>
        <v>0</v>
      </c>
      <c r="AN58" s="15">
        <f t="shared" si="27"/>
        <v>0</v>
      </c>
      <c r="AO58" s="15">
        <f t="shared" si="27"/>
        <v>0</v>
      </c>
      <c r="AP58" s="15">
        <f t="shared" si="27"/>
        <v>0</v>
      </c>
      <c r="AQ58" s="5"/>
      <c r="AT58" s="52" t="str">
        <f t="shared" si="9"/>
        <v/>
      </c>
      <c r="AU58" s="36" t="str">
        <f t="shared" si="21"/>
        <v/>
      </c>
      <c r="AV58" s="36"/>
      <c r="AW58" s="36" t="str">
        <f t="shared" si="10"/>
        <v/>
      </c>
      <c r="AX58" s="57" t="str">
        <f>IF(C58="","",IF($C$4="","",VLOOKUP($C$4,'Chart of Accounts'!$A:$B,2,FALSE)))</f>
        <v/>
      </c>
      <c r="AY58" s="55" t="str">
        <f>IF(C58="","",VLOOKUP(C:C,'Chart of Accounts'!$A:$B,2,FALSE))</f>
        <v/>
      </c>
      <c r="AZ58" s="36" t="str">
        <f t="shared" si="12"/>
        <v/>
      </c>
      <c r="BA58" s="54">
        <f t="shared" si="22"/>
        <v>0</v>
      </c>
      <c r="BB58" s="56">
        <f t="shared" si="23"/>
        <v>0</v>
      </c>
    </row>
    <row r="59" spans="1:54" x14ac:dyDescent="0.25">
      <c r="A59" s="1" t="s">
        <v>70</v>
      </c>
      <c r="B59" s="28"/>
      <c r="G59" s="5"/>
      <c r="H59" s="5"/>
      <c r="I59" s="30">
        <f t="shared" si="8"/>
        <v>10500</v>
      </c>
      <c r="K59" s="7">
        <f t="shared" si="19"/>
        <v>0</v>
      </c>
      <c r="M59" s="15">
        <f t="shared" si="20"/>
        <v>0</v>
      </c>
      <c r="N59" s="5"/>
      <c r="O59" s="15">
        <f t="shared" si="24"/>
        <v>0</v>
      </c>
      <c r="P59" s="15">
        <f t="shared" si="24"/>
        <v>0</v>
      </c>
      <c r="R59" s="15">
        <f t="shared" si="25"/>
        <v>0</v>
      </c>
      <c r="S59" s="15"/>
      <c r="T59" s="15">
        <f t="shared" si="25"/>
        <v>0</v>
      </c>
      <c r="U59" s="15">
        <f t="shared" si="25"/>
        <v>0</v>
      </c>
      <c r="V59" s="15">
        <f t="shared" si="25"/>
        <v>0</v>
      </c>
      <c r="W59" s="15"/>
      <c r="X59" s="15">
        <f t="shared" si="26"/>
        <v>0</v>
      </c>
      <c r="Y59" s="15">
        <f t="shared" si="26"/>
        <v>0</v>
      </c>
      <c r="Z59" s="15"/>
      <c r="AA59" s="15">
        <f t="shared" si="27"/>
        <v>0</v>
      </c>
      <c r="AB59" s="15">
        <f t="shared" si="27"/>
        <v>0</v>
      </c>
      <c r="AC59" s="15">
        <f t="shared" si="27"/>
        <v>0</v>
      </c>
      <c r="AD59" s="15">
        <f t="shared" si="27"/>
        <v>0</v>
      </c>
      <c r="AE59" s="15">
        <f t="shared" si="27"/>
        <v>0</v>
      </c>
      <c r="AF59" s="15">
        <f t="shared" si="27"/>
        <v>0</v>
      </c>
      <c r="AG59" s="15">
        <f t="shared" si="27"/>
        <v>0</v>
      </c>
      <c r="AH59" s="15">
        <f t="shared" si="27"/>
        <v>0</v>
      </c>
      <c r="AI59" s="15">
        <f t="shared" si="27"/>
        <v>0</v>
      </c>
      <c r="AJ59" s="15">
        <f t="shared" si="27"/>
        <v>0</v>
      </c>
      <c r="AK59" s="15">
        <f t="shared" si="27"/>
        <v>0</v>
      </c>
      <c r="AL59" s="15">
        <f t="shared" si="27"/>
        <v>0</v>
      </c>
      <c r="AM59" s="15">
        <f t="shared" si="27"/>
        <v>0</v>
      </c>
      <c r="AN59" s="15">
        <f t="shared" si="27"/>
        <v>0</v>
      </c>
      <c r="AO59" s="15">
        <f t="shared" si="27"/>
        <v>0</v>
      </c>
      <c r="AP59" s="15">
        <f t="shared" si="27"/>
        <v>0</v>
      </c>
      <c r="AQ59" s="5"/>
      <c r="AT59" s="52" t="str">
        <f t="shared" si="9"/>
        <v/>
      </c>
      <c r="AU59" s="36" t="str">
        <f t="shared" si="21"/>
        <v/>
      </c>
      <c r="AV59" s="36"/>
      <c r="AW59" s="36" t="str">
        <f t="shared" si="10"/>
        <v/>
      </c>
      <c r="AX59" s="57" t="str">
        <f>IF(C59="","",IF($C$4="","",VLOOKUP($C$4,'Chart of Accounts'!$A:$B,2,FALSE)))</f>
        <v/>
      </c>
      <c r="AY59" s="55" t="str">
        <f>IF(C59="","",VLOOKUP(C:C,'Chart of Accounts'!$A:$B,2,FALSE))</f>
        <v/>
      </c>
      <c r="AZ59" s="36" t="str">
        <f t="shared" si="12"/>
        <v/>
      </c>
      <c r="BA59" s="54">
        <f t="shared" si="22"/>
        <v>0</v>
      </c>
      <c r="BB59" s="56">
        <f t="shared" si="23"/>
        <v>0</v>
      </c>
    </row>
    <row r="60" spans="1:54" x14ac:dyDescent="0.25">
      <c r="A60" s="1" t="s">
        <v>71</v>
      </c>
      <c r="B60" s="28"/>
      <c r="G60" s="5"/>
      <c r="H60" s="5"/>
      <c r="I60" s="30">
        <f t="shared" si="8"/>
        <v>10500</v>
      </c>
      <c r="K60" s="7">
        <f t="shared" si="19"/>
        <v>0</v>
      </c>
      <c r="M60" s="15">
        <f t="shared" si="20"/>
        <v>0</v>
      </c>
      <c r="N60" s="5"/>
      <c r="O60" s="15">
        <f t="shared" si="24"/>
        <v>0</v>
      </c>
      <c r="P60" s="15">
        <f t="shared" si="24"/>
        <v>0</v>
      </c>
      <c r="R60" s="15">
        <f t="shared" si="25"/>
        <v>0</v>
      </c>
      <c r="S60" s="15"/>
      <c r="T60" s="15">
        <f t="shared" si="25"/>
        <v>0</v>
      </c>
      <c r="U60" s="15">
        <f t="shared" si="25"/>
        <v>0</v>
      </c>
      <c r="V60" s="15">
        <f t="shared" si="25"/>
        <v>0</v>
      </c>
      <c r="W60" s="15"/>
      <c r="X60" s="15">
        <f t="shared" si="26"/>
        <v>0</v>
      </c>
      <c r="Y60" s="15">
        <f t="shared" si="26"/>
        <v>0</v>
      </c>
      <c r="Z60" s="15"/>
      <c r="AA60" s="15">
        <f t="shared" si="27"/>
        <v>0</v>
      </c>
      <c r="AB60" s="15">
        <f t="shared" si="27"/>
        <v>0</v>
      </c>
      <c r="AC60" s="15">
        <f t="shared" si="27"/>
        <v>0</v>
      </c>
      <c r="AD60" s="15">
        <f t="shared" si="27"/>
        <v>0</v>
      </c>
      <c r="AE60" s="15">
        <f t="shared" si="27"/>
        <v>0</v>
      </c>
      <c r="AF60" s="15">
        <f t="shared" si="27"/>
        <v>0</v>
      </c>
      <c r="AG60" s="15">
        <f t="shared" si="27"/>
        <v>0</v>
      </c>
      <c r="AH60" s="15">
        <f t="shared" si="27"/>
        <v>0</v>
      </c>
      <c r="AI60" s="15">
        <f t="shared" si="27"/>
        <v>0</v>
      </c>
      <c r="AJ60" s="15">
        <f t="shared" si="27"/>
        <v>0</v>
      </c>
      <c r="AK60" s="15">
        <f t="shared" si="27"/>
        <v>0</v>
      </c>
      <c r="AL60" s="15">
        <f t="shared" si="27"/>
        <v>0</v>
      </c>
      <c r="AM60" s="15">
        <f t="shared" si="27"/>
        <v>0</v>
      </c>
      <c r="AN60" s="15">
        <f t="shared" si="27"/>
        <v>0</v>
      </c>
      <c r="AO60" s="15">
        <f t="shared" si="27"/>
        <v>0</v>
      </c>
      <c r="AP60" s="15">
        <f t="shared" si="27"/>
        <v>0</v>
      </c>
      <c r="AQ60" s="5"/>
      <c r="AT60" s="52" t="str">
        <f t="shared" si="9"/>
        <v/>
      </c>
      <c r="AU60" s="36" t="str">
        <f t="shared" si="21"/>
        <v/>
      </c>
      <c r="AV60" s="36"/>
      <c r="AW60" s="36" t="str">
        <f t="shared" si="10"/>
        <v/>
      </c>
      <c r="AX60" s="57" t="str">
        <f>IF(C60="","",IF($C$4="","",VLOOKUP($C$4,'Chart of Accounts'!$A:$B,2,FALSE)))</f>
        <v/>
      </c>
      <c r="AY60" s="55" t="str">
        <f>IF(C60="","",VLOOKUP(C:C,'Chart of Accounts'!$A:$B,2,FALSE))</f>
        <v/>
      </c>
      <c r="AZ60" s="36" t="str">
        <f t="shared" si="12"/>
        <v/>
      </c>
      <c r="BA60" s="54">
        <f t="shared" si="22"/>
        <v>0</v>
      </c>
      <c r="BB60" s="56">
        <f t="shared" si="23"/>
        <v>0</v>
      </c>
    </row>
    <row r="61" spans="1:54" x14ac:dyDescent="0.25">
      <c r="A61" s="1" t="s">
        <v>72</v>
      </c>
      <c r="B61" s="28"/>
      <c r="G61" s="5"/>
      <c r="H61" s="5"/>
      <c r="I61" s="30">
        <f t="shared" si="8"/>
        <v>10500</v>
      </c>
      <c r="K61" s="7">
        <f t="shared" si="19"/>
        <v>0</v>
      </c>
      <c r="M61" s="15">
        <f t="shared" si="20"/>
        <v>0</v>
      </c>
      <c r="N61" s="5"/>
      <c r="O61" s="15">
        <f t="shared" si="24"/>
        <v>0</v>
      </c>
      <c r="P61" s="15">
        <f t="shared" si="24"/>
        <v>0</v>
      </c>
      <c r="R61" s="15">
        <f t="shared" si="25"/>
        <v>0</v>
      </c>
      <c r="S61" s="15"/>
      <c r="T61" s="15">
        <f t="shared" si="25"/>
        <v>0</v>
      </c>
      <c r="U61" s="15">
        <f t="shared" si="25"/>
        <v>0</v>
      </c>
      <c r="V61" s="15">
        <f t="shared" si="25"/>
        <v>0</v>
      </c>
      <c r="W61" s="15"/>
      <c r="X61" s="15">
        <f t="shared" si="26"/>
        <v>0</v>
      </c>
      <c r="Y61" s="15">
        <f t="shared" si="26"/>
        <v>0</v>
      </c>
      <c r="Z61" s="15"/>
      <c r="AA61" s="15">
        <f t="shared" si="27"/>
        <v>0</v>
      </c>
      <c r="AB61" s="15">
        <f t="shared" si="27"/>
        <v>0</v>
      </c>
      <c r="AC61" s="15">
        <f t="shared" si="27"/>
        <v>0</v>
      </c>
      <c r="AD61" s="15">
        <f t="shared" si="27"/>
        <v>0</v>
      </c>
      <c r="AE61" s="15">
        <f t="shared" si="27"/>
        <v>0</v>
      </c>
      <c r="AF61" s="15">
        <f t="shared" si="27"/>
        <v>0</v>
      </c>
      <c r="AG61" s="15">
        <f t="shared" si="27"/>
        <v>0</v>
      </c>
      <c r="AH61" s="15">
        <f t="shared" si="27"/>
        <v>0</v>
      </c>
      <c r="AI61" s="15">
        <f t="shared" si="27"/>
        <v>0</v>
      </c>
      <c r="AJ61" s="15">
        <f t="shared" si="27"/>
        <v>0</v>
      </c>
      <c r="AK61" s="15">
        <f t="shared" si="27"/>
        <v>0</v>
      </c>
      <c r="AL61" s="15">
        <f t="shared" si="27"/>
        <v>0</v>
      </c>
      <c r="AM61" s="15">
        <f t="shared" si="27"/>
        <v>0</v>
      </c>
      <c r="AN61" s="15">
        <f t="shared" si="27"/>
        <v>0</v>
      </c>
      <c r="AO61" s="15">
        <f t="shared" si="27"/>
        <v>0</v>
      </c>
      <c r="AP61" s="15">
        <f t="shared" si="27"/>
        <v>0</v>
      </c>
      <c r="AQ61" s="5"/>
      <c r="AT61" s="52" t="str">
        <f t="shared" si="9"/>
        <v/>
      </c>
      <c r="AU61" s="36" t="str">
        <f t="shared" si="21"/>
        <v/>
      </c>
      <c r="AV61" s="36"/>
      <c r="AW61" s="36" t="str">
        <f t="shared" si="10"/>
        <v/>
      </c>
      <c r="AX61" s="57" t="str">
        <f>IF(C61="","",IF($C$4="","",VLOOKUP($C$4,'Chart of Accounts'!$A:$B,2,FALSE)))</f>
        <v/>
      </c>
      <c r="AY61" s="55" t="str">
        <f>IF(C61="","",VLOOKUP(C:C,'Chart of Accounts'!$A:$B,2,FALSE))</f>
        <v/>
      </c>
      <c r="AZ61" s="36" t="str">
        <f t="shared" si="12"/>
        <v/>
      </c>
      <c r="BA61" s="54">
        <f t="shared" si="22"/>
        <v>0</v>
      </c>
      <c r="BB61" s="56">
        <f t="shared" si="23"/>
        <v>0</v>
      </c>
    </row>
    <row r="62" spans="1:54" x14ac:dyDescent="0.25">
      <c r="A62" s="1" t="s">
        <v>73</v>
      </c>
      <c r="B62" s="28"/>
      <c r="G62" s="5"/>
      <c r="H62" s="5"/>
      <c r="I62" s="30">
        <f t="shared" si="8"/>
        <v>10500</v>
      </c>
      <c r="K62" s="7">
        <f t="shared" si="19"/>
        <v>0</v>
      </c>
      <c r="M62" s="15">
        <f t="shared" si="20"/>
        <v>0</v>
      </c>
      <c r="O62" s="15">
        <f t="shared" si="24"/>
        <v>0</v>
      </c>
      <c r="P62" s="15">
        <f t="shared" si="24"/>
        <v>0</v>
      </c>
      <c r="R62" s="15">
        <f t="shared" si="25"/>
        <v>0</v>
      </c>
      <c r="S62" s="15"/>
      <c r="T62" s="15">
        <f t="shared" si="25"/>
        <v>0</v>
      </c>
      <c r="U62" s="15">
        <f t="shared" si="25"/>
        <v>0</v>
      </c>
      <c r="V62" s="15">
        <f t="shared" si="25"/>
        <v>0</v>
      </c>
      <c r="W62" s="15"/>
      <c r="X62" s="15">
        <f t="shared" si="26"/>
        <v>0</v>
      </c>
      <c r="Y62" s="15">
        <f t="shared" si="26"/>
        <v>0</v>
      </c>
      <c r="Z62" s="15"/>
      <c r="AA62" s="15">
        <f t="shared" ref="AA62:AP76" si="28">IF($C62=AA$9,$G62+$H62,0)</f>
        <v>0</v>
      </c>
      <c r="AB62" s="15">
        <f t="shared" si="28"/>
        <v>0</v>
      </c>
      <c r="AC62" s="15">
        <f t="shared" si="28"/>
        <v>0</v>
      </c>
      <c r="AD62" s="15">
        <f t="shared" si="28"/>
        <v>0</v>
      </c>
      <c r="AE62" s="15">
        <f t="shared" si="28"/>
        <v>0</v>
      </c>
      <c r="AF62" s="15">
        <f t="shared" si="28"/>
        <v>0</v>
      </c>
      <c r="AG62" s="15">
        <f t="shared" si="28"/>
        <v>0</v>
      </c>
      <c r="AH62" s="15">
        <f t="shared" si="28"/>
        <v>0</v>
      </c>
      <c r="AI62" s="15">
        <f t="shared" si="28"/>
        <v>0</v>
      </c>
      <c r="AJ62" s="15">
        <f t="shared" si="28"/>
        <v>0</v>
      </c>
      <c r="AK62" s="15">
        <f t="shared" si="28"/>
        <v>0</v>
      </c>
      <c r="AL62" s="15">
        <f t="shared" si="28"/>
        <v>0</v>
      </c>
      <c r="AM62" s="15">
        <f t="shared" si="28"/>
        <v>0</v>
      </c>
      <c r="AN62" s="15">
        <f t="shared" si="28"/>
        <v>0</v>
      </c>
      <c r="AO62" s="15">
        <f t="shared" si="28"/>
        <v>0</v>
      </c>
      <c r="AP62" s="15">
        <f t="shared" si="28"/>
        <v>0</v>
      </c>
      <c r="AQ62" s="5"/>
      <c r="AT62" s="52" t="str">
        <f t="shared" si="9"/>
        <v/>
      </c>
      <c r="AU62" s="36" t="str">
        <f t="shared" si="21"/>
        <v/>
      </c>
      <c r="AV62" s="36"/>
      <c r="AW62" s="36" t="str">
        <f t="shared" si="10"/>
        <v/>
      </c>
      <c r="AX62" s="57" t="str">
        <f>IF(C62="","",IF($C$4="","",VLOOKUP($C$4,'Chart of Accounts'!$A:$B,2,FALSE)))</f>
        <v/>
      </c>
      <c r="AY62" s="55" t="str">
        <f>IF(C62="","",VLOOKUP(C:C,'Chart of Accounts'!$A:$B,2,FALSE))</f>
        <v/>
      </c>
      <c r="AZ62" s="36" t="str">
        <f t="shared" si="12"/>
        <v/>
      </c>
      <c r="BA62" s="54">
        <f t="shared" si="22"/>
        <v>0</v>
      </c>
      <c r="BB62" s="56">
        <f t="shared" si="23"/>
        <v>0</v>
      </c>
    </row>
    <row r="63" spans="1:54" x14ac:dyDescent="0.25">
      <c r="A63" s="1" t="s">
        <v>74</v>
      </c>
      <c r="B63" s="28"/>
      <c r="G63" s="5"/>
      <c r="H63" s="5"/>
      <c r="I63" s="30">
        <f t="shared" si="8"/>
        <v>10500</v>
      </c>
      <c r="K63" s="7">
        <f t="shared" si="19"/>
        <v>0</v>
      </c>
      <c r="M63" s="15">
        <f t="shared" si="20"/>
        <v>0</v>
      </c>
      <c r="O63" s="15">
        <f t="shared" si="24"/>
        <v>0</v>
      </c>
      <c r="P63" s="15">
        <f t="shared" si="24"/>
        <v>0</v>
      </c>
      <c r="R63" s="15">
        <f t="shared" si="25"/>
        <v>0</v>
      </c>
      <c r="S63" s="15"/>
      <c r="T63" s="15">
        <f t="shared" si="25"/>
        <v>0</v>
      </c>
      <c r="U63" s="15">
        <f t="shared" si="25"/>
        <v>0</v>
      </c>
      <c r="V63" s="15">
        <f t="shared" si="25"/>
        <v>0</v>
      </c>
      <c r="W63" s="15"/>
      <c r="X63" s="15">
        <f t="shared" si="26"/>
        <v>0</v>
      </c>
      <c r="Y63" s="15">
        <f t="shared" si="26"/>
        <v>0</v>
      </c>
      <c r="Z63" s="15"/>
      <c r="AA63" s="15">
        <f t="shared" si="28"/>
        <v>0</v>
      </c>
      <c r="AB63" s="15">
        <f t="shared" si="28"/>
        <v>0</v>
      </c>
      <c r="AC63" s="15">
        <f t="shared" si="28"/>
        <v>0</v>
      </c>
      <c r="AD63" s="15">
        <f t="shared" si="28"/>
        <v>0</v>
      </c>
      <c r="AE63" s="15">
        <f t="shared" si="28"/>
        <v>0</v>
      </c>
      <c r="AF63" s="15">
        <f t="shared" si="28"/>
        <v>0</v>
      </c>
      <c r="AG63" s="15">
        <f t="shared" si="28"/>
        <v>0</v>
      </c>
      <c r="AH63" s="15">
        <f t="shared" si="28"/>
        <v>0</v>
      </c>
      <c r="AI63" s="15">
        <f t="shared" si="28"/>
        <v>0</v>
      </c>
      <c r="AJ63" s="15">
        <f t="shared" si="28"/>
        <v>0</v>
      </c>
      <c r="AK63" s="15">
        <f t="shared" si="28"/>
        <v>0</v>
      </c>
      <c r="AL63" s="15">
        <f t="shared" si="28"/>
        <v>0</v>
      </c>
      <c r="AM63" s="15">
        <f t="shared" si="28"/>
        <v>0</v>
      </c>
      <c r="AN63" s="15">
        <f t="shared" si="28"/>
        <v>0</v>
      </c>
      <c r="AO63" s="15">
        <f t="shared" si="28"/>
        <v>0</v>
      </c>
      <c r="AP63" s="15">
        <f t="shared" si="28"/>
        <v>0</v>
      </c>
      <c r="AQ63" s="5"/>
      <c r="AT63" s="52" t="str">
        <f t="shared" si="9"/>
        <v/>
      </c>
      <c r="AU63" s="36" t="str">
        <f t="shared" si="21"/>
        <v/>
      </c>
      <c r="AV63" s="36"/>
      <c r="AW63" s="36" t="str">
        <f t="shared" si="10"/>
        <v/>
      </c>
      <c r="AX63" s="57" t="str">
        <f>IF(C63="","",IF($C$4="","",VLOOKUP($C$4,'Chart of Accounts'!$A:$B,2,FALSE)))</f>
        <v/>
      </c>
      <c r="AY63" s="55" t="str">
        <f>IF(C63="","",VLOOKUP(C:C,'Chart of Accounts'!$A:$B,2,FALSE))</f>
        <v/>
      </c>
      <c r="AZ63" s="36" t="str">
        <f t="shared" si="12"/>
        <v/>
      </c>
      <c r="BA63" s="54">
        <f t="shared" si="22"/>
        <v>0</v>
      </c>
      <c r="BB63" s="56">
        <f t="shared" si="23"/>
        <v>0</v>
      </c>
    </row>
    <row r="64" spans="1:54" x14ac:dyDescent="0.25">
      <c r="A64" s="1" t="s">
        <v>75</v>
      </c>
      <c r="B64" s="28"/>
      <c r="G64" s="5"/>
      <c r="H64" s="5"/>
      <c r="I64" s="30">
        <f t="shared" si="8"/>
        <v>10500</v>
      </c>
      <c r="K64" s="7">
        <f t="shared" si="19"/>
        <v>0</v>
      </c>
      <c r="M64" s="15">
        <f t="shared" si="20"/>
        <v>0</v>
      </c>
      <c r="O64" s="15">
        <f t="shared" si="24"/>
        <v>0</v>
      </c>
      <c r="P64" s="15">
        <f t="shared" si="24"/>
        <v>0</v>
      </c>
      <c r="R64" s="15">
        <f t="shared" si="25"/>
        <v>0</v>
      </c>
      <c r="S64" s="15"/>
      <c r="T64" s="15">
        <f t="shared" si="25"/>
        <v>0</v>
      </c>
      <c r="U64" s="15">
        <f t="shared" si="25"/>
        <v>0</v>
      </c>
      <c r="V64" s="15">
        <f t="shared" si="25"/>
        <v>0</v>
      </c>
      <c r="W64" s="15"/>
      <c r="X64" s="15">
        <f t="shared" si="26"/>
        <v>0</v>
      </c>
      <c r="Y64" s="15">
        <f t="shared" si="26"/>
        <v>0</v>
      </c>
      <c r="Z64" s="15"/>
      <c r="AA64" s="15">
        <f t="shared" si="28"/>
        <v>0</v>
      </c>
      <c r="AB64" s="15">
        <f t="shared" si="28"/>
        <v>0</v>
      </c>
      <c r="AC64" s="15">
        <f t="shared" si="28"/>
        <v>0</v>
      </c>
      <c r="AD64" s="15">
        <f t="shared" si="28"/>
        <v>0</v>
      </c>
      <c r="AE64" s="15">
        <f t="shared" si="28"/>
        <v>0</v>
      </c>
      <c r="AF64" s="15">
        <f t="shared" si="28"/>
        <v>0</v>
      </c>
      <c r="AG64" s="15">
        <f t="shared" si="28"/>
        <v>0</v>
      </c>
      <c r="AH64" s="15">
        <f t="shared" si="28"/>
        <v>0</v>
      </c>
      <c r="AI64" s="15">
        <f t="shared" si="28"/>
        <v>0</v>
      </c>
      <c r="AJ64" s="15">
        <f t="shared" si="28"/>
        <v>0</v>
      </c>
      <c r="AK64" s="15">
        <f t="shared" si="28"/>
        <v>0</v>
      </c>
      <c r="AL64" s="15">
        <f t="shared" si="28"/>
        <v>0</v>
      </c>
      <c r="AM64" s="15">
        <f t="shared" si="28"/>
        <v>0</v>
      </c>
      <c r="AN64" s="15">
        <f t="shared" si="28"/>
        <v>0</v>
      </c>
      <c r="AO64" s="15">
        <f t="shared" si="28"/>
        <v>0</v>
      </c>
      <c r="AP64" s="15">
        <f t="shared" si="28"/>
        <v>0</v>
      </c>
      <c r="AQ64" s="5"/>
      <c r="AT64" s="52" t="str">
        <f t="shared" si="9"/>
        <v/>
      </c>
      <c r="AU64" s="36" t="str">
        <f t="shared" si="21"/>
        <v/>
      </c>
      <c r="AV64" s="36"/>
      <c r="AW64" s="36" t="str">
        <f t="shared" si="10"/>
        <v/>
      </c>
      <c r="AX64" s="57" t="str">
        <f>IF(C64="","",IF($C$4="","",VLOOKUP($C$4,'Chart of Accounts'!$A:$B,2,FALSE)))</f>
        <v/>
      </c>
      <c r="AY64" s="55" t="str">
        <f>IF(C64="","",VLOOKUP(C:C,'Chart of Accounts'!$A:$B,2,FALSE))</f>
        <v/>
      </c>
      <c r="AZ64" s="36" t="str">
        <f t="shared" si="12"/>
        <v/>
      </c>
      <c r="BA64" s="54">
        <f t="shared" si="22"/>
        <v>0</v>
      </c>
      <c r="BB64" s="56">
        <f t="shared" si="23"/>
        <v>0</v>
      </c>
    </row>
    <row r="65" spans="1:54" x14ac:dyDescent="0.25">
      <c r="A65" s="1" t="s">
        <v>76</v>
      </c>
      <c r="B65" s="28"/>
      <c r="G65" s="5"/>
      <c r="H65" s="5"/>
      <c r="I65" s="30">
        <f t="shared" si="8"/>
        <v>10500</v>
      </c>
      <c r="K65" s="7">
        <f t="shared" si="19"/>
        <v>0</v>
      </c>
      <c r="M65" s="15">
        <f t="shared" si="20"/>
        <v>0</v>
      </c>
      <c r="O65" s="15">
        <f t="shared" si="24"/>
        <v>0</v>
      </c>
      <c r="P65" s="15">
        <f t="shared" si="24"/>
        <v>0</v>
      </c>
      <c r="R65" s="15">
        <f t="shared" si="25"/>
        <v>0</v>
      </c>
      <c r="S65" s="15"/>
      <c r="T65" s="15">
        <f t="shared" si="25"/>
        <v>0</v>
      </c>
      <c r="U65" s="15">
        <f t="shared" si="25"/>
        <v>0</v>
      </c>
      <c r="V65" s="15">
        <f t="shared" si="25"/>
        <v>0</v>
      </c>
      <c r="W65" s="15"/>
      <c r="X65" s="15">
        <f t="shared" si="26"/>
        <v>0</v>
      </c>
      <c r="Y65" s="15">
        <f t="shared" si="26"/>
        <v>0</v>
      </c>
      <c r="Z65" s="15"/>
      <c r="AA65" s="15">
        <f t="shared" si="28"/>
        <v>0</v>
      </c>
      <c r="AB65" s="15">
        <f t="shared" si="28"/>
        <v>0</v>
      </c>
      <c r="AC65" s="15">
        <f t="shared" si="28"/>
        <v>0</v>
      </c>
      <c r="AD65" s="15">
        <f t="shared" si="28"/>
        <v>0</v>
      </c>
      <c r="AE65" s="15">
        <f t="shared" si="28"/>
        <v>0</v>
      </c>
      <c r="AF65" s="15">
        <f t="shared" si="28"/>
        <v>0</v>
      </c>
      <c r="AG65" s="15">
        <f t="shared" si="28"/>
        <v>0</v>
      </c>
      <c r="AH65" s="15">
        <f t="shared" si="28"/>
        <v>0</v>
      </c>
      <c r="AI65" s="15">
        <f t="shared" si="28"/>
        <v>0</v>
      </c>
      <c r="AJ65" s="15">
        <f t="shared" si="28"/>
        <v>0</v>
      </c>
      <c r="AK65" s="15">
        <f t="shared" si="28"/>
        <v>0</v>
      </c>
      <c r="AL65" s="15">
        <f t="shared" si="28"/>
        <v>0</v>
      </c>
      <c r="AM65" s="15">
        <f t="shared" si="28"/>
        <v>0</v>
      </c>
      <c r="AN65" s="15">
        <f t="shared" si="28"/>
        <v>0</v>
      </c>
      <c r="AO65" s="15">
        <f t="shared" si="28"/>
        <v>0</v>
      </c>
      <c r="AP65" s="15">
        <f t="shared" si="28"/>
        <v>0</v>
      </c>
      <c r="AQ65" s="5"/>
      <c r="AT65" s="52" t="str">
        <f t="shared" si="9"/>
        <v/>
      </c>
      <c r="AU65" s="36" t="str">
        <f t="shared" si="21"/>
        <v/>
      </c>
      <c r="AV65" s="36"/>
      <c r="AW65" s="36" t="str">
        <f t="shared" si="10"/>
        <v/>
      </c>
      <c r="AX65" s="57" t="str">
        <f>IF(C65="","",IF($C$4="","",VLOOKUP($C$4,'Chart of Accounts'!$A:$B,2,FALSE)))</f>
        <v/>
      </c>
      <c r="AY65" s="55" t="str">
        <f>IF(C65="","",VLOOKUP(C:C,'Chart of Accounts'!$A:$B,2,FALSE))</f>
        <v/>
      </c>
      <c r="AZ65" s="36" t="str">
        <f t="shared" si="12"/>
        <v/>
      </c>
      <c r="BA65" s="54">
        <f t="shared" si="22"/>
        <v>0</v>
      </c>
      <c r="BB65" s="56">
        <f t="shared" si="23"/>
        <v>0</v>
      </c>
    </row>
    <row r="66" spans="1:54" x14ac:dyDescent="0.25">
      <c r="A66" s="1" t="s">
        <v>77</v>
      </c>
      <c r="B66" s="28"/>
      <c r="G66" s="5"/>
      <c r="H66" s="5"/>
      <c r="I66" s="30">
        <f t="shared" si="8"/>
        <v>10500</v>
      </c>
      <c r="K66" s="7">
        <f t="shared" si="19"/>
        <v>0</v>
      </c>
      <c r="M66" s="15">
        <f t="shared" si="20"/>
        <v>0</v>
      </c>
      <c r="O66" s="15">
        <f t="shared" si="24"/>
        <v>0</v>
      </c>
      <c r="P66" s="15">
        <f t="shared" si="24"/>
        <v>0</v>
      </c>
      <c r="R66" s="15">
        <f t="shared" si="25"/>
        <v>0</v>
      </c>
      <c r="S66" s="15"/>
      <c r="T66" s="15">
        <f t="shared" si="25"/>
        <v>0</v>
      </c>
      <c r="U66" s="15">
        <f t="shared" si="25"/>
        <v>0</v>
      </c>
      <c r="V66" s="15">
        <f t="shared" si="25"/>
        <v>0</v>
      </c>
      <c r="W66" s="15"/>
      <c r="X66" s="15">
        <f t="shared" si="26"/>
        <v>0</v>
      </c>
      <c r="Y66" s="15">
        <f t="shared" si="26"/>
        <v>0</v>
      </c>
      <c r="Z66" s="15"/>
      <c r="AA66" s="15">
        <f t="shared" si="28"/>
        <v>0</v>
      </c>
      <c r="AB66" s="15">
        <f t="shared" si="28"/>
        <v>0</v>
      </c>
      <c r="AC66" s="15">
        <f t="shared" si="28"/>
        <v>0</v>
      </c>
      <c r="AD66" s="15">
        <f t="shared" si="28"/>
        <v>0</v>
      </c>
      <c r="AE66" s="15">
        <f t="shared" si="28"/>
        <v>0</v>
      </c>
      <c r="AF66" s="15">
        <f t="shared" si="28"/>
        <v>0</v>
      </c>
      <c r="AG66" s="15">
        <f t="shared" si="28"/>
        <v>0</v>
      </c>
      <c r="AH66" s="15">
        <f t="shared" si="28"/>
        <v>0</v>
      </c>
      <c r="AI66" s="15">
        <f t="shared" si="28"/>
        <v>0</v>
      </c>
      <c r="AJ66" s="15">
        <f t="shared" si="28"/>
        <v>0</v>
      </c>
      <c r="AK66" s="15">
        <f t="shared" si="28"/>
        <v>0</v>
      </c>
      <c r="AL66" s="15">
        <f t="shared" si="28"/>
        <v>0</v>
      </c>
      <c r="AM66" s="15">
        <f t="shared" si="28"/>
        <v>0</v>
      </c>
      <c r="AN66" s="15">
        <f t="shared" si="28"/>
        <v>0</v>
      </c>
      <c r="AO66" s="15">
        <f t="shared" si="28"/>
        <v>0</v>
      </c>
      <c r="AP66" s="15">
        <f t="shared" si="28"/>
        <v>0</v>
      </c>
      <c r="AQ66" s="5"/>
      <c r="AT66" s="52" t="str">
        <f t="shared" si="9"/>
        <v/>
      </c>
      <c r="AU66" s="36" t="str">
        <f t="shared" si="21"/>
        <v/>
      </c>
      <c r="AV66" s="36"/>
      <c r="AW66" s="36" t="str">
        <f t="shared" si="10"/>
        <v/>
      </c>
      <c r="AX66" s="57" t="str">
        <f>IF(C66="","",IF($C$4="","",VLOOKUP($C$4,'Chart of Accounts'!$A:$B,2,FALSE)))</f>
        <v/>
      </c>
      <c r="AY66" s="55" t="str">
        <f>IF(C66="","",VLOOKUP(C:C,'Chart of Accounts'!$A:$B,2,FALSE))</f>
        <v/>
      </c>
      <c r="AZ66" s="36" t="str">
        <f t="shared" si="12"/>
        <v/>
      </c>
      <c r="BA66" s="54">
        <f t="shared" si="22"/>
        <v>0</v>
      </c>
      <c r="BB66" s="56">
        <f t="shared" si="23"/>
        <v>0</v>
      </c>
    </row>
    <row r="67" spans="1:54" x14ac:dyDescent="0.25">
      <c r="A67" s="1" t="s">
        <v>78</v>
      </c>
      <c r="B67" s="28"/>
      <c r="G67" s="5"/>
      <c r="H67" s="5"/>
      <c r="I67" s="30">
        <f t="shared" si="8"/>
        <v>10500</v>
      </c>
      <c r="K67" s="7">
        <f t="shared" si="19"/>
        <v>0</v>
      </c>
      <c r="M67" s="15">
        <f t="shared" si="20"/>
        <v>0</v>
      </c>
      <c r="O67" s="15">
        <f t="shared" si="24"/>
        <v>0</v>
      </c>
      <c r="P67" s="15">
        <f t="shared" si="24"/>
        <v>0</v>
      </c>
      <c r="R67" s="15">
        <f t="shared" si="25"/>
        <v>0</v>
      </c>
      <c r="S67" s="15"/>
      <c r="T67" s="15">
        <f t="shared" si="25"/>
        <v>0</v>
      </c>
      <c r="U67" s="15">
        <f t="shared" si="25"/>
        <v>0</v>
      </c>
      <c r="V67" s="15">
        <f t="shared" si="25"/>
        <v>0</v>
      </c>
      <c r="W67" s="15"/>
      <c r="X67" s="15">
        <f t="shared" si="26"/>
        <v>0</v>
      </c>
      <c r="Y67" s="15">
        <f t="shared" si="26"/>
        <v>0</v>
      </c>
      <c r="Z67" s="15"/>
      <c r="AA67" s="15">
        <f t="shared" si="28"/>
        <v>0</v>
      </c>
      <c r="AB67" s="15">
        <f t="shared" si="28"/>
        <v>0</v>
      </c>
      <c r="AC67" s="15">
        <f t="shared" si="28"/>
        <v>0</v>
      </c>
      <c r="AD67" s="15">
        <f t="shared" si="28"/>
        <v>0</v>
      </c>
      <c r="AE67" s="15">
        <f t="shared" si="28"/>
        <v>0</v>
      </c>
      <c r="AF67" s="15">
        <f t="shared" si="28"/>
        <v>0</v>
      </c>
      <c r="AG67" s="15">
        <f t="shared" si="28"/>
        <v>0</v>
      </c>
      <c r="AH67" s="15">
        <f t="shared" si="28"/>
        <v>0</v>
      </c>
      <c r="AI67" s="15">
        <f t="shared" si="28"/>
        <v>0</v>
      </c>
      <c r="AJ67" s="15">
        <f t="shared" si="28"/>
        <v>0</v>
      </c>
      <c r="AK67" s="15">
        <f t="shared" si="28"/>
        <v>0</v>
      </c>
      <c r="AL67" s="15">
        <f t="shared" si="28"/>
        <v>0</v>
      </c>
      <c r="AM67" s="15">
        <f t="shared" si="28"/>
        <v>0</v>
      </c>
      <c r="AN67" s="15">
        <f t="shared" si="28"/>
        <v>0</v>
      </c>
      <c r="AO67" s="15">
        <f t="shared" si="28"/>
        <v>0</v>
      </c>
      <c r="AP67" s="15">
        <f t="shared" si="28"/>
        <v>0</v>
      </c>
      <c r="AQ67" s="5"/>
      <c r="AT67" s="52" t="str">
        <f t="shared" si="9"/>
        <v/>
      </c>
      <c r="AU67" s="36" t="str">
        <f t="shared" si="21"/>
        <v/>
      </c>
      <c r="AV67" s="36"/>
      <c r="AW67" s="36" t="str">
        <f t="shared" si="10"/>
        <v/>
      </c>
      <c r="AX67" s="57" t="str">
        <f>IF(C67="","",IF($C$4="","",VLOOKUP($C$4,'Chart of Accounts'!$A:$B,2,FALSE)))</f>
        <v/>
      </c>
      <c r="AY67" s="55" t="str">
        <f>IF(C67="","",VLOOKUP(C:C,'Chart of Accounts'!$A:$B,2,FALSE))</f>
        <v/>
      </c>
      <c r="AZ67" s="36" t="str">
        <f t="shared" si="12"/>
        <v/>
      </c>
      <c r="BA67" s="54">
        <f t="shared" si="22"/>
        <v>0</v>
      </c>
      <c r="BB67" s="56">
        <f t="shared" si="23"/>
        <v>0</v>
      </c>
    </row>
    <row r="68" spans="1:54" x14ac:dyDescent="0.25">
      <c r="A68" s="1" t="s">
        <v>79</v>
      </c>
      <c r="B68" s="28"/>
      <c r="G68" s="5"/>
      <c r="H68" s="5"/>
      <c r="I68" s="30">
        <f t="shared" si="8"/>
        <v>10500</v>
      </c>
      <c r="K68" s="7">
        <f t="shared" si="19"/>
        <v>0</v>
      </c>
      <c r="M68" s="15">
        <f t="shared" si="20"/>
        <v>0</v>
      </c>
      <c r="O68" s="15">
        <f t="shared" si="24"/>
        <v>0</v>
      </c>
      <c r="P68" s="15">
        <f t="shared" si="24"/>
        <v>0</v>
      </c>
      <c r="R68" s="15">
        <f t="shared" si="25"/>
        <v>0</v>
      </c>
      <c r="S68" s="15"/>
      <c r="T68" s="15">
        <f t="shared" si="25"/>
        <v>0</v>
      </c>
      <c r="U68" s="15">
        <f t="shared" si="25"/>
        <v>0</v>
      </c>
      <c r="V68" s="15">
        <f t="shared" si="25"/>
        <v>0</v>
      </c>
      <c r="W68" s="15"/>
      <c r="X68" s="15">
        <f t="shared" si="26"/>
        <v>0</v>
      </c>
      <c r="Y68" s="15">
        <f t="shared" si="26"/>
        <v>0</v>
      </c>
      <c r="Z68" s="15"/>
      <c r="AA68" s="15">
        <f t="shared" si="28"/>
        <v>0</v>
      </c>
      <c r="AB68" s="15">
        <f t="shared" si="28"/>
        <v>0</v>
      </c>
      <c r="AC68" s="15">
        <f t="shared" si="28"/>
        <v>0</v>
      </c>
      <c r="AD68" s="15">
        <f t="shared" si="28"/>
        <v>0</v>
      </c>
      <c r="AE68" s="15">
        <f t="shared" si="28"/>
        <v>0</v>
      </c>
      <c r="AF68" s="15">
        <f t="shared" si="28"/>
        <v>0</v>
      </c>
      <c r="AG68" s="15">
        <f t="shared" si="28"/>
        <v>0</v>
      </c>
      <c r="AH68" s="15">
        <f t="shared" si="28"/>
        <v>0</v>
      </c>
      <c r="AI68" s="15">
        <f t="shared" si="28"/>
        <v>0</v>
      </c>
      <c r="AJ68" s="15">
        <f t="shared" si="28"/>
        <v>0</v>
      </c>
      <c r="AK68" s="15">
        <f t="shared" si="28"/>
        <v>0</v>
      </c>
      <c r="AL68" s="15">
        <f t="shared" si="28"/>
        <v>0</v>
      </c>
      <c r="AM68" s="15">
        <f t="shared" si="28"/>
        <v>0</v>
      </c>
      <c r="AN68" s="15">
        <f t="shared" si="28"/>
        <v>0</v>
      </c>
      <c r="AO68" s="15">
        <f t="shared" si="28"/>
        <v>0</v>
      </c>
      <c r="AP68" s="15">
        <f t="shared" si="28"/>
        <v>0</v>
      </c>
      <c r="AQ68" s="5"/>
      <c r="AT68" s="52" t="str">
        <f t="shared" si="9"/>
        <v/>
      </c>
      <c r="AU68" s="36" t="str">
        <f t="shared" si="21"/>
        <v/>
      </c>
      <c r="AV68" s="36"/>
      <c r="AW68" s="36" t="str">
        <f t="shared" si="10"/>
        <v/>
      </c>
      <c r="AX68" s="57" t="str">
        <f>IF(C68="","",IF($C$4="","",VLOOKUP($C$4,'Chart of Accounts'!$A:$B,2,FALSE)))</f>
        <v/>
      </c>
      <c r="AY68" s="55" t="str">
        <f>IF(C68="","",VLOOKUP(C:C,'Chart of Accounts'!$A:$B,2,FALSE))</f>
        <v/>
      </c>
      <c r="AZ68" s="36" t="str">
        <f t="shared" si="12"/>
        <v/>
      </c>
      <c r="BA68" s="54">
        <f t="shared" si="22"/>
        <v>0</v>
      </c>
      <c r="BB68" s="56">
        <f t="shared" si="23"/>
        <v>0</v>
      </c>
    </row>
    <row r="69" spans="1:54" x14ac:dyDescent="0.25">
      <c r="A69" s="1" t="s">
        <v>80</v>
      </c>
      <c r="B69" s="28"/>
      <c r="G69" s="5"/>
      <c r="H69" s="5"/>
      <c r="I69" s="30">
        <f t="shared" si="8"/>
        <v>10500</v>
      </c>
      <c r="K69" s="7">
        <f t="shared" si="19"/>
        <v>0</v>
      </c>
      <c r="M69" s="15">
        <f t="shared" si="20"/>
        <v>0</v>
      </c>
      <c r="O69" s="15">
        <f t="shared" si="24"/>
        <v>0</v>
      </c>
      <c r="P69" s="15">
        <f t="shared" si="24"/>
        <v>0</v>
      </c>
      <c r="R69" s="15">
        <f t="shared" si="25"/>
        <v>0</v>
      </c>
      <c r="S69" s="15"/>
      <c r="T69" s="15">
        <f t="shared" si="25"/>
        <v>0</v>
      </c>
      <c r="U69" s="15">
        <f t="shared" si="25"/>
        <v>0</v>
      </c>
      <c r="V69" s="15">
        <f t="shared" si="25"/>
        <v>0</v>
      </c>
      <c r="W69" s="15"/>
      <c r="X69" s="15">
        <f t="shared" si="26"/>
        <v>0</v>
      </c>
      <c r="Y69" s="15">
        <f t="shared" si="26"/>
        <v>0</v>
      </c>
      <c r="Z69" s="15"/>
      <c r="AA69" s="15">
        <f t="shared" si="28"/>
        <v>0</v>
      </c>
      <c r="AB69" s="15">
        <f t="shared" si="28"/>
        <v>0</v>
      </c>
      <c r="AC69" s="15">
        <f t="shared" si="28"/>
        <v>0</v>
      </c>
      <c r="AD69" s="15">
        <f t="shared" si="28"/>
        <v>0</v>
      </c>
      <c r="AE69" s="15">
        <f t="shared" si="28"/>
        <v>0</v>
      </c>
      <c r="AF69" s="15">
        <f t="shared" si="28"/>
        <v>0</v>
      </c>
      <c r="AG69" s="15">
        <f t="shared" si="28"/>
        <v>0</v>
      </c>
      <c r="AH69" s="15">
        <f t="shared" si="28"/>
        <v>0</v>
      </c>
      <c r="AI69" s="15">
        <f t="shared" si="28"/>
        <v>0</v>
      </c>
      <c r="AJ69" s="15">
        <f t="shared" si="28"/>
        <v>0</v>
      </c>
      <c r="AK69" s="15">
        <f t="shared" si="28"/>
        <v>0</v>
      </c>
      <c r="AL69" s="15">
        <f t="shared" si="28"/>
        <v>0</v>
      </c>
      <c r="AM69" s="15">
        <f t="shared" si="28"/>
        <v>0</v>
      </c>
      <c r="AN69" s="15">
        <f t="shared" si="28"/>
        <v>0</v>
      </c>
      <c r="AO69" s="15">
        <f t="shared" si="28"/>
        <v>0</v>
      </c>
      <c r="AP69" s="15">
        <f t="shared" si="28"/>
        <v>0</v>
      </c>
      <c r="AQ69" s="5"/>
      <c r="AT69" s="52" t="str">
        <f t="shared" si="9"/>
        <v/>
      </c>
      <c r="AU69" s="36" t="str">
        <f t="shared" si="21"/>
        <v/>
      </c>
      <c r="AV69" s="36"/>
      <c r="AW69" s="36" t="str">
        <f t="shared" si="10"/>
        <v/>
      </c>
      <c r="AX69" s="57" t="str">
        <f>IF(C69="","",IF($C$4="","",VLOOKUP($C$4,'Chart of Accounts'!$A:$B,2,FALSE)))</f>
        <v/>
      </c>
      <c r="AY69" s="55" t="str">
        <f>IF(C69="","",VLOOKUP(C:C,'Chart of Accounts'!$A:$B,2,FALSE))</f>
        <v/>
      </c>
      <c r="AZ69" s="36" t="str">
        <f t="shared" si="12"/>
        <v/>
      </c>
      <c r="BA69" s="54">
        <f t="shared" si="22"/>
        <v>0</v>
      </c>
      <c r="BB69" s="56">
        <f t="shared" si="23"/>
        <v>0</v>
      </c>
    </row>
    <row r="70" spans="1:54" x14ac:dyDescent="0.25">
      <c r="A70" s="1" t="s">
        <v>81</v>
      </c>
      <c r="B70" s="28"/>
      <c r="G70" s="5"/>
      <c r="H70" s="5"/>
      <c r="I70" s="30">
        <f t="shared" si="8"/>
        <v>10500</v>
      </c>
      <c r="K70" s="7">
        <f t="shared" si="19"/>
        <v>0</v>
      </c>
      <c r="M70" s="15">
        <f t="shared" si="20"/>
        <v>0</v>
      </c>
      <c r="O70" s="15">
        <f t="shared" si="24"/>
        <v>0</v>
      </c>
      <c r="P70" s="15">
        <f t="shared" si="24"/>
        <v>0</v>
      </c>
      <c r="R70" s="15">
        <f t="shared" si="25"/>
        <v>0</v>
      </c>
      <c r="S70" s="15"/>
      <c r="T70" s="15">
        <f t="shared" si="25"/>
        <v>0</v>
      </c>
      <c r="U70" s="15">
        <f t="shared" si="25"/>
        <v>0</v>
      </c>
      <c r="V70" s="15">
        <f t="shared" si="25"/>
        <v>0</v>
      </c>
      <c r="W70" s="15"/>
      <c r="X70" s="15">
        <f t="shared" si="26"/>
        <v>0</v>
      </c>
      <c r="Y70" s="15">
        <f t="shared" si="26"/>
        <v>0</v>
      </c>
      <c r="Z70" s="15"/>
      <c r="AA70" s="15">
        <f t="shared" si="28"/>
        <v>0</v>
      </c>
      <c r="AB70" s="15">
        <f t="shared" si="28"/>
        <v>0</v>
      </c>
      <c r="AC70" s="15">
        <f t="shared" si="28"/>
        <v>0</v>
      </c>
      <c r="AD70" s="15">
        <f t="shared" si="28"/>
        <v>0</v>
      </c>
      <c r="AE70" s="15">
        <f t="shared" si="28"/>
        <v>0</v>
      </c>
      <c r="AF70" s="15">
        <f t="shared" si="28"/>
        <v>0</v>
      </c>
      <c r="AG70" s="15">
        <f t="shared" si="28"/>
        <v>0</v>
      </c>
      <c r="AH70" s="15">
        <f t="shared" si="28"/>
        <v>0</v>
      </c>
      <c r="AI70" s="15">
        <f t="shared" si="28"/>
        <v>0</v>
      </c>
      <c r="AJ70" s="15">
        <f t="shared" si="28"/>
        <v>0</v>
      </c>
      <c r="AK70" s="15">
        <f t="shared" si="28"/>
        <v>0</v>
      </c>
      <c r="AL70" s="15">
        <f t="shared" si="28"/>
        <v>0</v>
      </c>
      <c r="AM70" s="15">
        <f t="shared" si="28"/>
        <v>0</v>
      </c>
      <c r="AN70" s="15">
        <f t="shared" si="28"/>
        <v>0</v>
      </c>
      <c r="AO70" s="15">
        <f t="shared" si="28"/>
        <v>0</v>
      </c>
      <c r="AP70" s="15">
        <f t="shared" si="28"/>
        <v>0</v>
      </c>
      <c r="AQ70" s="5"/>
      <c r="AT70" s="52" t="str">
        <f t="shared" si="9"/>
        <v/>
      </c>
      <c r="AU70" s="36" t="str">
        <f t="shared" si="21"/>
        <v/>
      </c>
      <c r="AV70" s="36"/>
      <c r="AW70" s="36" t="str">
        <f t="shared" si="10"/>
        <v/>
      </c>
      <c r="AX70" s="57" t="str">
        <f>IF(C70="","",IF($C$4="","",VLOOKUP($C$4,'Chart of Accounts'!$A:$B,2,FALSE)))</f>
        <v/>
      </c>
      <c r="AY70" s="55" t="str">
        <f>IF(C70="","",VLOOKUP(C:C,'Chart of Accounts'!$A:$B,2,FALSE))</f>
        <v/>
      </c>
      <c r="AZ70" s="36" t="str">
        <f t="shared" si="12"/>
        <v/>
      </c>
      <c r="BA70" s="54">
        <f t="shared" si="22"/>
        <v>0</v>
      </c>
      <c r="BB70" s="56">
        <f t="shared" si="23"/>
        <v>0</v>
      </c>
    </row>
    <row r="71" spans="1:54" x14ac:dyDescent="0.25">
      <c r="A71" s="1" t="s">
        <v>82</v>
      </c>
      <c r="B71" s="28"/>
      <c r="G71" s="5"/>
      <c r="H71" s="5"/>
      <c r="I71" s="30">
        <f t="shared" si="8"/>
        <v>10500</v>
      </c>
      <c r="K71" s="7">
        <f t="shared" si="19"/>
        <v>0</v>
      </c>
      <c r="M71" s="15">
        <f t="shared" si="20"/>
        <v>0</v>
      </c>
      <c r="O71" s="15">
        <f t="shared" si="24"/>
        <v>0</v>
      </c>
      <c r="P71" s="15">
        <f t="shared" si="24"/>
        <v>0</v>
      </c>
      <c r="R71" s="15">
        <f t="shared" si="25"/>
        <v>0</v>
      </c>
      <c r="S71" s="15"/>
      <c r="T71" s="15">
        <f t="shared" si="25"/>
        <v>0</v>
      </c>
      <c r="U71" s="15">
        <f t="shared" si="25"/>
        <v>0</v>
      </c>
      <c r="V71" s="15">
        <f t="shared" si="25"/>
        <v>0</v>
      </c>
      <c r="W71" s="15"/>
      <c r="X71" s="15">
        <f t="shared" si="26"/>
        <v>0</v>
      </c>
      <c r="Y71" s="15">
        <f t="shared" si="26"/>
        <v>0</v>
      </c>
      <c r="Z71" s="15"/>
      <c r="AA71" s="15">
        <f t="shared" si="28"/>
        <v>0</v>
      </c>
      <c r="AB71" s="15">
        <f t="shared" si="28"/>
        <v>0</v>
      </c>
      <c r="AC71" s="15">
        <f t="shared" si="28"/>
        <v>0</v>
      </c>
      <c r="AD71" s="15">
        <f t="shared" si="28"/>
        <v>0</v>
      </c>
      <c r="AE71" s="15">
        <f t="shared" si="28"/>
        <v>0</v>
      </c>
      <c r="AF71" s="15">
        <f t="shared" si="28"/>
        <v>0</v>
      </c>
      <c r="AG71" s="15">
        <f t="shared" si="28"/>
        <v>0</v>
      </c>
      <c r="AH71" s="15">
        <f t="shared" si="28"/>
        <v>0</v>
      </c>
      <c r="AI71" s="15">
        <f t="shared" si="28"/>
        <v>0</v>
      </c>
      <c r="AJ71" s="15">
        <f t="shared" si="28"/>
        <v>0</v>
      </c>
      <c r="AK71" s="15">
        <f t="shared" si="28"/>
        <v>0</v>
      </c>
      <c r="AL71" s="15">
        <f t="shared" si="28"/>
        <v>0</v>
      </c>
      <c r="AM71" s="15">
        <f t="shared" si="28"/>
        <v>0</v>
      </c>
      <c r="AN71" s="15">
        <f t="shared" si="28"/>
        <v>0</v>
      </c>
      <c r="AO71" s="15">
        <f t="shared" si="28"/>
        <v>0</v>
      </c>
      <c r="AP71" s="15">
        <f t="shared" si="28"/>
        <v>0</v>
      </c>
      <c r="AQ71" s="5"/>
      <c r="AT71" s="52" t="str">
        <f t="shared" si="9"/>
        <v/>
      </c>
      <c r="AU71" s="36" t="str">
        <f t="shared" si="21"/>
        <v/>
      </c>
      <c r="AV71" s="36"/>
      <c r="AW71" s="36" t="str">
        <f t="shared" si="10"/>
        <v/>
      </c>
      <c r="AX71" s="57" t="str">
        <f>IF(C71="","",IF($C$4="","",VLOOKUP($C$4,'Chart of Accounts'!$A:$B,2,FALSE)))</f>
        <v/>
      </c>
      <c r="AY71" s="55" t="str">
        <f>IF(C71="","",VLOOKUP(C:C,'Chart of Accounts'!$A:$B,2,FALSE))</f>
        <v/>
      </c>
      <c r="AZ71" s="36" t="str">
        <f t="shared" si="12"/>
        <v/>
      </c>
      <c r="BA71" s="54">
        <f t="shared" si="22"/>
        <v>0</v>
      </c>
      <c r="BB71" s="56">
        <f t="shared" si="23"/>
        <v>0</v>
      </c>
    </row>
    <row r="72" spans="1:54" x14ac:dyDescent="0.25">
      <c r="A72" s="1" t="s">
        <v>83</v>
      </c>
      <c r="B72" s="28"/>
      <c r="G72" s="5"/>
      <c r="H72" s="5"/>
      <c r="I72" s="30">
        <f t="shared" si="8"/>
        <v>10500</v>
      </c>
      <c r="K72" s="7">
        <f t="shared" si="19"/>
        <v>0</v>
      </c>
      <c r="M72" s="15">
        <f t="shared" si="20"/>
        <v>0</v>
      </c>
      <c r="O72" s="15">
        <f t="shared" si="24"/>
        <v>0</v>
      </c>
      <c r="P72" s="15">
        <f t="shared" si="24"/>
        <v>0</v>
      </c>
      <c r="R72" s="15">
        <f t="shared" si="25"/>
        <v>0</v>
      </c>
      <c r="S72" s="15"/>
      <c r="T72" s="15">
        <f t="shared" si="25"/>
        <v>0</v>
      </c>
      <c r="U72" s="15">
        <f t="shared" si="25"/>
        <v>0</v>
      </c>
      <c r="V72" s="15">
        <f t="shared" si="25"/>
        <v>0</v>
      </c>
      <c r="W72" s="15"/>
      <c r="X72" s="15">
        <f t="shared" ref="X72:Y91" si="29">IF($C72=X$9,$G72+$H72,0)</f>
        <v>0</v>
      </c>
      <c r="Y72" s="15">
        <f t="shared" si="29"/>
        <v>0</v>
      </c>
      <c r="Z72" s="15"/>
      <c r="AA72" s="15">
        <f t="shared" si="28"/>
        <v>0</v>
      </c>
      <c r="AB72" s="15">
        <f t="shared" si="28"/>
        <v>0</v>
      </c>
      <c r="AC72" s="15">
        <f t="shared" si="28"/>
        <v>0</v>
      </c>
      <c r="AD72" s="15">
        <f t="shared" si="28"/>
        <v>0</v>
      </c>
      <c r="AE72" s="15">
        <f t="shared" si="28"/>
        <v>0</v>
      </c>
      <c r="AF72" s="15">
        <f t="shared" si="28"/>
        <v>0</v>
      </c>
      <c r="AG72" s="15">
        <f t="shared" si="28"/>
        <v>0</v>
      </c>
      <c r="AH72" s="15">
        <f t="shared" si="28"/>
        <v>0</v>
      </c>
      <c r="AI72" s="15">
        <f t="shared" si="28"/>
        <v>0</v>
      </c>
      <c r="AJ72" s="15">
        <f t="shared" si="28"/>
        <v>0</v>
      </c>
      <c r="AK72" s="15">
        <f t="shared" si="28"/>
        <v>0</v>
      </c>
      <c r="AL72" s="15">
        <f t="shared" si="28"/>
        <v>0</v>
      </c>
      <c r="AM72" s="15">
        <f t="shared" si="28"/>
        <v>0</v>
      </c>
      <c r="AN72" s="15">
        <f t="shared" si="28"/>
        <v>0</v>
      </c>
      <c r="AO72" s="15">
        <f t="shared" si="28"/>
        <v>0</v>
      </c>
      <c r="AP72" s="15">
        <f t="shared" si="28"/>
        <v>0</v>
      </c>
      <c r="AQ72" s="5"/>
      <c r="AT72" s="52" t="str">
        <f t="shared" si="9"/>
        <v/>
      </c>
      <c r="AU72" s="36" t="str">
        <f t="shared" si="21"/>
        <v/>
      </c>
      <c r="AV72" s="36"/>
      <c r="AW72" s="36" t="str">
        <f t="shared" si="10"/>
        <v/>
      </c>
      <c r="AX72" s="57" t="str">
        <f>IF(C72="","",IF($C$4="","",VLOOKUP($C$4,'Chart of Accounts'!$A:$B,2,FALSE)))</f>
        <v/>
      </c>
      <c r="AY72" s="55" t="str">
        <f>IF(C72="","",VLOOKUP(C:C,'Chart of Accounts'!$A:$B,2,FALSE))</f>
        <v/>
      </c>
      <c r="AZ72" s="36" t="str">
        <f t="shared" si="12"/>
        <v/>
      </c>
      <c r="BA72" s="54">
        <f t="shared" si="22"/>
        <v>0</v>
      </c>
      <c r="BB72" s="56">
        <f t="shared" si="23"/>
        <v>0</v>
      </c>
    </row>
    <row r="73" spans="1:54" x14ac:dyDescent="0.25">
      <c r="A73" s="1" t="s">
        <v>84</v>
      </c>
      <c r="B73" s="28"/>
      <c r="G73" s="5"/>
      <c r="H73" s="5"/>
      <c r="I73" s="30">
        <f t="shared" si="8"/>
        <v>10500</v>
      </c>
      <c r="K73" s="7">
        <f t="shared" si="19"/>
        <v>0</v>
      </c>
      <c r="M73" s="15">
        <f t="shared" si="20"/>
        <v>0</v>
      </c>
      <c r="O73" s="15">
        <f t="shared" si="24"/>
        <v>0</v>
      </c>
      <c r="P73" s="15">
        <f t="shared" si="24"/>
        <v>0</v>
      </c>
      <c r="R73" s="15">
        <f t="shared" si="25"/>
        <v>0</v>
      </c>
      <c r="S73" s="15"/>
      <c r="T73" s="15">
        <f t="shared" si="25"/>
        <v>0</v>
      </c>
      <c r="U73" s="15">
        <f t="shared" si="25"/>
        <v>0</v>
      </c>
      <c r="V73" s="15">
        <f t="shared" si="25"/>
        <v>0</v>
      </c>
      <c r="W73" s="15"/>
      <c r="X73" s="15">
        <f t="shared" si="29"/>
        <v>0</v>
      </c>
      <c r="Y73" s="15">
        <f t="shared" si="29"/>
        <v>0</v>
      </c>
      <c r="Z73" s="15"/>
      <c r="AA73" s="15">
        <f t="shared" si="28"/>
        <v>0</v>
      </c>
      <c r="AB73" s="15">
        <f t="shared" si="28"/>
        <v>0</v>
      </c>
      <c r="AC73" s="15">
        <f t="shared" si="28"/>
        <v>0</v>
      </c>
      <c r="AD73" s="15">
        <f t="shared" si="28"/>
        <v>0</v>
      </c>
      <c r="AE73" s="15">
        <f t="shared" si="28"/>
        <v>0</v>
      </c>
      <c r="AF73" s="15">
        <f t="shared" si="28"/>
        <v>0</v>
      </c>
      <c r="AG73" s="15">
        <f t="shared" si="28"/>
        <v>0</v>
      </c>
      <c r="AH73" s="15">
        <f t="shared" si="28"/>
        <v>0</v>
      </c>
      <c r="AI73" s="15">
        <f t="shared" si="28"/>
        <v>0</v>
      </c>
      <c r="AJ73" s="15">
        <f t="shared" si="28"/>
        <v>0</v>
      </c>
      <c r="AK73" s="15">
        <f t="shared" si="28"/>
        <v>0</v>
      </c>
      <c r="AL73" s="15">
        <f t="shared" si="28"/>
        <v>0</v>
      </c>
      <c r="AM73" s="15">
        <f t="shared" si="28"/>
        <v>0</v>
      </c>
      <c r="AN73" s="15">
        <f t="shared" si="28"/>
        <v>0</v>
      </c>
      <c r="AO73" s="15">
        <f t="shared" si="28"/>
        <v>0</v>
      </c>
      <c r="AP73" s="15">
        <f t="shared" si="28"/>
        <v>0</v>
      </c>
      <c r="AQ73" s="5"/>
      <c r="AT73" s="52" t="str">
        <f t="shared" si="9"/>
        <v/>
      </c>
      <c r="AU73" s="36" t="str">
        <f t="shared" si="21"/>
        <v/>
      </c>
      <c r="AV73" s="36"/>
      <c r="AW73" s="36" t="str">
        <f t="shared" si="10"/>
        <v/>
      </c>
      <c r="AX73" s="57" t="str">
        <f>IF(C73="","",IF($C$4="","",VLOOKUP($C$4,'Chart of Accounts'!$A:$B,2,FALSE)))</f>
        <v/>
      </c>
      <c r="AY73" s="55" t="str">
        <f>IF(C73="","",VLOOKUP(C:C,'Chart of Accounts'!$A:$B,2,FALSE))</f>
        <v/>
      </c>
      <c r="AZ73" s="36" t="str">
        <f t="shared" si="12"/>
        <v/>
      </c>
      <c r="BA73" s="54">
        <f t="shared" si="22"/>
        <v>0</v>
      </c>
      <c r="BB73" s="56">
        <f t="shared" si="23"/>
        <v>0</v>
      </c>
    </row>
    <row r="74" spans="1:54" x14ac:dyDescent="0.25">
      <c r="A74" s="1" t="s">
        <v>85</v>
      </c>
      <c r="B74" s="28"/>
      <c r="G74" s="5"/>
      <c r="H74" s="5"/>
      <c r="I74" s="30">
        <f t="shared" si="8"/>
        <v>10500</v>
      </c>
      <c r="K74" s="7">
        <f t="shared" si="19"/>
        <v>0</v>
      </c>
      <c r="M74" s="15">
        <f t="shared" si="20"/>
        <v>0</v>
      </c>
      <c r="O74" s="15">
        <f t="shared" si="24"/>
        <v>0</v>
      </c>
      <c r="P74" s="15">
        <f t="shared" si="24"/>
        <v>0</v>
      </c>
      <c r="R74" s="15">
        <f t="shared" si="25"/>
        <v>0</v>
      </c>
      <c r="S74" s="15"/>
      <c r="T74" s="15">
        <f t="shared" si="25"/>
        <v>0</v>
      </c>
      <c r="U74" s="15">
        <f t="shared" si="25"/>
        <v>0</v>
      </c>
      <c r="V74" s="15">
        <f t="shared" si="25"/>
        <v>0</v>
      </c>
      <c r="W74" s="15"/>
      <c r="X74" s="15">
        <f t="shared" si="29"/>
        <v>0</v>
      </c>
      <c r="Y74" s="15">
        <f t="shared" si="29"/>
        <v>0</v>
      </c>
      <c r="Z74" s="15"/>
      <c r="AA74" s="15">
        <f t="shared" si="28"/>
        <v>0</v>
      </c>
      <c r="AB74" s="15">
        <f t="shared" si="28"/>
        <v>0</v>
      </c>
      <c r="AC74" s="15">
        <f t="shared" si="28"/>
        <v>0</v>
      </c>
      <c r="AD74" s="15">
        <f t="shared" si="28"/>
        <v>0</v>
      </c>
      <c r="AE74" s="15">
        <f t="shared" si="28"/>
        <v>0</v>
      </c>
      <c r="AF74" s="15">
        <f t="shared" si="28"/>
        <v>0</v>
      </c>
      <c r="AG74" s="15">
        <f t="shared" si="28"/>
        <v>0</v>
      </c>
      <c r="AH74" s="15">
        <f t="shared" si="28"/>
        <v>0</v>
      </c>
      <c r="AI74" s="15">
        <f t="shared" si="28"/>
        <v>0</v>
      </c>
      <c r="AJ74" s="15">
        <f t="shared" si="28"/>
        <v>0</v>
      </c>
      <c r="AK74" s="15">
        <f t="shared" si="28"/>
        <v>0</v>
      </c>
      <c r="AL74" s="15">
        <f t="shared" si="28"/>
        <v>0</v>
      </c>
      <c r="AM74" s="15">
        <f t="shared" si="28"/>
        <v>0</v>
      </c>
      <c r="AN74" s="15">
        <f t="shared" si="28"/>
        <v>0</v>
      </c>
      <c r="AO74" s="15">
        <f t="shared" si="28"/>
        <v>0</v>
      </c>
      <c r="AP74" s="15">
        <f t="shared" si="28"/>
        <v>0</v>
      </c>
      <c r="AQ74" s="5"/>
      <c r="AT74" s="52" t="str">
        <f t="shared" si="9"/>
        <v/>
      </c>
      <c r="AU74" s="36" t="str">
        <f t="shared" si="21"/>
        <v/>
      </c>
      <c r="AV74" s="36"/>
      <c r="AW74" s="36" t="str">
        <f t="shared" si="10"/>
        <v/>
      </c>
      <c r="AX74" s="57" t="str">
        <f>IF(C74="","",IF($C$4="","",VLOOKUP($C$4,'Chart of Accounts'!$A:$B,2,FALSE)))</f>
        <v/>
      </c>
      <c r="AY74" s="55" t="str">
        <f>IF(C74="","",VLOOKUP(C:C,'Chart of Accounts'!$A:$B,2,FALSE))</f>
        <v/>
      </c>
      <c r="AZ74" s="36" t="str">
        <f t="shared" si="12"/>
        <v/>
      </c>
      <c r="BA74" s="54">
        <f t="shared" si="22"/>
        <v>0</v>
      </c>
      <c r="BB74" s="56">
        <f t="shared" si="23"/>
        <v>0</v>
      </c>
    </row>
    <row r="75" spans="1:54" x14ac:dyDescent="0.25">
      <c r="A75" s="1" t="s">
        <v>86</v>
      </c>
      <c r="B75" s="28"/>
      <c r="G75" s="5"/>
      <c r="H75" s="5"/>
      <c r="I75" s="30">
        <f t="shared" si="8"/>
        <v>10500</v>
      </c>
      <c r="K75" s="7">
        <f t="shared" si="19"/>
        <v>0</v>
      </c>
      <c r="M75" s="15">
        <f t="shared" si="20"/>
        <v>0</v>
      </c>
      <c r="O75" s="15">
        <f t="shared" si="24"/>
        <v>0</v>
      </c>
      <c r="P75" s="15">
        <f t="shared" si="24"/>
        <v>0</v>
      </c>
      <c r="R75" s="15">
        <f t="shared" si="25"/>
        <v>0</v>
      </c>
      <c r="S75" s="15"/>
      <c r="T75" s="15">
        <f t="shared" si="25"/>
        <v>0</v>
      </c>
      <c r="U75" s="15">
        <f t="shared" si="25"/>
        <v>0</v>
      </c>
      <c r="V75" s="15">
        <f t="shared" si="25"/>
        <v>0</v>
      </c>
      <c r="W75" s="15"/>
      <c r="X75" s="15">
        <f t="shared" si="29"/>
        <v>0</v>
      </c>
      <c r="Y75" s="15">
        <f t="shared" si="29"/>
        <v>0</v>
      </c>
      <c r="Z75" s="15"/>
      <c r="AA75" s="15">
        <f t="shared" si="28"/>
        <v>0</v>
      </c>
      <c r="AB75" s="15">
        <f t="shared" si="28"/>
        <v>0</v>
      </c>
      <c r="AC75" s="15">
        <f t="shared" si="28"/>
        <v>0</v>
      </c>
      <c r="AD75" s="15">
        <f t="shared" si="28"/>
        <v>0</v>
      </c>
      <c r="AE75" s="15">
        <f t="shared" si="28"/>
        <v>0</v>
      </c>
      <c r="AF75" s="15">
        <f t="shared" si="28"/>
        <v>0</v>
      </c>
      <c r="AG75" s="15">
        <f t="shared" si="28"/>
        <v>0</v>
      </c>
      <c r="AH75" s="15">
        <f t="shared" si="28"/>
        <v>0</v>
      </c>
      <c r="AI75" s="15">
        <f t="shared" si="28"/>
        <v>0</v>
      </c>
      <c r="AJ75" s="15">
        <f t="shared" si="28"/>
        <v>0</v>
      </c>
      <c r="AK75" s="15">
        <f t="shared" si="28"/>
        <v>0</v>
      </c>
      <c r="AL75" s="15">
        <f t="shared" si="28"/>
        <v>0</v>
      </c>
      <c r="AM75" s="15">
        <f t="shared" si="28"/>
        <v>0</v>
      </c>
      <c r="AN75" s="15">
        <f t="shared" si="28"/>
        <v>0</v>
      </c>
      <c r="AO75" s="15">
        <f t="shared" si="28"/>
        <v>0</v>
      </c>
      <c r="AP75" s="15">
        <f t="shared" si="28"/>
        <v>0</v>
      </c>
      <c r="AQ75" s="5"/>
      <c r="AT75" s="52" t="str">
        <f t="shared" si="9"/>
        <v/>
      </c>
      <c r="AU75" s="36" t="str">
        <f t="shared" si="21"/>
        <v/>
      </c>
      <c r="AV75" s="36"/>
      <c r="AW75" s="36" t="str">
        <f t="shared" si="10"/>
        <v/>
      </c>
      <c r="AX75" s="57" t="str">
        <f>IF(C75="","",IF($C$4="","",VLOOKUP($C$4,'Chart of Accounts'!$A:$B,2,FALSE)))</f>
        <v/>
      </c>
      <c r="AY75" s="55" t="str">
        <f>IF(C75="","",VLOOKUP(C:C,'Chart of Accounts'!$A:$B,2,FALSE))</f>
        <v/>
      </c>
      <c r="AZ75" s="36" t="str">
        <f t="shared" si="12"/>
        <v/>
      </c>
      <c r="BA75" s="54">
        <f t="shared" si="22"/>
        <v>0</v>
      </c>
      <c r="BB75" s="56">
        <f t="shared" si="23"/>
        <v>0</v>
      </c>
    </row>
    <row r="76" spans="1:54" x14ac:dyDescent="0.25">
      <c r="A76" s="1" t="s">
        <v>87</v>
      </c>
      <c r="B76" s="28"/>
      <c r="G76" s="5"/>
      <c r="H76" s="5"/>
      <c r="I76" s="30">
        <f t="shared" si="8"/>
        <v>10500</v>
      </c>
      <c r="K76" s="7">
        <f t="shared" ref="K76:K102" si="30">SUM(G76:H76)-SUM(L76:AQ76)</f>
        <v>0</v>
      </c>
      <c r="M76" s="15">
        <f t="shared" ref="M76:M102" si="31">IF($C76=M$9,$G76+$H76,0)</f>
        <v>0</v>
      </c>
      <c r="O76" s="15">
        <f t="shared" si="24"/>
        <v>0</v>
      </c>
      <c r="P76" s="15">
        <f t="shared" si="24"/>
        <v>0</v>
      </c>
      <c r="R76" s="15">
        <f>IF($C76=R$9,$G76+$H76,0)</f>
        <v>0</v>
      </c>
      <c r="S76" s="15"/>
      <c r="T76" s="15">
        <f t="shared" ref="T76:V102" si="32">IF($C76=T$9,$G76+$H76,0)</f>
        <v>0</v>
      </c>
      <c r="U76" s="15">
        <f t="shared" si="32"/>
        <v>0</v>
      </c>
      <c r="V76" s="15">
        <f t="shared" si="32"/>
        <v>0</v>
      </c>
      <c r="W76" s="15"/>
      <c r="X76" s="15">
        <f t="shared" si="29"/>
        <v>0</v>
      </c>
      <c r="Y76" s="15">
        <f t="shared" si="29"/>
        <v>0</v>
      </c>
      <c r="Z76" s="15"/>
      <c r="AA76" s="15">
        <f t="shared" si="28"/>
        <v>0</v>
      </c>
      <c r="AB76" s="15">
        <f t="shared" si="28"/>
        <v>0</v>
      </c>
      <c r="AC76" s="15">
        <f t="shared" si="28"/>
        <v>0</v>
      </c>
      <c r="AD76" s="15">
        <f t="shared" si="28"/>
        <v>0</v>
      </c>
      <c r="AE76" s="15">
        <f t="shared" si="28"/>
        <v>0</v>
      </c>
      <c r="AF76" s="15">
        <f t="shared" si="28"/>
        <v>0</v>
      </c>
      <c r="AG76" s="15">
        <f t="shared" si="28"/>
        <v>0</v>
      </c>
      <c r="AH76" s="15">
        <f t="shared" si="28"/>
        <v>0</v>
      </c>
      <c r="AI76" s="15">
        <f t="shared" si="28"/>
        <v>0</v>
      </c>
      <c r="AJ76" s="15">
        <f t="shared" si="28"/>
        <v>0</v>
      </c>
      <c r="AK76" s="15">
        <f t="shared" si="28"/>
        <v>0</v>
      </c>
      <c r="AL76" s="15">
        <f t="shared" si="28"/>
        <v>0</v>
      </c>
      <c r="AM76" s="15">
        <f t="shared" si="28"/>
        <v>0</v>
      </c>
      <c r="AN76" s="15">
        <f t="shared" si="28"/>
        <v>0</v>
      </c>
      <c r="AO76" s="15">
        <f t="shared" si="28"/>
        <v>0</v>
      </c>
      <c r="AP76" s="15">
        <f t="shared" si="28"/>
        <v>0</v>
      </c>
      <c r="AQ76" s="5"/>
      <c r="AT76" s="52" t="str">
        <f t="shared" si="9"/>
        <v/>
      </c>
      <c r="AU76" s="36" t="str">
        <f t="shared" ref="AU76:AU102" si="33">IF(C76="","",$C$5&amp;"-"&amp;A76)</f>
        <v/>
      </c>
      <c r="AV76" s="36"/>
      <c r="AW76" s="36" t="str">
        <f t="shared" si="10"/>
        <v/>
      </c>
      <c r="AX76" s="57" t="str">
        <f>IF(C76="","",IF($C$4="","",VLOOKUP($C$4,'Chart of Accounts'!$A:$B,2,FALSE)))</f>
        <v/>
      </c>
      <c r="AY76" s="55" t="str">
        <f>IF(C76="","",VLOOKUP(C:C,'Chart of Accounts'!$A:$B,2,FALSE))</f>
        <v/>
      </c>
      <c r="AZ76" s="36" t="str">
        <f t="shared" si="12"/>
        <v/>
      </c>
      <c r="BA76" s="54">
        <f t="shared" ref="BA76:BA102" si="34">SUM(G76:H76)</f>
        <v>0</v>
      </c>
      <c r="BB76" s="56">
        <f t="shared" ref="BB76:BB102" si="35">-SUM(G76:H76)</f>
        <v>0</v>
      </c>
    </row>
    <row r="77" spans="1:54" x14ac:dyDescent="0.25">
      <c r="A77" s="1" t="s">
        <v>88</v>
      </c>
      <c r="B77" s="28"/>
      <c r="G77" s="5"/>
      <c r="H77" s="5"/>
      <c r="I77" s="30">
        <f t="shared" ref="I77:I102" si="36">I76+G77+H77</f>
        <v>10500</v>
      </c>
      <c r="K77" s="7">
        <f t="shared" si="30"/>
        <v>0</v>
      </c>
      <c r="M77" s="15">
        <f t="shared" si="31"/>
        <v>0</v>
      </c>
      <c r="O77" s="15">
        <f t="shared" ref="O77:P102" si="37">IF($C77=O$9,$G77+$H77,0)</f>
        <v>0</v>
      </c>
      <c r="P77" s="15">
        <f t="shared" si="37"/>
        <v>0</v>
      </c>
      <c r="R77" s="15">
        <f t="shared" ref="R77:R102" si="38">IF($C77=R$9,$G77+$H77,0)</f>
        <v>0</v>
      </c>
      <c r="S77" s="15"/>
      <c r="T77" s="15">
        <f t="shared" si="32"/>
        <v>0</v>
      </c>
      <c r="U77" s="15">
        <f t="shared" si="32"/>
        <v>0</v>
      </c>
      <c r="V77" s="15">
        <f t="shared" si="32"/>
        <v>0</v>
      </c>
      <c r="W77" s="15"/>
      <c r="X77" s="15">
        <f t="shared" si="29"/>
        <v>0</v>
      </c>
      <c r="Y77" s="15">
        <f t="shared" si="29"/>
        <v>0</v>
      </c>
      <c r="Z77" s="15"/>
      <c r="AA77" s="15">
        <f t="shared" ref="AA77:AG77" si="39">IF($C77=AA$9,$G77+$H77,0)</f>
        <v>0</v>
      </c>
      <c r="AB77" s="15">
        <f t="shared" si="39"/>
        <v>0</v>
      </c>
      <c r="AC77" s="15">
        <f t="shared" si="39"/>
        <v>0</v>
      </c>
      <c r="AD77" s="15">
        <f t="shared" si="39"/>
        <v>0</v>
      </c>
      <c r="AE77" s="15">
        <f t="shared" si="39"/>
        <v>0</v>
      </c>
      <c r="AF77" s="15">
        <f t="shared" si="39"/>
        <v>0</v>
      </c>
      <c r="AG77" s="15">
        <f t="shared" si="39"/>
        <v>0</v>
      </c>
      <c r="AH77" s="15">
        <f t="shared" ref="AH77:AP91" si="40">IF($C77=AH$9,$G77+$H77,0)</f>
        <v>0</v>
      </c>
      <c r="AI77" s="15">
        <f t="shared" si="40"/>
        <v>0</v>
      </c>
      <c r="AJ77" s="15">
        <f t="shared" si="40"/>
        <v>0</v>
      </c>
      <c r="AK77" s="15">
        <f t="shared" si="40"/>
        <v>0</v>
      </c>
      <c r="AL77" s="15">
        <f t="shared" si="40"/>
        <v>0</v>
      </c>
      <c r="AM77" s="15">
        <f t="shared" si="40"/>
        <v>0</v>
      </c>
      <c r="AN77" s="15">
        <f t="shared" si="40"/>
        <v>0</v>
      </c>
      <c r="AO77" s="15">
        <f t="shared" si="40"/>
        <v>0</v>
      </c>
      <c r="AP77" s="15">
        <f t="shared" si="40"/>
        <v>0</v>
      </c>
      <c r="AQ77" s="5"/>
      <c r="AT77" s="52" t="str">
        <f t="shared" ref="AT77:AT102" si="41">IF(B77="","",B77)</f>
        <v/>
      </c>
      <c r="AU77" s="36" t="str">
        <f t="shared" si="33"/>
        <v/>
      </c>
      <c r="AV77" s="36"/>
      <c r="AW77" s="36" t="str">
        <f t="shared" ref="AW77:AW102" si="42">IF(AU77="","",COUNTIF(AU:AU,AU77)*2)</f>
        <v/>
      </c>
      <c r="AX77" s="57" t="str">
        <f>IF(C77="","",IF($C$4="","",VLOOKUP($C$4,'Chart of Accounts'!$A:$B,2,FALSE)))</f>
        <v/>
      </c>
      <c r="AY77" s="55" t="str">
        <f>IF(C77="","",VLOOKUP(C:C,'Chart of Accounts'!$A:$B,2,FALSE))</f>
        <v/>
      </c>
      <c r="AZ77" s="36" t="str">
        <f t="shared" ref="AZ77:AZ102" si="43">IF(C77="","",C77&amp;":"&amp;D77&amp;IF(E77="",""," - "&amp;E77)&amp;IF(F77="",""," - "&amp;F77))</f>
        <v/>
      </c>
      <c r="BA77" s="54">
        <f t="shared" si="34"/>
        <v>0</v>
      </c>
      <c r="BB77" s="56">
        <f t="shared" si="35"/>
        <v>0</v>
      </c>
    </row>
    <row r="78" spans="1:54" x14ac:dyDescent="0.25">
      <c r="A78" s="1" t="s">
        <v>89</v>
      </c>
      <c r="B78" s="28"/>
      <c r="G78" s="5"/>
      <c r="H78" s="5"/>
      <c r="I78" s="30">
        <f t="shared" si="36"/>
        <v>10500</v>
      </c>
      <c r="K78" s="7">
        <f t="shared" si="30"/>
        <v>0</v>
      </c>
      <c r="M78" s="15">
        <f t="shared" si="31"/>
        <v>0</v>
      </c>
      <c r="O78" s="15">
        <f t="shared" si="37"/>
        <v>0</v>
      </c>
      <c r="P78" s="15">
        <f t="shared" si="37"/>
        <v>0</v>
      </c>
      <c r="R78" s="15">
        <f t="shared" si="38"/>
        <v>0</v>
      </c>
      <c r="S78" s="15"/>
      <c r="T78" s="15">
        <f t="shared" si="32"/>
        <v>0</v>
      </c>
      <c r="U78" s="15">
        <f t="shared" si="32"/>
        <v>0</v>
      </c>
      <c r="V78" s="15">
        <f t="shared" si="32"/>
        <v>0</v>
      </c>
      <c r="W78" s="15"/>
      <c r="X78" s="15">
        <f t="shared" si="29"/>
        <v>0</v>
      </c>
      <c r="Y78" s="15">
        <f t="shared" si="29"/>
        <v>0</v>
      </c>
      <c r="Z78" s="15"/>
      <c r="AA78" s="15">
        <f t="shared" ref="AA78:AG91" si="44">IF($C78=AA$9,$G78+$H78,0)</f>
        <v>0</v>
      </c>
      <c r="AB78" s="15">
        <f t="shared" si="44"/>
        <v>0</v>
      </c>
      <c r="AC78" s="15">
        <f t="shared" si="44"/>
        <v>0</v>
      </c>
      <c r="AD78" s="15">
        <f t="shared" si="44"/>
        <v>0</v>
      </c>
      <c r="AE78" s="15">
        <f t="shared" si="44"/>
        <v>0</v>
      </c>
      <c r="AF78" s="15">
        <f t="shared" si="44"/>
        <v>0</v>
      </c>
      <c r="AG78" s="15">
        <f t="shared" si="44"/>
        <v>0</v>
      </c>
      <c r="AH78" s="15">
        <f t="shared" si="40"/>
        <v>0</v>
      </c>
      <c r="AI78" s="15">
        <f t="shared" si="40"/>
        <v>0</v>
      </c>
      <c r="AJ78" s="15">
        <f t="shared" si="40"/>
        <v>0</v>
      </c>
      <c r="AK78" s="15">
        <f t="shared" si="40"/>
        <v>0</v>
      </c>
      <c r="AL78" s="15">
        <f t="shared" si="40"/>
        <v>0</v>
      </c>
      <c r="AM78" s="15">
        <f t="shared" si="40"/>
        <v>0</v>
      </c>
      <c r="AN78" s="15">
        <f t="shared" si="40"/>
        <v>0</v>
      </c>
      <c r="AO78" s="15">
        <f t="shared" si="40"/>
        <v>0</v>
      </c>
      <c r="AP78" s="15">
        <f t="shared" si="40"/>
        <v>0</v>
      </c>
      <c r="AQ78" s="5"/>
      <c r="AT78" s="52" t="str">
        <f t="shared" si="41"/>
        <v/>
      </c>
      <c r="AU78" s="36" t="str">
        <f t="shared" si="33"/>
        <v/>
      </c>
      <c r="AV78" s="36"/>
      <c r="AW78" s="36" t="str">
        <f t="shared" si="42"/>
        <v/>
      </c>
      <c r="AX78" s="57" t="str">
        <f>IF(C78="","",IF($C$4="","",VLOOKUP($C$4,'Chart of Accounts'!$A:$B,2,FALSE)))</f>
        <v/>
      </c>
      <c r="AY78" s="55" t="str">
        <f>IF(C78="","",VLOOKUP(C:C,'Chart of Accounts'!$A:$B,2,FALSE))</f>
        <v/>
      </c>
      <c r="AZ78" s="36" t="str">
        <f t="shared" si="43"/>
        <v/>
      </c>
      <c r="BA78" s="54">
        <f t="shared" si="34"/>
        <v>0</v>
      </c>
      <c r="BB78" s="56">
        <f t="shared" si="35"/>
        <v>0</v>
      </c>
    </row>
    <row r="79" spans="1:54" x14ac:dyDescent="0.25">
      <c r="A79" s="1" t="s">
        <v>90</v>
      </c>
      <c r="B79" s="28"/>
      <c r="G79" s="5"/>
      <c r="H79" s="5"/>
      <c r="I79" s="30">
        <f t="shared" si="36"/>
        <v>10500</v>
      </c>
      <c r="K79" s="7">
        <f t="shared" si="30"/>
        <v>0</v>
      </c>
      <c r="M79" s="15">
        <f t="shared" si="31"/>
        <v>0</v>
      </c>
      <c r="O79" s="15">
        <f t="shared" si="37"/>
        <v>0</v>
      </c>
      <c r="P79" s="15">
        <f t="shared" si="37"/>
        <v>0</v>
      </c>
      <c r="R79" s="15">
        <f t="shared" si="38"/>
        <v>0</v>
      </c>
      <c r="S79" s="15"/>
      <c r="T79" s="15">
        <f t="shared" si="32"/>
        <v>0</v>
      </c>
      <c r="U79" s="15">
        <f t="shared" si="32"/>
        <v>0</v>
      </c>
      <c r="V79" s="15">
        <f t="shared" si="32"/>
        <v>0</v>
      </c>
      <c r="W79" s="15"/>
      <c r="X79" s="15">
        <f t="shared" si="29"/>
        <v>0</v>
      </c>
      <c r="Y79" s="15">
        <f t="shared" si="29"/>
        <v>0</v>
      </c>
      <c r="Z79" s="15"/>
      <c r="AA79" s="15">
        <f t="shared" si="44"/>
        <v>0</v>
      </c>
      <c r="AB79" s="15">
        <f t="shared" si="44"/>
        <v>0</v>
      </c>
      <c r="AC79" s="15">
        <f t="shared" si="44"/>
        <v>0</v>
      </c>
      <c r="AD79" s="15">
        <f t="shared" si="44"/>
        <v>0</v>
      </c>
      <c r="AE79" s="15">
        <f t="shared" si="44"/>
        <v>0</v>
      </c>
      <c r="AF79" s="15">
        <f t="shared" si="44"/>
        <v>0</v>
      </c>
      <c r="AG79" s="15">
        <f t="shared" si="44"/>
        <v>0</v>
      </c>
      <c r="AH79" s="15">
        <f t="shared" si="40"/>
        <v>0</v>
      </c>
      <c r="AI79" s="15">
        <f t="shared" si="40"/>
        <v>0</v>
      </c>
      <c r="AJ79" s="15">
        <f t="shared" si="40"/>
        <v>0</v>
      </c>
      <c r="AK79" s="15">
        <f t="shared" si="40"/>
        <v>0</v>
      </c>
      <c r="AL79" s="15">
        <f t="shared" si="40"/>
        <v>0</v>
      </c>
      <c r="AM79" s="15">
        <f t="shared" si="40"/>
        <v>0</v>
      </c>
      <c r="AN79" s="15">
        <f t="shared" si="40"/>
        <v>0</v>
      </c>
      <c r="AO79" s="15">
        <f t="shared" si="40"/>
        <v>0</v>
      </c>
      <c r="AP79" s="15">
        <f t="shared" si="40"/>
        <v>0</v>
      </c>
      <c r="AQ79" s="5"/>
      <c r="AT79" s="52" t="str">
        <f t="shared" si="41"/>
        <v/>
      </c>
      <c r="AU79" s="36" t="str">
        <f t="shared" si="33"/>
        <v/>
      </c>
      <c r="AV79" s="36"/>
      <c r="AW79" s="36" t="str">
        <f t="shared" si="42"/>
        <v/>
      </c>
      <c r="AX79" s="57" t="str">
        <f>IF(C79="","",IF($C$4="","",VLOOKUP($C$4,'Chart of Accounts'!$A:$B,2,FALSE)))</f>
        <v/>
      </c>
      <c r="AY79" s="55" t="str">
        <f>IF(C79="","",VLOOKUP(C:C,'Chart of Accounts'!$A:$B,2,FALSE))</f>
        <v/>
      </c>
      <c r="AZ79" s="36" t="str">
        <f t="shared" si="43"/>
        <v/>
      </c>
      <c r="BA79" s="54">
        <f t="shared" si="34"/>
        <v>0</v>
      </c>
      <c r="BB79" s="56">
        <f t="shared" si="35"/>
        <v>0</v>
      </c>
    </row>
    <row r="80" spans="1:54" x14ac:dyDescent="0.25">
      <c r="A80" s="1" t="s">
        <v>91</v>
      </c>
      <c r="B80" s="28"/>
      <c r="G80" s="5"/>
      <c r="H80" s="5"/>
      <c r="I80" s="30">
        <f t="shared" si="36"/>
        <v>10500</v>
      </c>
      <c r="K80" s="7">
        <f t="shared" si="30"/>
        <v>0</v>
      </c>
      <c r="M80" s="15">
        <f t="shared" si="31"/>
        <v>0</v>
      </c>
      <c r="O80" s="15">
        <f t="shared" si="37"/>
        <v>0</v>
      </c>
      <c r="P80" s="15">
        <f t="shared" si="37"/>
        <v>0</v>
      </c>
      <c r="R80" s="15">
        <f t="shared" si="38"/>
        <v>0</v>
      </c>
      <c r="S80" s="15"/>
      <c r="T80" s="15">
        <f t="shared" si="32"/>
        <v>0</v>
      </c>
      <c r="U80" s="15">
        <f t="shared" si="32"/>
        <v>0</v>
      </c>
      <c r="V80" s="15">
        <f t="shared" si="32"/>
        <v>0</v>
      </c>
      <c r="W80" s="15"/>
      <c r="X80" s="15">
        <f t="shared" si="29"/>
        <v>0</v>
      </c>
      <c r="Y80" s="15">
        <f t="shared" si="29"/>
        <v>0</v>
      </c>
      <c r="Z80" s="15"/>
      <c r="AA80" s="15">
        <f t="shared" si="44"/>
        <v>0</v>
      </c>
      <c r="AB80" s="15">
        <f t="shared" si="44"/>
        <v>0</v>
      </c>
      <c r="AC80" s="15">
        <f t="shared" si="44"/>
        <v>0</v>
      </c>
      <c r="AD80" s="15">
        <f t="shared" si="44"/>
        <v>0</v>
      </c>
      <c r="AE80" s="15">
        <f t="shared" si="44"/>
        <v>0</v>
      </c>
      <c r="AF80" s="15">
        <f t="shared" si="44"/>
        <v>0</v>
      </c>
      <c r="AG80" s="15">
        <f t="shared" si="44"/>
        <v>0</v>
      </c>
      <c r="AH80" s="15">
        <f t="shared" si="40"/>
        <v>0</v>
      </c>
      <c r="AI80" s="15">
        <f t="shared" si="40"/>
        <v>0</v>
      </c>
      <c r="AJ80" s="15">
        <f t="shared" si="40"/>
        <v>0</v>
      </c>
      <c r="AK80" s="15">
        <f t="shared" si="40"/>
        <v>0</v>
      </c>
      <c r="AL80" s="15">
        <f t="shared" si="40"/>
        <v>0</v>
      </c>
      <c r="AM80" s="15">
        <f t="shared" si="40"/>
        <v>0</v>
      </c>
      <c r="AN80" s="15">
        <f t="shared" si="40"/>
        <v>0</v>
      </c>
      <c r="AO80" s="15">
        <f t="shared" si="40"/>
        <v>0</v>
      </c>
      <c r="AP80" s="15">
        <f t="shared" si="40"/>
        <v>0</v>
      </c>
      <c r="AQ80" s="5"/>
      <c r="AT80" s="52" t="str">
        <f t="shared" si="41"/>
        <v/>
      </c>
      <c r="AU80" s="36" t="str">
        <f t="shared" si="33"/>
        <v/>
      </c>
      <c r="AV80" s="36"/>
      <c r="AW80" s="36" t="str">
        <f t="shared" si="42"/>
        <v/>
      </c>
      <c r="AX80" s="57" t="str">
        <f>IF(C80="","",IF($C$4="","",VLOOKUP($C$4,'Chart of Accounts'!$A:$B,2,FALSE)))</f>
        <v/>
      </c>
      <c r="AY80" s="55" t="str">
        <f>IF(C80="","",VLOOKUP(C:C,'Chart of Accounts'!$A:$B,2,FALSE))</f>
        <v/>
      </c>
      <c r="AZ80" s="36" t="str">
        <f t="shared" si="43"/>
        <v/>
      </c>
      <c r="BA80" s="54">
        <f t="shared" si="34"/>
        <v>0</v>
      </c>
      <c r="BB80" s="56">
        <f t="shared" si="35"/>
        <v>0</v>
      </c>
    </row>
    <row r="81" spans="1:54" x14ac:dyDescent="0.25">
      <c r="A81" s="1" t="s">
        <v>92</v>
      </c>
      <c r="B81" s="28"/>
      <c r="G81" s="5"/>
      <c r="H81" s="5"/>
      <c r="I81" s="30">
        <f t="shared" si="36"/>
        <v>10500</v>
      </c>
      <c r="K81" s="7">
        <f t="shared" si="30"/>
        <v>0</v>
      </c>
      <c r="M81" s="15">
        <f t="shared" si="31"/>
        <v>0</v>
      </c>
      <c r="O81" s="15">
        <f t="shared" si="37"/>
        <v>0</v>
      </c>
      <c r="P81" s="15">
        <f t="shared" si="37"/>
        <v>0</v>
      </c>
      <c r="R81" s="15">
        <f t="shared" si="38"/>
        <v>0</v>
      </c>
      <c r="S81" s="15"/>
      <c r="T81" s="15">
        <f t="shared" si="32"/>
        <v>0</v>
      </c>
      <c r="U81" s="15">
        <f t="shared" si="32"/>
        <v>0</v>
      </c>
      <c r="V81" s="15">
        <f t="shared" si="32"/>
        <v>0</v>
      </c>
      <c r="W81" s="15"/>
      <c r="X81" s="15">
        <f t="shared" si="29"/>
        <v>0</v>
      </c>
      <c r="Y81" s="15">
        <f t="shared" si="29"/>
        <v>0</v>
      </c>
      <c r="Z81" s="15"/>
      <c r="AA81" s="15">
        <f t="shared" si="44"/>
        <v>0</v>
      </c>
      <c r="AB81" s="15">
        <f t="shared" si="44"/>
        <v>0</v>
      </c>
      <c r="AC81" s="15">
        <f t="shared" si="44"/>
        <v>0</v>
      </c>
      <c r="AD81" s="15">
        <f t="shared" si="44"/>
        <v>0</v>
      </c>
      <c r="AE81" s="15">
        <f t="shared" si="44"/>
        <v>0</v>
      </c>
      <c r="AF81" s="15">
        <f t="shared" si="44"/>
        <v>0</v>
      </c>
      <c r="AG81" s="15">
        <f t="shared" si="44"/>
        <v>0</v>
      </c>
      <c r="AH81" s="15">
        <f t="shared" si="40"/>
        <v>0</v>
      </c>
      <c r="AI81" s="15">
        <f t="shared" si="40"/>
        <v>0</v>
      </c>
      <c r="AJ81" s="15">
        <f t="shared" si="40"/>
        <v>0</v>
      </c>
      <c r="AK81" s="15">
        <f t="shared" si="40"/>
        <v>0</v>
      </c>
      <c r="AL81" s="15">
        <f t="shared" si="40"/>
        <v>0</v>
      </c>
      <c r="AM81" s="15">
        <f t="shared" si="40"/>
        <v>0</v>
      </c>
      <c r="AN81" s="15">
        <f t="shared" si="40"/>
        <v>0</v>
      </c>
      <c r="AO81" s="15">
        <f t="shared" si="40"/>
        <v>0</v>
      </c>
      <c r="AP81" s="15">
        <f t="shared" si="40"/>
        <v>0</v>
      </c>
      <c r="AQ81" s="5"/>
      <c r="AT81" s="52" t="str">
        <f t="shared" si="41"/>
        <v/>
      </c>
      <c r="AU81" s="36" t="str">
        <f t="shared" si="33"/>
        <v/>
      </c>
      <c r="AV81" s="36"/>
      <c r="AW81" s="36" t="str">
        <f t="shared" si="42"/>
        <v/>
      </c>
      <c r="AX81" s="57" t="str">
        <f>IF(C81="","",IF($C$4="","",VLOOKUP($C$4,'Chart of Accounts'!$A:$B,2,FALSE)))</f>
        <v/>
      </c>
      <c r="AY81" s="55" t="str">
        <f>IF(C81="","",VLOOKUP(C:C,'Chart of Accounts'!$A:$B,2,FALSE))</f>
        <v/>
      </c>
      <c r="AZ81" s="36" t="str">
        <f t="shared" si="43"/>
        <v/>
      </c>
      <c r="BA81" s="54">
        <f t="shared" si="34"/>
        <v>0</v>
      </c>
      <c r="BB81" s="56">
        <f t="shared" si="35"/>
        <v>0</v>
      </c>
    </row>
    <row r="82" spans="1:54" x14ac:dyDescent="0.25">
      <c r="A82" s="1" t="s">
        <v>93</v>
      </c>
      <c r="B82" s="28"/>
      <c r="G82" s="5"/>
      <c r="H82" s="5"/>
      <c r="I82" s="30">
        <f t="shared" si="36"/>
        <v>10500</v>
      </c>
      <c r="K82" s="7">
        <f t="shared" si="30"/>
        <v>0</v>
      </c>
      <c r="M82" s="15">
        <f t="shared" si="31"/>
        <v>0</v>
      </c>
      <c r="O82" s="15">
        <f t="shared" si="37"/>
        <v>0</v>
      </c>
      <c r="P82" s="15">
        <f t="shared" si="37"/>
        <v>0</v>
      </c>
      <c r="R82" s="15">
        <f t="shared" si="38"/>
        <v>0</v>
      </c>
      <c r="S82" s="15"/>
      <c r="T82" s="15">
        <f t="shared" si="32"/>
        <v>0</v>
      </c>
      <c r="U82" s="15">
        <f t="shared" si="32"/>
        <v>0</v>
      </c>
      <c r="V82" s="15">
        <f t="shared" si="32"/>
        <v>0</v>
      </c>
      <c r="W82" s="15"/>
      <c r="X82" s="15">
        <f t="shared" si="29"/>
        <v>0</v>
      </c>
      <c r="Y82" s="15">
        <f t="shared" si="29"/>
        <v>0</v>
      </c>
      <c r="Z82" s="15"/>
      <c r="AA82" s="15">
        <f t="shared" si="44"/>
        <v>0</v>
      </c>
      <c r="AB82" s="15">
        <f t="shared" si="44"/>
        <v>0</v>
      </c>
      <c r="AC82" s="15">
        <f t="shared" si="44"/>
        <v>0</v>
      </c>
      <c r="AD82" s="15">
        <f t="shared" si="44"/>
        <v>0</v>
      </c>
      <c r="AE82" s="15">
        <f t="shared" si="44"/>
        <v>0</v>
      </c>
      <c r="AF82" s="15">
        <f t="shared" si="44"/>
        <v>0</v>
      </c>
      <c r="AG82" s="15">
        <f t="shared" si="44"/>
        <v>0</v>
      </c>
      <c r="AH82" s="15">
        <f t="shared" si="40"/>
        <v>0</v>
      </c>
      <c r="AI82" s="15">
        <f t="shared" si="40"/>
        <v>0</v>
      </c>
      <c r="AJ82" s="15">
        <f t="shared" si="40"/>
        <v>0</v>
      </c>
      <c r="AK82" s="15">
        <f t="shared" si="40"/>
        <v>0</v>
      </c>
      <c r="AL82" s="15">
        <f t="shared" si="40"/>
        <v>0</v>
      </c>
      <c r="AM82" s="15">
        <f t="shared" si="40"/>
        <v>0</v>
      </c>
      <c r="AN82" s="15">
        <f t="shared" si="40"/>
        <v>0</v>
      </c>
      <c r="AO82" s="15">
        <f t="shared" si="40"/>
        <v>0</v>
      </c>
      <c r="AP82" s="15">
        <f t="shared" si="40"/>
        <v>0</v>
      </c>
      <c r="AQ82" s="5"/>
      <c r="AT82" s="52" t="str">
        <f t="shared" si="41"/>
        <v/>
      </c>
      <c r="AU82" s="36" t="str">
        <f t="shared" si="33"/>
        <v/>
      </c>
      <c r="AV82" s="36"/>
      <c r="AW82" s="36" t="str">
        <f t="shared" si="42"/>
        <v/>
      </c>
      <c r="AX82" s="57" t="str">
        <f>IF(C82="","",IF($C$4="","",VLOOKUP($C$4,'Chart of Accounts'!$A:$B,2,FALSE)))</f>
        <v/>
      </c>
      <c r="AY82" s="55" t="str">
        <f>IF(C82="","",VLOOKUP(C:C,'Chart of Accounts'!$A:$B,2,FALSE))</f>
        <v/>
      </c>
      <c r="AZ82" s="36" t="str">
        <f t="shared" si="43"/>
        <v/>
      </c>
      <c r="BA82" s="54">
        <f t="shared" si="34"/>
        <v>0</v>
      </c>
      <c r="BB82" s="56">
        <f t="shared" si="35"/>
        <v>0</v>
      </c>
    </row>
    <row r="83" spans="1:54" x14ac:dyDescent="0.25">
      <c r="A83" s="1" t="s">
        <v>94</v>
      </c>
      <c r="B83" s="28"/>
      <c r="G83" s="5"/>
      <c r="H83" s="5"/>
      <c r="I83" s="30">
        <f t="shared" si="36"/>
        <v>10500</v>
      </c>
      <c r="K83" s="7">
        <f t="shared" si="30"/>
        <v>0</v>
      </c>
      <c r="M83" s="15">
        <f t="shared" si="31"/>
        <v>0</v>
      </c>
      <c r="O83" s="15">
        <f t="shared" si="37"/>
        <v>0</v>
      </c>
      <c r="P83" s="15">
        <f t="shared" si="37"/>
        <v>0</v>
      </c>
      <c r="R83" s="15">
        <f t="shared" si="38"/>
        <v>0</v>
      </c>
      <c r="S83" s="15"/>
      <c r="T83" s="15">
        <f t="shared" si="32"/>
        <v>0</v>
      </c>
      <c r="U83" s="15">
        <f t="shared" si="32"/>
        <v>0</v>
      </c>
      <c r="V83" s="15">
        <f t="shared" si="32"/>
        <v>0</v>
      </c>
      <c r="W83" s="15"/>
      <c r="X83" s="15">
        <f t="shared" si="29"/>
        <v>0</v>
      </c>
      <c r="Y83" s="15">
        <f t="shared" si="29"/>
        <v>0</v>
      </c>
      <c r="Z83" s="15"/>
      <c r="AA83" s="15">
        <f t="shared" si="44"/>
        <v>0</v>
      </c>
      <c r="AB83" s="15">
        <f t="shared" si="44"/>
        <v>0</v>
      </c>
      <c r="AC83" s="15">
        <f t="shared" si="44"/>
        <v>0</v>
      </c>
      <c r="AD83" s="15">
        <f t="shared" si="44"/>
        <v>0</v>
      </c>
      <c r="AE83" s="15">
        <f t="shared" si="44"/>
        <v>0</v>
      </c>
      <c r="AF83" s="15">
        <f t="shared" si="44"/>
        <v>0</v>
      </c>
      <c r="AG83" s="15">
        <f t="shared" si="44"/>
        <v>0</v>
      </c>
      <c r="AH83" s="15">
        <f t="shared" si="40"/>
        <v>0</v>
      </c>
      <c r="AI83" s="15">
        <f t="shared" si="40"/>
        <v>0</v>
      </c>
      <c r="AJ83" s="15">
        <f t="shared" si="40"/>
        <v>0</v>
      </c>
      <c r="AK83" s="15">
        <f t="shared" si="40"/>
        <v>0</v>
      </c>
      <c r="AL83" s="15">
        <f t="shared" si="40"/>
        <v>0</v>
      </c>
      <c r="AM83" s="15">
        <f t="shared" si="40"/>
        <v>0</v>
      </c>
      <c r="AN83" s="15">
        <f t="shared" si="40"/>
        <v>0</v>
      </c>
      <c r="AO83" s="15">
        <f t="shared" si="40"/>
        <v>0</v>
      </c>
      <c r="AP83" s="15">
        <f t="shared" si="40"/>
        <v>0</v>
      </c>
      <c r="AQ83" s="5"/>
      <c r="AT83" s="52" t="str">
        <f t="shared" si="41"/>
        <v/>
      </c>
      <c r="AU83" s="36" t="str">
        <f t="shared" si="33"/>
        <v/>
      </c>
      <c r="AV83" s="36"/>
      <c r="AW83" s="36" t="str">
        <f t="shared" si="42"/>
        <v/>
      </c>
      <c r="AX83" s="57" t="str">
        <f>IF(C83="","",IF($C$4="","",VLOOKUP($C$4,'Chart of Accounts'!$A:$B,2,FALSE)))</f>
        <v/>
      </c>
      <c r="AY83" s="55" t="str">
        <f>IF(C83="","",VLOOKUP(C:C,'Chart of Accounts'!$A:$B,2,FALSE))</f>
        <v/>
      </c>
      <c r="AZ83" s="36" t="str">
        <f t="shared" si="43"/>
        <v/>
      </c>
      <c r="BA83" s="54">
        <f t="shared" si="34"/>
        <v>0</v>
      </c>
      <c r="BB83" s="56">
        <f t="shared" si="35"/>
        <v>0</v>
      </c>
    </row>
    <row r="84" spans="1:54" x14ac:dyDescent="0.25">
      <c r="A84" s="1" t="s">
        <v>95</v>
      </c>
      <c r="B84" s="28"/>
      <c r="G84" s="5"/>
      <c r="H84" s="5"/>
      <c r="I84" s="30">
        <f t="shared" si="36"/>
        <v>10500</v>
      </c>
      <c r="K84" s="7">
        <f t="shared" si="30"/>
        <v>0</v>
      </c>
      <c r="M84" s="15">
        <f t="shared" si="31"/>
        <v>0</v>
      </c>
      <c r="O84" s="15">
        <f t="shared" si="37"/>
        <v>0</v>
      </c>
      <c r="P84" s="15">
        <f t="shared" si="37"/>
        <v>0</v>
      </c>
      <c r="R84" s="15">
        <f t="shared" si="38"/>
        <v>0</v>
      </c>
      <c r="S84" s="15"/>
      <c r="T84" s="15">
        <f t="shared" si="32"/>
        <v>0</v>
      </c>
      <c r="U84" s="15">
        <f t="shared" si="32"/>
        <v>0</v>
      </c>
      <c r="V84" s="15">
        <f t="shared" si="32"/>
        <v>0</v>
      </c>
      <c r="W84" s="15"/>
      <c r="X84" s="15">
        <f t="shared" si="29"/>
        <v>0</v>
      </c>
      <c r="Y84" s="15">
        <f t="shared" si="29"/>
        <v>0</v>
      </c>
      <c r="Z84" s="15"/>
      <c r="AA84" s="15">
        <f t="shared" si="44"/>
        <v>0</v>
      </c>
      <c r="AB84" s="15">
        <f t="shared" si="44"/>
        <v>0</v>
      </c>
      <c r="AC84" s="15">
        <f t="shared" si="44"/>
        <v>0</v>
      </c>
      <c r="AD84" s="15">
        <f t="shared" si="44"/>
        <v>0</v>
      </c>
      <c r="AE84" s="15">
        <f t="shared" si="44"/>
        <v>0</v>
      </c>
      <c r="AF84" s="15">
        <f t="shared" si="44"/>
        <v>0</v>
      </c>
      <c r="AG84" s="15">
        <f t="shared" si="44"/>
        <v>0</v>
      </c>
      <c r="AH84" s="15">
        <f t="shared" si="40"/>
        <v>0</v>
      </c>
      <c r="AI84" s="15">
        <f t="shared" si="40"/>
        <v>0</v>
      </c>
      <c r="AJ84" s="15">
        <f t="shared" si="40"/>
        <v>0</v>
      </c>
      <c r="AK84" s="15">
        <f t="shared" si="40"/>
        <v>0</v>
      </c>
      <c r="AL84" s="15">
        <f t="shared" si="40"/>
        <v>0</v>
      </c>
      <c r="AM84" s="15">
        <f t="shared" si="40"/>
        <v>0</v>
      </c>
      <c r="AN84" s="15">
        <f t="shared" si="40"/>
        <v>0</v>
      </c>
      <c r="AO84" s="15">
        <f t="shared" si="40"/>
        <v>0</v>
      </c>
      <c r="AP84" s="15">
        <f t="shared" si="40"/>
        <v>0</v>
      </c>
      <c r="AQ84" s="5"/>
      <c r="AT84" s="52" t="str">
        <f t="shared" si="41"/>
        <v/>
      </c>
      <c r="AU84" s="36" t="str">
        <f t="shared" si="33"/>
        <v/>
      </c>
      <c r="AV84" s="36"/>
      <c r="AW84" s="36" t="str">
        <f t="shared" si="42"/>
        <v/>
      </c>
      <c r="AX84" s="57" t="str">
        <f>IF(C84="","",IF($C$4="","",VLOOKUP($C$4,'Chart of Accounts'!$A:$B,2,FALSE)))</f>
        <v/>
      </c>
      <c r="AY84" s="55" t="str">
        <f>IF(C84="","",VLOOKUP(C:C,'Chart of Accounts'!$A:$B,2,FALSE))</f>
        <v/>
      </c>
      <c r="AZ84" s="36" t="str">
        <f t="shared" si="43"/>
        <v/>
      </c>
      <c r="BA84" s="54">
        <f t="shared" si="34"/>
        <v>0</v>
      </c>
      <c r="BB84" s="56">
        <f t="shared" si="35"/>
        <v>0</v>
      </c>
    </row>
    <row r="85" spans="1:54" x14ac:dyDescent="0.25">
      <c r="A85" s="1" t="s">
        <v>96</v>
      </c>
      <c r="B85" s="28"/>
      <c r="G85" s="5"/>
      <c r="H85" s="5"/>
      <c r="I85" s="30">
        <f t="shared" si="36"/>
        <v>10500</v>
      </c>
      <c r="K85" s="7">
        <f t="shared" si="30"/>
        <v>0</v>
      </c>
      <c r="M85" s="15">
        <f t="shared" si="31"/>
        <v>0</v>
      </c>
      <c r="O85" s="15">
        <f t="shared" si="37"/>
        <v>0</v>
      </c>
      <c r="P85" s="15">
        <f t="shared" si="37"/>
        <v>0</v>
      </c>
      <c r="R85" s="15">
        <f t="shared" si="38"/>
        <v>0</v>
      </c>
      <c r="S85" s="15"/>
      <c r="T85" s="15">
        <f t="shared" si="32"/>
        <v>0</v>
      </c>
      <c r="U85" s="15">
        <f t="shared" si="32"/>
        <v>0</v>
      </c>
      <c r="V85" s="15">
        <f t="shared" si="32"/>
        <v>0</v>
      </c>
      <c r="W85" s="15"/>
      <c r="X85" s="15">
        <f t="shared" si="29"/>
        <v>0</v>
      </c>
      <c r="Y85" s="15">
        <f t="shared" si="29"/>
        <v>0</v>
      </c>
      <c r="Z85" s="15"/>
      <c r="AA85" s="15">
        <f t="shared" si="44"/>
        <v>0</v>
      </c>
      <c r="AB85" s="15">
        <f t="shared" si="44"/>
        <v>0</v>
      </c>
      <c r="AC85" s="15">
        <f t="shared" si="44"/>
        <v>0</v>
      </c>
      <c r="AD85" s="15">
        <f t="shared" si="44"/>
        <v>0</v>
      </c>
      <c r="AE85" s="15">
        <f t="shared" si="44"/>
        <v>0</v>
      </c>
      <c r="AF85" s="15">
        <f t="shared" si="44"/>
        <v>0</v>
      </c>
      <c r="AG85" s="15">
        <f t="shared" si="44"/>
        <v>0</v>
      </c>
      <c r="AH85" s="15">
        <f t="shared" si="40"/>
        <v>0</v>
      </c>
      <c r="AI85" s="15">
        <f t="shared" si="40"/>
        <v>0</v>
      </c>
      <c r="AJ85" s="15">
        <f t="shared" si="40"/>
        <v>0</v>
      </c>
      <c r="AK85" s="15">
        <f t="shared" si="40"/>
        <v>0</v>
      </c>
      <c r="AL85" s="15">
        <f t="shared" si="40"/>
        <v>0</v>
      </c>
      <c r="AM85" s="15">
        <f t="shared" si="40"/>
        <v>0</v>
      </c>
      <c r="AN85" s="15">
        <f t="shared" si="40"/>
        <v>0</v>
      </c>
      <c r="AO85" s="15">
        <f t="shared" si="40"/>
        <v>0</v>
      </c>
      <c r="AP85" s="15">
        <f t="shared" si="40"/>
        <v>0</v>
      </c>
      <c r="AQ85" s="5"/>
      <c r="AT85" s="52" t="str">
        <f t="shared" si="41"/>
        <v/>
      </c>
      <c r="AU85" s="36" t="str">
        <f t="shared" si="33"/>
        <v/>
      </c>
      <c r="AV85" s="36"/>
      <c r="AW85" s="36" t="str">
        <f t="shared" si="42"/>
        <v/>
      </c>
      <c r="AX85" s="57" t="str">
        <f>IF(C85="","",IF($C$4="","",VLOOKUP($C$4,'Chart of Accounts'!$A:$B,2,FALSE)))</f>
        <v/>
      </c>
      <c r="AY85" s="55" t="str">
        <f>IF(C85="","",VLOOKUP(C:C,'Chart of Accounts'!$A:$B,2,FALSE))</f>
        <v/>
      </c>
      <c r="AZ85" s="36" t="str">
        <f t="shared" si="43"/>
        <v/>
      </c>
      <c r="BA85" s="54">
        <f t="shared" si="34"/>
        <v>0</v>
      </c>
      <c r="BB85" s="56">
        <f t="shared" si="35"/>
        <v>0</v>
      </c>
    </row>
    <row r="86" spans="1:54" x14ac:dyDescent="0.25">
      <c r="A86" s="1" t="s">
        <v>97</v>
      </c>
      <c r="B86" s="28"/>
      <c r="G86" s="5"/>
      <c r="H86" s="5"/>
      <c r="I86" s="30">
        <f t="shared" si="36"/>
        <v>10500</v>
      </c>
      <c r="K86" s="7">
        <f t="shared" si="30"/>
        <v>0</v>
      </c>
      <c r="M86" s="15">
        <f t="shared" si="31"/>
        <v>0</v>
      </c>
      <c r="O86" s="15">
        <f t="shared" si="37"/>
        <v>0</v>
      </c>
      <c r="P86" s="15">
        <f t="shared" si="37"/>
        <v>0</v>
      </c>
      <c r="R86" s="15">
        <f t="shared" si="38"/>
        <v>0</v>
      </c>
      <c r="S86" s="15"/>
      <c r="T86" s="15">
        <f t="shared" si="32"/>
        <v>0</v>
      </c>
      <c r="U86" s="15">
        <f t="shared" si="32"/>
        <v>0</v>
      </c>
      <c r="V86" s="15">
        <f t="shared" si="32"/>
        <v>0</v>
      </c>
      <c r="W86" s="15"/>
      <c r="X86" s="15">
        <f t="shared" si="29"/>
        <v>0</v>
      </c>
      <c r="Y86" s="15">
        <f t="shared" si="29"/>
        <v>0</v>
      </c>
      <c r="Z86" s="15"/>
      <c r="AA86" s="15">
        <f t="shared" si="44"/>
        <v>0</v>
      </c>
      <c r="AB86" s="15">
        <f t="shared" si="44"/>
        <v>0</v>
      </c>
      <c r="AC86" s="15">
        <f t="shared" si="44"/>
        <v>0</v>
      </c>
      <c r="AD86" s="15">
        <f t="shared" si="44"/>
        <v>0</v>
      </c>
      <c r="AE86" s="15">
        <f t="shared" si="44"/>
        <v>0</v>
      </c>
      <c r="AF86" s="15">
        <f t="shared" si="44"/>
        <v>0</v>
      </c>
      <c r="AG86" s="15">
        <f t="shared" si="44"/>
        <v>0</v>
      </c>
      <c r="AH86" s="15">
        <f t="shared" si="40"/>
        <v>0</v>
      </c>
      <c r="AI86" s="15">
        <f t="shared" si="40"/>
        <v>0</v>
      </c>
      <c r="AJ86" s="15">
        <f t="shared" si="40"/>
        <v>0</v>
      </c>
      <c r="AK86" s="15">
        <f t="shared" si="40"/>
        <v>0</v>
      </c>
      <c r="AL86" s="15">
        <f t="shared" si="40"/>
        <v>0</v>
      </c>
      <c r="AM86" s="15">
        <f t="shared" si="40"/>
        <v>0</v>
      </c>
      <c r="AN86" s="15">
        <f t="shared" si="40"/>
        <v>0</v>
      </c>
      <c r="AO86" s="15">
        <f t="shared" si="40"/>
        <v>0</v>
      </c>
      <c r="AP86" s="15">
        <f t="shared" si="40"/>
        <v>0</v>
      </c>
      <c r="AQ86" s="5"/>
      <c r="AT86" s="52" t="str">
        <f t="shared" si="41"/>
        <v/>
      </c>
      <c r="AU86" s="36" t="str">
        <f t="shared" si="33"/>
        <v/>
      </c>
      <c r="AV86" s="36"/>
      <c r="AW86" s="36" t="str">
        <f t="shared" si="42"/>
        <v/>
      </c>
      <c r="AX86" s="57" t="str">
        <f>IF(C86="","",IF($C$4="","",VLOOKUP($C$4,'Chart of Accounts'!$A:$B,2,FALSE)))</f>
        <v/>
      </c>
      <c r="AY86" s="55" t="str">
        <f>IF(C86="","",VLOOKUP(C:C,'Chart of Accounts'!$A:$B,2,FALSE))</f>
        <v/>
      </c>
      <c r="AZ86" s="36" t="str">
        <f t="shared" si="43"/>
        <v/>
      </c>
      <c r="BA86" s="54">
        <f t="shared" si="34"/>
        <v>0</v>
      </c>
      <c r="BB86" s="56">
        <f t="shared" si="35"/>
        <v>0</v>
      </c>
    </row>
    <row r="87" spans="1:54" x14ac:dyDescent="0.25">
      <c r="A87" s="1" t="s">
        <v>98</v>
      </c>
      <c r="B87" s="28"/>
      <c r="G87" s="5"/>
      <c r="H87" s="5"/>
      <c r="I87" s="30">
        <f t="shared" si="36"/>
        <v>10500</v>
      </c>
      <c r="K87" s="7">
        <f t="shared" si="30"/>
        <v>0</v>
      </c>
      <c r="M87" s="15">
        <f t="shared" si="31"/>
        <v>0</v>
      </c>
      <c r="O87" s="15">
        <f t="shared" si="37"/>
        <v>0</v>
      </c>
      <c r="P87" s="15">
        <f t="shared" si="37"/>
        <v>0</v>
      </c>
      <c r="R87" s="15">
        <f t="shared" si="38"/>
        <v>0</v>
      </c>
      <c r="S87" s="15"/>
      <c r="T87" s="15">
        <f t="shared" si="32"/>
        <v>0</v>
      </c>
      <c r="U87" s="15">
        <f t="shared" si="32"/>
        <v>0</v>
      </c>
      <c r="V87" s="15">
        <f t="shared" si="32"/>
        <v>0</v>
      </c>
      <c r="W87" s="15"/>
      <c r="X87" s="15">
        <f t="shared" si="29"/>
        <v>0</v>
      </c>
      <c r="Y87" s="15">
        <f t="shared" si="29"/>
        <v>0</v>
      </c>
      <c r="Z87" s="15"/>
      <c r="AA87" s="15">
        <f t="shared" si="44"/>
        <v>0</v>
      </c>
      <c r="AB87" s="15">
        <f t="shared" si="44"/>
        <v>0</v>
      </c>
      <c r="AC87" s="15">
        <f t="shared" si="44"/>
        <v>0</v>
      </c>
      <c r="AD87" s="15">
        <f t="shared" si="44"/>
        <v>0</v>
      </c>
      <c r="AE87" s="15">
        <f t="shared" si="44"/>
        <v>0</v>
      </c>
      <c r="AF87" s="15">
        <f t="shared" si="44"/>
        <v>0</v>
      </c>
      <c r="AG87" s="15">
        <f t="shared" si="44"/>
        <v>0</v>
      </c>
      <c r="AH87" s="15">
        <f t="shared" si="40"/>
        <v>0</v>
      </c>
      <c r="AI87" s="15">
        <f t="shared" si="40"/>
        <v>0</v>
      </c>
      <c r="AJ87" s="15">
        <f t="shared" si="40"/>
        <v>0</v>
      </c>
      <c r="AK87" s="15">
        <f t="shared" si="40"/>
        <v>0</v>
      </c>
      <c r="AL87" s="15">
        <f t="shared" si="40"/>
        <v>0</v>
      </c>
      <c r="AM87" s="15">
        <f t="shared" si="40"/>
        <v>0</v>
      </c>
      <c r="AN87" s="15">
        <f t="shared" si="40"/>
        <v>0</v>
      </c>
      <c r="AO87" s="15">
        <f t="shared" si="40"/>
        <v>0</v>
      </c>
      <c r="AP87" s="15">
        <f t="shared" si="40"/>
        <v>0</v>
      </c>
      <c r="AQ87" s="5"/>
      <c r="AT87" s="52" t="str">
        <f t="shared" si="41"/>
        <v/>
      </c>
      <c r="AU87" s="36" t="str">
        <f t="shared" si="33"/>
        <v/>
      </c>
      <c r="AV87" s="36"/>
      <c r="AW87" s="36" t="str">
        <f t="shared" si="42"/>
        <v/>
      </c>
      <c r="AX87" s="57" t="str">
        <f>IF(C87="","",IF($C$4="","",VLOOKUP($C$4,'Chart of Accounts'!$A:$B,2,FALSE)))</f>
        <v/>
      </c>
      <c r="AY87" s="55" t="str">
        <f>IF(C87="","",VLOOKUP(C:C,'Chart of Accounts'!$A:$B,2,FALSE))</f>
        <v/>
      </c>
      <c r="AZ87" s="36" t="str">
        <f t="shared" si="43"/>
        <v/>
      </c>
      <c r="BA87" s="54">
        <f t="shared" si="34"/>
        <v>0</v>
      </c>
      <c r="BB87" s="56">
        <f t="shared" si="35"/>
        <v>0</v>
      </c>
    </row>
    <row r="88" spans="1:54" x14ac:dyDescent="0.25">
      <c r="A88" s="1" t="s">
        <v>99</v>
      </c>
      <c r="B88" s="28"/>
      <c r="G88" s="5"/>
      <c r="H88" s="5"/>
      <c r="I88" s="30">
        <f t="shared" si="36"/>
        <v>10500</v>
      </c>
      <c r="K88" s="7">
        <f t="shared" si="30"/>
        <v>0</v>
      </c>
      <c r="M88" s="15">
        <f t="shared" si="31"/>
        <v>0</v>
      </c>
      <c r="O88" s="15">
        <f t="shared" si="37"/>
        <v>0</v>
      </c>
      <c r="P88" s="15">
        <f t="shared" si="37"/>
        <v>0</v>
      </c>
      <c r="R88" s="15">
        <f t="shared" si="38"/>
        <v>0</v>
      </c>
      <c r="S88" s="15"/>
      <c r="T88" s="15">
        <f t="shared" si="32"/>
        <v>0</v>
      </c>
      <c r="U88" s="15">
        <f t="shared" si="32"/>
        <v>0</v>
      </c>
      <c r="V88" s="15">
        <f t="shared" si="32"/>
        <v>0</v>
      </c>
      <c r="W88" s="15"/>
      <c r="X88" s="15">
        <f t="shared" si="29"/>
        <v>0</v>
      </c>
      <c r="Y88" s="15">
        <f t="shared" si="29"/>
        <v>0</v>
      </c>
      <c r="Z88" s="15"/>
      <c r="AA88" s="15">
        <f t="shared" si="44"/>
        <v>0</v>
      </c>
      <c r="AB88" s="15">
        <f t="shared" si="44"/>
        <v>0</v>
      </c>
      <c r="AC88" s="15">
        <f t="shared" si="44"/>
        <v>0</v>
      </c>
      <c r="AD88" s="15">
        <f t="shared" si="44"/>
        <v>0</v>
      </c>
      <c r="AE88" s="15">
        <f t="shared" si="44"/>
        <v>0</v>
      </c>
      <c r="AF88" s="15">
        <f t="shared" si="44"/>
        <v>0</v>
      </c>
      <c r="AG88" s="15">
        <f t="shared" si="44"/>
        <v>0</v>
      </c>
      <c r="AH88" s="15">
        <f t="shared" si="40"/>
        <v>0</v>
      </c>
      <c r="AI88" s="15">
        <f t="shared" si="40"/>
        <v>0</v>
      </c>
      <c r="AJ88" s="15">
        <f t="shared" si="40"/>
        <v>0</v>
      </c>
      <c r="AK88" s="15">
        <f t="shared" si="40"/>
        <v>0</v>
      </c>
      <c r="AL88" s="15">
        <f t="shared" si="40"/>
        <v>0</v>
      </c>
      <c r="AM88" s="15">
        <f t="shared" si="40"/>
        <v>0</v>
      </c>
      <c r="AN88" s="15">
        <f t="shared" si="40"/>
        <v>0</v>
      </c>
      <c r="AO88" s="15">
        <f t="shared" si="40"/>
        <v>0</v>
      </c>
      <c r="AP88" s="15">
        <f t="shared" si="40"/>
        <v>0</v>
      </c>
      <c r="AQ88" s="5"/>
      <c r="AT88" s="52" t="str">
        <f t="shared" si="41"/>
        <v/>
      </c>
      <c r="AU88" s="36" t="str">
        <f t="shared" si="33"/>
        <v/>
      </c>
      <c r="AV88" s="36"/>
      <c r="AW88" s="36" t="str">
        <f t="shared" si="42"/>
        <v/>
      </c>
      <c r="AX88" s="57" t="str">
        <f>IF(C88="","",IF($C$4="","",VLOOKUP($C$4,'Chart of Accounts'!$A:$B,2,FALSE)))</f>
        <v/>
      </c>
      <c r="AY88" s="55" t="str">
        <f>IF(C88="","",VLOOKUP(C:C,'Chart of Accounts'!$A:$B,2,FALSE))</f>
        <v/>
      </c>
      <c r="AZ88" s="36" t="str">
        <f t="shared" si="43"/>
        <v/>
      </c>
      <c r="BA88" s="54">
        <f t="shared" si="34"/>
        <v>0</v>
      </c>
      <c r="BB88" s="56">
        <f t="shared" si="35"/>
        <v>0</v>
      </c>
    </row>
    <row r="89" spans="1:54" x14ac:dyDescent="0.25">
      <c r="A89" s="1" t="s">
        <v>100</v>
      </c>
      <c r="B89" s="28"/>
      <c r="G89" s="5"/>
      <c r="H89" s="5"/>
      <c r="I89" s="30">
        <f t="shared" si="36"/>
        <v>10500</v>
      </c>
      <c r="K89" s="7">
        <f t="shared" si="30"/>
        <v>0</v>
      </c>
      <c r="M89" s="15">
        <f t="shared" si="31"/>
        <v>0</v>
      </c>
      <c r="O89" s="15">
        <f t="shared" si="37"/>
        <v>0</v>
      </c>
      <c r="P89" s="15">
        <f t="shared" si="37"/>
        <v>0</v>
      </c>
      <c r="R89" s="15">
        <f t="shared" si="38"/>
        <v>0</v>
      </c>
      <c r="S89" s="15"/>
      <c r="T89" s="15">
        <f t="shared" si="32"/>
        <v>0</v>
      </c>
      <c r="U89" s="15">
        <f t="shared" si="32"/>
        <v>0</v>
      </c>
      <c r="V89" s="15">
        <f t="shared" si="32"/>
        <v>0</v>
      </c>
      <c r="W89" s="15"/>
      <c r="X89" s="15">
        <f t="shared" si="29"/>
        <v>0</v>
      </c>
      <c r="Y89" s="15">
        <f t="shared" si="29"/>
        <v>0</v>
      </c>
      <c r="Z89" s="15"/>
      <c r="AA89" s="15">
        <f t="shared" si="44"/>
        <v>0</v>
      </c>
      <c r="AB89" s="15">
        <f t="shared" si="44"/>
        <v>0</v>
      </c>
      <c r="AC89" s="15">
        <f t="shared" si="44"/>
        <v>0</v>
      </c>
      <c r="AD89" s="15">
        <f t="shared" si="44"/>
        <v>0</v>
      </c>
      <c r="AE89" s="15">
        <f t="shared" si="44"/>
        <v>0</v>
      </c>
      <c r="AF89" s="15">
        <f t="shared" si="44"/>
        <v>0</v>
      </c>
      <c r="AG89" s="15">
        <f t="shared" si="44"/>
        <v>0</v>
      </c>
      <c r="AH89" s="15">
        <f t="shared" si="40"/>
        <v>0</v>
      </c>
      <c r="AI89" s="15">
        <f t="shared" si="40"/>
        <v>0</v>
      </c>
      <c r="AJ89" s="15">
        <f t="shared" si="40"/>
        <v>0</v>
      </c>
      <c r="AK89" s="15">
        <f t="shared" si="40"/>
        <v>0</v>
      </c>
      <c r="AL89" s="15">
        <f t="shared" si="40"/>
        <v>0</v>
      </c>
      <c r="AM89" s="15">
        <f t="shared" si="40"/>
        <v>0</v>
      </c>
      <c r="AN89" s="15">
        <f t="shared" si="40"/>
        <v>0</v>
      </c>
      <c r="AO89" s="15">
        <f t="shared" si="40"/>
        <v>0</v>
      </c>
      <c r="AP89" s="15">
        <f t="shared" si="40"/>
        <v>0</v>
      </c>
      <c r="AQ89" s="5"/>
      <c r="AT89" s="52" t="str">
        <f t="shared" si="41"/>
        <v/>
      </c>
      <c r="AU89" s="36" t="str">
        <f t="shared" si="33"/>
        <v/>
      </c>
      <c r="AV89" s="36"/>
      <c r="AW89" s="36" t="str">
        <f t="shared" si="42"/>
        <v/>
      </c>
      <c r="AX89" s="57" t="str">
        <f>IF(C89="","",IF($C$4="","",VLOOKUP($C$4,'Chart of Accounts'!$A:$B,2,FALSE)))</f>
        <v/>
      </c>
      <c r="AY89" s="55" t="str">
        <f>IF(C89="","",VLOOKUP(C:C,'Chart of Accounts'!$A:$B,2,FALSE))</f>
        <v/>
      </c>
      <c r="AZ89" s="36" t="str">
        <f t="shared" si="43"/>
        <v/>
      </c>
      <c r="BA89" s="54">
        <f t="shared" si="34"/>
        <v>0</v>
      </c>
      <c r="BB89" s="56">
        <f t="shared" si="35"/>
        <v>0</v>
      </c>
    </row>
    <row r="90" spans="1:54" x14ac:dyDescent="0.25">
      <c r="A90" s="1" t="s">
        <v>101</v>
      </c>
      <c r="B90" s="28"/>
      <c r="G90" s="5"/>
      <c r="H90" s="5"/>
      <c r="I90" s="30">
        <f t="shared" si="36"/>
        <v>10500</v>
      </c>
      <c r="K90" s="7">
        <f t="shared" si="30"/>
        <v>0</v>
      </c>
      <c r="M90" s="15">
        <f t="shared" si="31"/>
        <v>0</v>
      </c>
      <c r="O90" s="15">
        <f t="shared" si="37"/>
        <v>0</v>
      </c>
      <c r="P90" s="15">
        <f t="shared" si="37"/>
        <v>0</v>
      </c>
      <c r="R90" s="15">
        <f t="shared" si="38"/>
        <v>0</v>
      </c>
      <c r="S90" s="15"/>
      <c r="T90" s="15">
        <f t="shared" si="32"/>
        <v>0</v>
      </c>
      <c r="U90" s="15">
        <f t="shared" si="32"/>
        <v>0</v>
      </c>
      <c r="V90" s="15">
        <f t="shared" si="32"/>
        <v>0</v>
      </c>
      <c r="W90" s="15"/>
      <c r="X90" s="15">
        <f t="shared" si="29"/>
        <v>0</v>
      </c>
      <c r="Y90" s="15">
        <f t="shared" si="29"/>
        <v>0</v>
      </c>
      <c r="Z90" s="15"/>
      <c r="AA90" s="15">
        <f t="shared" si="44"/>
        <v>0</v>
      </c>
      <c r="AB90" s="15">
        <f t="shared" si="44"/>
        <v>0</v>
      </c>
      <c r="AC90" s="15">
        <f t="shared" si="44"/>
        <v>0</v>
      </c>
      <c r="AD90" s="15">
        <f t="shared" si="44"/>
        <v>0</v>
      </c>
      <c r="AE90" s="15">
        <f t="shared" si="44"/>
        <v>0</v>
      </c>
      <c r="AF90" s="15">
        <f t="shared" si="44"/>
        <v>0</v>
      </c>
      <c r="AG90" s="15">
        <f t="shared" si="44"/>
        <v>0</v>
      </c>
      <c r="AH90" s="15">
        <f t="shared" si="40"/>
        <v>0</v>
      </c>
      <c r="AI90" s="15">
        <f t="shared" si="40"/>
        <v>0</v>
      </c>
      <c r="AJ90" s="15">
        <f t="shared" si="40"/>
        <v>0</v>
      </c>
      <c r="AK90" s="15">
        <f t="shared" si="40"/>
        <v>0</v>
      </c>
      <c r="AL90" s="15">
        <f t="shared" si="40"/>
        <v>0</v>
      </c>
      <c r="AM90" s="15">
        <f t="shared" si="40"/>
        <v>0</v>
      </c>
      <c r="AN90" s="15">
        <f t="shared" si="40"/>
        <v>0</v>
      </c>
      <c r="AO90" s="15">
        <f t="shared" si="40"/>
        <v>0</v>
      </c>
      <c r="AP90" s="15">
        <f t="shared" si="40"/>
        <v>0</v>
      </c>
      <c r="AQ90" s="5"/>
      <c r="AT90" s="52" t="str">
        <f t="shared" si="41"/>
        <v/>
      </c>
      <c r="AU90" s="36" t="str">
        <f t="shared" si="33"/>
        <v/>
      </c>
      <c r="AV90" s="36"/>
      <c r="AW90" s="36" t="str">
        <f t="shared" si="42"/>
        <v/>
      </c>
      <c r="AX90" s="57" t="str">
        <f>IF(C90="","",IF($C$4="","",VLOOKUP($C$4,'Chart of Accounts'!$A:$B,2,FALSE)))</f>
        <v/>
      </c>
      <c r="AY90" s="55" t="str">
        <f>IF(C90="","",VLOOKUP(C:C,'Chart of Accounts'!$A:$B,2,FALSE))</f>
        <v/>
      </c>
      <c r="AZ90" s="36" t="str">
        <f t="shared" si="43"/>
        <v/>
      </c>
      <c r="BA90" s="54">
        <f t="shared" si="34"/>
        <v>0</v>
      </c>
      <c r="BB90" s="56">
        <f t="shared" si="35"/>
        <v>0</v>
      </c>
    </row>
    <row r="91" spans="1:54" x14ac:dyDescent="0.25">
      <c r="A91" s="1" t="s">
        <v>102</v>
      </c>
      <c r="B91" s="28"/>
      <c r="G91" s="5"/>
      <c r="H91" s="5"/>
      <c r="I91" s="30">
        <f t="shared" si="36"/>
        <v>10500</v>
      </c>
      <c r="K91" s="7">
        <f t="shared" si="30"/>
        <v>0</v>
      </c>
      <c r="M91" s="15">
        <f t="shared" si="31"/>
        <v>0</v>
      </c>
      <c r="O91" s="15">
        <f t="shared" si="37"/>
        <v>0</v>
      </c>
      <c r="P91" s="15">
        <f t="shared" si="37"/>
        <v>0</v>
      </c>
      <c r="R91" s="15">
        <f t="shared" si="38"/>
        <v>0</v>
      </c>
      <c r="S91" s="15"/>
      <c r="T91" s="15">
        <f t="shared" si="32"/>
        <v>0</v>
      </c>
      <c r="U91" s="15">
        <f t="shared" si="32"/>
        <v>0</v>
      </c>
      <c r="V91" s="15">
        <f t="shared" si="32"/>
        <v>0</v>
      </c>
      <c r="W91" s="15"/>
      <c r="X91" s="15">
        <f t="shared" si="29"/>
        <v>0</v>
      </c>
      <c r="Y91" s="15">
        <f t="shared" si="29"/>
        <v>0</v>
      </c>
      <c r="Z91" s="15"/>
      <c r="AA91" s="15">
        <f t="shared" si="44"/>
        <v>0</v>
      </c>
      <c r="AB91" s="15">
        <f t="shared" si="44"/>
        <v>0</v>
      </c>
      <c r="AC91" s="15">
        <f t="shared" si="44"/>
        <v>0</v>
      </c>
      <c r="AD91" s="15">
        <f t="shared" si="44"/>
        <v>0</v>
      </c>
      <c r="AE91" s="15">
        <f t="shared" si="44"/>
        <v>0</v>
      </c>
      <c r="AF91" s="15">
        <f t="shared" si="44"/>
        <v>0</v>
      </c>
      <c r="AG91" s="15">
        <f t="shared" si="44"/>
        <v>0</v>
      </c>
      <c r="AH91" s="15">
        <f t="shared" si="40"/>
        <v>0</v>
      </c>
      <c r="AI91" s="15">
        <f t="shared" si="40"/>
        <v>0</v>
      </c>
      <c r="AJ91" s="15">
        <f t="shared" si="40"/>
        <v>0</v>
      </c>
      <c r="AK91" s="15">
        <f t="shared" si="40"/>
        <v>0</v>
      </c>
      <c r="AL91" s="15">
        <f t="shared" si="40"/>
        <v>0</v>
      </c>
      <c r="AM91" s="15">
        <f t="shared" si="40"/>
        <v>0</v>
      </c>
      <c r="AN91" s="15">
        <f t="shared" si="40"/>
        <v>0</v>
      </c>
      <c r="AO91" s="15">
        <f t="shared" si="40"/>
        <v>0</v>
      </c>
      <c r="AP91" s="15">
        <f t="shared" si="40"/>
        <v>0</v>
      </c>
      <c r="AQ91" s="5"/>
      <c r="AT91" s="52" t="str">
        <f t="shared" si="41"/>
        <v/>
      </c>
      <c r="AU91" s="36" t="str">
        <f t="shared" si="33"/>
        <v/>
      </c>
      <c r="AV91" s="36"/>
      <c r="AW91" s="36" t="str">
        <f t="shared" si="42"/>
        <v/>
      </c>
      <c r="AX91" s="57" t="str">
        <f>IF(C91="","",IF($C$4="","",VLOOKUP($C$4,'Chart of Accounts'!$A:$B,2,FALSE)))</f>
        <v/>
      </c>
      <c r="AY91" s="55" t="str">
        <f>IF(C91="","",VLOOKUP(C:C,'Chart of Accounts'!$A:$B,2,FALSE))</f>
        <v/>
      </c>
      <c r="AZ91" s="36" t="str">
        <f t="shared" si="43"/>
        <v/>
      </c>
      <c r="BA91" s="54">
        <f t="shared" si="34"/>
        <v>0</v>
      </c>
      <c r="BB91" s="56">
        <f t="shared" si="35"/>
        <v>0</v>
      </c>
    </row>
    <row r="92" spans="1:54" x14ac:dyDescent="0.25">
      <c r="A92" s="1" t="s">
        <v>103</v>
      </c>
      <c r="B92" s="28"/>
      <c r="G92" s="5"/>
      <c r="H92" s="5"/>
      <c r="I92" s="30">
        <f t="shared" si="36"/>
        <v>10500</v>
      </c>
      <c r="K92" s="7">
        <f t="shared" si="30"/>
        <v>0</v>
      </c>
      <c r="M92" s="15">
        <f t="shared" si="31"/>
        <v>0</v>
      </c>
      <c r="O92" s="15">
        <f t="shared" si="37"/>
        <v>0</v>
      </c>
      <c r="P92" s="15">
        <f t="shared" si="37"/>
        <v>0</v>
      </c>
      <c r="R92" s="15">
        <f t="shared" si="38"/>
        <v>0</v>
      </c>
      <c r="S92" s="15"/>
      <c r="T92" s="15">
        <f t="shared" si="32"/>
        <v>0</v>
      </c>
      <c r="U92" s="15">
        <f t="shared" si="32"/>
        <v>0</v>
      </c>
      <c r="V92" s="15">
        <f t="shared" si="32"/>
        <v>0</v>
      </c>
      <c r="W92" s="15"/>
      <c r="X92" s="15">
        <f t="shared" ref="X92:Y102" si="45">IF($C92=X$9,$G92+$H92,0)</f>
        <v>0</v>
      </c>
      <c r="Y92" s="15">
        <f t="shared" si="45"/>
        <v>0</v>
      </c>
      <c r="Z92" s="15"/>
      <c r="AA92" s="15">
        <f t="shared" ref="AA92:AP102" si="46">IF($C92=AA$9,$G92+$H92,0)</f>
        <v>0</v>
      </c>
      <c r="AB92" s="15">
        <f t="shared" si="46"/>
        <v>0</v>
      </c>
      <c r="AC92" s="15">
        <f t="shared" si="46"/>
        <v>0</v>
      </c>
      <c r="AD92" s="15">
        <f t="shared" si="46"/>
        <v>0</v>
      </c>
      <c r="AE92" s="15">
        <f t="shared" si="46"/>
        <v>0</v>
      </c>
      <c r="AF92" s="15">
        <f t="shared" si="46"/>
        <v>0</v>
      </c>
      <c r="AG92" s="15">
        <f t="shared" si="46"/>
        <v>0</v>
      </c>
      <c r="AH92" s="15">
        <f t="shared" si="46"/>
        <v>0</v>
      </c>
      <c r="AI92" s="15">
        <f t="shared" si="46"/>
        <v>0</v>
      </c>
      <c r="AJ92" s="15">
        <f t="shared" si="46"/>
        <v>0</v>
      </c>
      <c r="AK92" s="15">
        <f t="shared" si="46"/>
        <v>0</v>
      </c>
      <c r="AL92" s="15">
        <f t="shared" si="46"/>
        <v>0</v>
      </c>
      <c r="AM92" s="15">
        <f t="shared" si="46"/>
        <v>0</v>
      </c>
      <c r="AN92" s="15">
        <f t="shared" si="46"/>
        <v>0</v>
      </c>
      <c r="AO92" s="15">
        <f t="shared" si="46"/>
        <v>0</v>
      </c>
      <c r="AP92" s="15">
        <f t="shared" si="46"/>
        <v>0</v>
      </c>
      <c r="AQ92" s="5"/>
      <c r="AT92" s="52" t="str">
        <f t="shared" si="41"/>
        <v/>
      </c>
      <c r="AU92" s="36" t="str">
        <f t="shared" si="33"/>
        <v/>
      </c>
      <c r="AV92" s="36"/>
      <c r="AW92" s="36" t="str">
        <f t="shared" si="42"/>
        <v/>
      </c>
      <c r="AX92" s="57" t="str">
        <f>IF(C92="","",IF($C$4="","",VLOOKUP($C$4,'Chart of Accounts'!$A:$B,2,FALSE)))</f>
        <v/>
      </c>
      <c r="AY92" s="55" t="str">
        <f>IF(C92="","",VLOOKUP(C:C,'Chart of Accounts'!$A:$B,2,FALSE))</f>
        <v/>
      </c>
      <c r="AZ92" s="36" t="str">
        <f t="shared" si="43"/>
        <v/>
      </c>
      <c r="BA92" s="54">
        <f t="shared" si="34"/>
        <v>0</v>
      </c>
      <c r="BB92" s="56">
        <f t="shared" si="35"/>
        <v>0</v>
      </c>
    </row>
    <row r="93" spans="1:54" x14ac:dyDescent="0.25">
      <c r="A93" s="1" t="s">
        <v>104</v>
      </c>
      <c r="B93" s="28"/>
      <c r="G93" s="5"/>
      <c r="H93" s="5"/>
      <c r="I93" s="30">
        <f t="shared" si="36"/>
        <v>10500</v>
      </c>
      <c r="K93" s="7">
        <f t="shared" si="30"/>
        <v>0</v>
      </c>
      <c r="M93" s="15">
        <f t="shared" si="31"/>
        <v>0</v>
      </c>
      <c r="O93" s="15">
        <f t="shared" si="37"/>
        <v>0</v>
      </c>
      <c r="P93" s="15">
        <f t="shared" si="37"/>
        <v>0</v>
      </c>
      <c r="R93" s="15">
        <f t="shared" si="38"/>
        <v>0</v>
      </c>
      <c r="S93" s="15"/>
      <c r="T93" s="15">
        <f t="shared" si="32"/>
        <v>0</v>
      </c>
      <c r="U93" s="15">
        <f t="shared" si="32"/>
        <v>0</v>
      </c>
      <c r="V93" s="15">
        <f t="shared" si="32"/>
        <v>0</v>
      </c>
      <c r="W93" s="15"/>
      <c r="X93" s="15">
        <f t="shared" si="45"/>
        <v>0</v>
      </c>
      <c r="Y93" s="15">
        <f t="shared" si="45"/>
        <v>0</v>
      </c>
      <c r="Z93" s="15"/>
      <c r="AA93" s="15">
        <f t="shared" si="46"/>
        <v>0</v>
      </c>
      <c r="AB93" s="15">
        <f t="shared" si="46"/>
        <v>0</v>
      </c>
      <c r="AC93" s="15">
        <f t="shared" si="46"/>
        <v>0</v>
      </c>
      <c r="AD93" s="15">
        <f t="shared" si="46"/>
        <v>0</v>
      </c>
      <c r="AE93" s="15">
        <f t="shared" si="46"/>
        <v>0</v>
      </c>
      <c r="AF93" s="15">
        <f t="shared" si="46"/>
        <v>0</v>
      </c>
      <c r="AG93" s="15">
        <f t="shared" si="46"/>
        <v>0</v>
      </c>
      <c r="AH93" s="15">
        <f t="shared" si="46"/>
        <v>0</v>
      </c>
      <c r="AI93" s="15">
        <f t="shared" si="46"/>
        <v>0</v>
      </c>
      <c r="AJ93" s="15">
        <f t="shared" si="46"/>
        <v>0</v>
      </c>
      <c r="AK93" s="15">
        <f t="shared" si="46"/>
        <v>0</v>
      </c>
      <c r="AL93" s="15">
        <f t="shared" si="46"/>
        <v>0</v>
      </c>
      <c r="AM93" s="15">
        <f t="shared" si="46"/>
        <v>0</v>
      </c>
      <c r="AN93" s="15">
        <f t="shared" si="46"/>
        <v>0</v>
      </c>
      <c r="AO93" s="15">
        <f t="shared" si="46"/>
        <v>0</v>
      </c>
      <c r="AP93" s="15">
        <f t="shared" si="46"/>
        <v>0</v>
      </c>
      <c r="AQ93" s="5"/>
      <c r="AT93" s="52" t="str">
        <f t="shared" si="41"/>
        <v/>
      </c>
      <c r="AU93" s="36" t="str">
        <f t="shared" si="33"/>
        <v/>
      </c>
      <c r="AV93" s="36"/>
      <c r="AW93" s="36" t="str">
        <f t="shared" si="42"/>
        <v/>
      </c>
      <c r="AX93" s="57" t="str">
        <f>IF(C93="","",IF($C$4="","",VLOOKUP($C$4,'Chart of Accounts'!$A:$B,2,FALSE)))</f>
        <v/>
      </c>
      <c r="AY93" s="55" t="str">
        <f>IF(C93="","",VLOOKUP(C:C,'Chart of Accounts'!$A:$B,2,FALSE))</f>
        <v/>
      </c>
      <c r="AZ93" s="36" t="str">
        <f t="shared" si="43"/>
        <v/>
      </c>
      <c r="BA93" s="54">
        <f t="shared" si="34"/>
        <v>0</v>
      </c>
      <c r="BB93" s="56">
        <f t="shared" si="35"/>
        <v>0</v>
      </c>
    </row>
    <row r="94" spans="1:54" x14ac:dyDescent="0.25">
      <c r="A94" s="1" t="s">
        <v>105</v>
      </c>
      <c r="B94" s="28"/>
      <c r="G94" s="5"/>
      <c r="H94" s="5"/>
      <c r="I94" s="30">
        <f t="shared" si="36"/>
        <v>10500</v>
      </c>
      <c r="K94" s="7">
        <f t="shared" si="30"/>
        <v>0</v>
      </c>
      <c r="M94" s="15">
        <f t="shared" si="31"/>
        <v>0</v>
      </c>
      <c r="O94" s="15">
        <f t="shared" si="37"/>
        <v>0</v>
      </c>
      <c r="P94" s="15">
        <f t="shared" si="37"/>
        <v>0</v>
      </c>
      <c r="R94" s="15">
        <f t="shared" si="38"/>
        <v>0</v>
      </c>
      <c r="S94" s="15"/>
      <c r="T94" s="15">
        <f t="shared" si="32"/>
        <v>0</v>
      </c>
      <c r="U94" s="15">
        <f t="shared" si="32"/>
        <v>0</v>
      </c>
      <c r="V94" s="15">
        <f t="shared" si="32"/>
        <v>0</v>
      </c>
      <c r="W94" s="15"/>
      <c r="X94" s="15">
        <f t="shared" si="45"/>
        <v>0</v>
      </c>
      <c r="Y94" s="15">
        <f t="shared" si="45"/>
        <v>0</v>
      </c>
      <c r="Z94" s="15"/>
      <c r="AA94" s="15">
        <f t="shared" si="46"/>
        <v>0</v>
      </c>
      <c r="AB94" s="15">
        <f t="shared" si="46"/>
        <v>0</v>
      </c>
      <c r="AC94" s="15">
        <f t="shared" si="46"/>
        <v>0</v>
      </c>
      <c r="AD94" s="15">
        <f t="shared" si="46"/>
        <v>0</v>
      </c>
      <c r="AE94" s="15">
        <f t="shared" si="46"/>
        <v>0</v>
      </c>
      <c r="AF94" s="15">
        <f t="shared" si="46"/>
        <v>0</v>
      </c>
      <c r="AG94" s="15">
        <f t="shared" si="46"/>
        <v>0</v>
      </c>
      <c r="AH94" s="15">
        <f t="shared" si="46"/>
        <v>0</v>
      </c>
      <c r="AI94" s="15">
        <f t="shared" si="46"/>
        <v>0</v>
      </c>
      <c r="AJ94" s="15">
        <f t="shared" si="46"/>
        <v>0</v>
      </c>
      <c r="AK94" s="15">
        <f t="shared" si="46"/>
        <v>0</v>
      </c>
      <c r="AL94" s="15">
        <f t="shared" si="46"/>
        <v>0</v>
      </c>
      <c r="AM94" s="15">
        <f t="shared" si="46"/>
        <v>0</v>
      </c>
      <c r="AN94" s="15">
        <f t="shared" si="46"/>
        <v>0</v>
      </c>
      <c r="AO94" s="15">
        <f t="shared" si="46"/>
        <v>0</v>
      </c>
      <c r="AP94" s="15">
        <f t="shared" si="46"/>
        <v>0</v>
      </c>
      <c r="AQ94" s="5"/>
      <c r="AT94" s="52" t="str">
        <f t="shared" si="41"/>
        <v/>
      </c>
      <c r="AU94" s="36" t="str">
        <f t="shared" si="33"/>
        <v/>
      </c>
      <c r="AV94" s="36"/>
      <c r="AW94" s="36" t="str">
        <f t="shared" si="42"/>
        <v/>
      </c>
      <c r="AX94" s="57" t="str">
        <f>IF(C94="","",IF($C$4="","",VLOOKUP($C$4,'Chart of Accounts'!$A:$B,2,FALSE)))</f>
        <v/>
      </c>
      <c r="AY94" s="55" t="str">
        <f>IF(C94="","",VLOOKUP(C:C,'Chart of Accounts'!$A:$B,2,FALSE))</f>
        <v/>
      </c>
      <c r="AZ94" s="36" t="str">
        <f t="shared" si="43"/>
        <v/>
      </c>
      <c r="BA94" s="54">
        <f t="shared" si="34"/>
        <v>0</v>
      </c>
      <c r="BB94" s="56">
        <f t="shared" si="35"/>
        <v>0</v>
      </c>
    </row>
    <row r="95" spans="1:54" x14ac:dyDescent="0.25">
      <c r="A95" s="1" t="s">
        <v>106</v>
      </c>
      <c r="B95" s="28"/>
      <c r="G95" s="5"/>
      <c r="H95" s="5"/>
      <c r="I95" s="30">
        <f t="shared" si="36"/>
        <v>10500</v>
      </c>
      <c r="K95" s="7">
        <f t="shared" si="30"/>
        <v>0</v>
      </c>
      <c r="M95" s="15">
        <f t="shared" si="31"/>
        <v>0</v>
      </c>
      <c r="O95" s="15">
        <f t="shared" si="37"/>
        <v>0</v>
      </c>
      <c r="P95" s="15">
        <f t="shared" si="37"/>
        <v>0</v>
      </c>
      <c r="R95" s="15">
        <f t="shared" si="38"/>
        <v>0</v>
      </c>
      <c r="S95" s="15"/>
      <c r="T95" s="15">
        <f t="shared" si="32"/>
        <v>0</v>
      </c>
      <c r="U95" s="15">
        <f t="shared" si="32"/>
        <v>0</v>
      </c>
      <c r="V95" s="15">
        <f t="shared" si="32"/>
        <v>0</v>
      </c>
      <c r="W95" s="15"/>
      <c r="X95" s="15">
        <f t="shared" si="45"/>
        <v>0</v>
      </c>
      <c r="Y95" s="15">
        <f t="shared" si="45"/>
        <v>0</v>
      </c>
      <c r="Z95" s="15"/>
      <c r="AA95" s="15">
        <f t="shared" si="46"/>
        <v>0</v>
      </c>
      <c r="AB95" s="15">
        <f t="shared" si="46"/>
        <v>0</v>
      </c>
      <c r="AC95" s="15">
        <f t="shared" si="46"/>
        <v>0</v>
      </c>
      <c r="AD95" s="15">
        <f t="shared" si="46"/>
        <v>0</v>
      </c>
      <c r="AE95" s="15">
        <f t="shared" si="46"/>
        <v>0</v>
      </c>
      <c r="AF95" s="15">
        <f t="shared" si="46"/>
        <v>0</v>
      </c>
      <c r="AG95" s="15">
        <f t="shared" si="46"/>
        <v>0</v>
      </c>
      <c r="AH95" s="15">
        <f t="shared" si="46"/>
        <v>0</v>
      </c>
      <c r="AI95" s="15">
        <f t="shared" si="46"/>
        <v>0</v>
      </c>
      <c r="AJ95" s="15">
        <f t="shared" si="46"/>
        <v>0</v>
      </c>
      <c r="AK95" s="15">
        <f t="shared" si="46"/>
        <v>0</v>
      </c>
      <c r="AL95" s="15">
        <f t="shared" si="46"/>
        <v>0</v>
      </c>
      <c r="AM95" s="15">
        <f t="shared" si="46"/>
        <v>0</v>
      </c>
      <c r="AN95" s="15">
        <f t="shared" si="46"/>
        <v>0</v>
      </c>
      <c r="AO95" s="15">
        <f t="shared" si="46"/>
        <v>0</v>
      </c>
      <c r="AP95" s="15">
        <f t="shared" si="46"/>
        <v>0</v>
      </c>
      <c r="AQ95" s="5"/>
      <c r="AT95" s="52" t="str">
        <f t="shared" si="41"/>
        <v/>
      </c>
      <c r="AU95" s="36" t="str">
        <f t="shared" si="33"/>
        <v/>
      </c>
      <c r="AV95" s="36"/>
      <c r="AW95" s="36" t="str">
        <f t="shared" si="42"/>
        <v/>
      </c>
      <c r="AX95" s="57" t="str">
        <f>IF(C95="","",IF($C$4="","",VLOOKUP($C$4,'Chart of Accounts'!$A:$B,2,FALSE)))</f>
        <v/>
      </c>
      <c r="AY95" s="55" t="str">
        <f>IF(C95="","",VLOOKUP(C:C,'Chart of Accounts'!$A:$B,2,FALSE))</f>
        <v/>
      </c>
      <c r="AZ95" s="36" t="str">
        <f t="shared" si="43"/>
        <v/>
      </c>
      <c r="BA95" s="54">
        <f t="shared" si="34"/>
        <v>0</v>
      </c>
      <c r="BB95" s="56">
        <f t="shared" si="35"/>
        <v>0</v>
      </c>
    </row>
    <row r="96" spans="1:54" x14ac:dyDescent="0.25">
      <c r="A96" s="1" t="s">
        <v>107</v>
      </c>
      <c r="B96" s="28"/>
      <c r="G96" s="5"/>
      <c r="H96" s="5"/>
      <c r="I96" s="30">
        <f t="shared" si="36"/>
        <v>10500</v>
      </c>
      <c r="K96" s="7">
        <f t="shared" si="30"/>
        <v>0</v>
      </c>
      <c r="M96" s="15">
        <f t="shared" si="31"/>
        <v>0</v>
      </c>
      <c r="O96" s="15">
        <f t="shared" si="37"/>
        <v>0</v>
      </c>
      <c r="P96" s="15">
        <f t="shared" si="37"/>
        <v>0</v>
      </c>
      <c r="R96" s="15">
        <f t="shared" si="38"/>
        <v>0</v>
      </c>
      <c r="S96" s="15"/>
      <c r="T96" s="15">
        <f t="shared" si="32"/>
        <v>0</v>
      </c>
      <c r="U96" s="15">
        <f t="shared" si="32"/>
        <v>0</v>
      </c>
      <c r="V96" s="15">
        <f t="shared" si="32"/>
        <v>0</v>
      </c>
      <c r="W96" s="15"/>
      <c r="X96" s="15">
        <f t="shared" si="45"/>
        <v>0</v>
      </c>
      <c r="Y96" s="15">
        <f t="shared" si="45"/>
        <v>0</v>
      </c>
      <c r="Z96" s="15"/>
      <c r="AA96" s="15">
        <f t="shared" si="46"/>
        <v>0</v>
      </c>
      <c r="AB96" s="15">
        <f t="shared" si="46"/>
        <v>0</v>
      </c>
      <c r="AC96" s="15">
        <f t="shared" si="46"/>
        <v>0</v>
      </c>
      <c r="AD96" s="15">
        <f t="shared" si="46"/>
        <v>0</v>
      </c>
      <c r="AE96" s="15">
        <f t="shared" si="46"/>
        <v>0</v>
      </c>
      <c r="AF96" s="15">
        <f t="shared" si="46"/>
        <v>0</v>
      </c>
      <c r="AG96" s="15">
        <f t="shared" si="46"/>
        <v>0</v>
      </c>
      <c r="AH96" s="15">
        <f t="shared" si="46"/>
        <v>0</v>
      </c>
      <c r="AI96" s="15">
        <f t="shared" si="46"/>
        <v>0</v>
      </c>
      <c r="AJ96" s="15">
        <f t="shared" si="46"/>
        <v>0</v>
      </c>
      <c r="AK96" s="15">
        <f t="shared" si="46"/>
        <v>0</v>
      </c>
      <c r="AL96" s="15">
        <f t="shared" si="46"/>
        <v>0</v>
      </c>
      <c r="AM96" s="15">
        <f t="shared" si="46"/>
        <v>0</v>
      </c>
      <c r="AN96" s="15">
        <f t="shared" si="46"/>
        <v>0</v>
      </c>
      <c r="AO96" s="15">
        <f t="shared" si="46"/>
        <v>0</v>
      </c>
      <c r="AP96" s="15">
        <f t="shared" si="46"/>
        <v>0</v>
      </c>
      <c r="AQ96" s="5"/>
      <c r="AT96" s="52" t="str">
        <f t="shared" si="41"/>
        <v/>
      </c>
      <c r="AU96" s="36" t="str">
        <f t="shared" si="33"/>
        <v/>
      </c>
      <c r="AV96" s="36"/>
      <c r="AW96" s="36" t="str">
        <f t="shared" si="42"/>
        <v/>
      </c>
      <c r="AX96" s="57" t="str">
        <f>IF(C96="","",IF($C$4="","",VLOOKUP($C$4,'Chart of Accounts'!$A:$B,2,FALSE)))</f>
        <v/>
      </c>
      <c r="AY96" s="55" t="str">
        <f>IF(C96="","",VLOOKUP(C:C,'Chart of Accounts'!$A:$B,2,FALSE))</f>
        <v/>
      </c>
      <c r="AZ96" s="36" t="str">
        <f t="shared" si="43"/>
        <v/>
      </c>
      <c r="BA96" s="54">
        <f t="shared" si="34"/>
        <v>0</v>
      </c>
      <c r="BB96" s="56">
        <f t="shared" si="35"/>
        <v>0</v>
      </c>
    </row>
    <row r="97" spans="1:54" x14ac:dyDescent="0.25">
      <c r="A97" s="1" t="s">
        <v>108</v>
      </c>
      <c r="B97" s="28"/>
      <c r="G97" s="5"/>
      <c r="H97" s="5"/>
      <c r="I97" s="30">
        <f t="shared" si="36"/>
        <v>10500</v>
      </c>
      <c r="K97" s="7">
        <f t="shared" si="30"/>
        <v>0</v>
      </c>
      <c r="M97" s="15">
        <f t="shared" si="31"/>
        <v>0</v>
      </c>
      <c r="O97" s="15">
        <f t="shared" si="37"/>
        <v>0</v>
      </c>
      <c r="P97" s="15">
        <f t="shared" si="37"/>
        <v>0</v>
      </c>
      <c r="R97" s="15">
        <f t="shared" si="38"/>
        <v>0</v>
      </c>
      <c r="S97" s="15"/>
      <c r="T97" s="15">
        <f t="shared" si="32"/>
        <v>0</v>
      </c>
      <c r="U97" s="15">
        <f t="shared" si="32"/>
        <v>0</v>
      </c>
      <c r="V97" s="15">
        <f t="shared" si="32"/>
        <v>0</v>
      </c>
      <c r="W97" s="15"/>
      <c r="X97" s="15">
        <f t="shared" si="45"/>
        <v>0</v>
      </c>
      <c r="Y97" s="15">
        <f t="shared" si="45"/>
        <v>0</v>
      </c>
      <c r="Z97" s="15"/>
      <c r="AA97" s="15">
        <f t="shared" si="46"/>
        <v>0</v>
      </c>
      <c r="AB97" s="15">
        <f t="shared" si="46"/>
        <v>0</v>
      </c>
      <c r="AC97" s="15">
        <f t="shared" si="46"/>
        <v>0</v>
      </c>
      <c r="AD97" s="15">
        <f t="shared" si="46"/>
        <v>0</v>
      </c>
      <c r="AE97" s="15">
        <f t="shared" si="46"/>
        <v>0</v>
      </c>
      <c r="AF97" s="15">
        <f t="shared" si="46"/>
        <v>0</v>
      </c>
      <c r="AG97" s="15">
        <f t="shared" si="46"/>
        <v>0</v>
      </c>
      <c r="AH97" s="15">
        <f t="shared" si="46"/>
        <v>0</v>
      </c>
      <c r="AI97" s="15">
        <f t="shared" si="46"/>
        <v>0</v>
      </c>
      <c r="AJ97" s="15">
        <f t="shared" si="46"/>
        <v>0</v>
      </c>
      <c r="AK97" s="15">
        <f t="shared" si="46"/>
        <v>0</v>
      </c>
      <c r="AL97" s="15">
        <f t="shared" si="46"/>
        <v>0</v>
      </c>
      <c r="AM97" s="15">
        <f t="shared" si="46"/>
        <v>0</v>
      </c>
      <c r="AN97" s="15">
        <f t="shared" si="46"/>
        <v>0</v>
      </c>
      <c r="AO97" s="15">
        <f t="shared" si="46"/>
        <v>0</v>
      </c>
      <c r="AP97" s="15">
        <f t="shared" si="46"/>
        <v>0</v>
      </c>
      <c r="AQ97" s="5"/>
      <c r="AT97" s="52" t="str">
        <f t="shared" si="41"/>
        <v/>
      </c>
      <c r="AU97" s="36" t="str">
        <f t="shared" si="33"/>
        <v/>
      </c>
      <c r="AV97" s="36"/>
      <c r="AW97" s="36" t="str">
        <f t="shared" si="42"/>
        <v/>
      </c>
      <c r="AX97" s="57" t="str">
        <f>IF(C97="","",IF($C$4="","",VLOOKUP($C$4,'Chart of Accounts'!$A:$B,2,FALSE)))</f>
        <v/>
      </c>
      <c r="AY97" s="55" t="str">
        <f>IF(C97="","",VLOOKUP(C:C,'Chart of Accounts'!$A:$B,2,FALSE))</f>
        <v/>
      </c>
      <c r="AZ97" s="36" t="str">
        <f t="shared" si="43"/>
        <v/>
      </c>
      <c r="BA97" s="54">
        <f t="shared" si="34"/>
        <v>0</v>
      </c>
      <c r="BB97" s="56">
        <f t="shared" si="35"/>
        <v>0</v>
      </c>
    </row>
    <row r="98" spans="1:54" x14ac:dyDescent="0.25">
      <c r="A98" s="1" t="s">
        <v>109</v>
      </c>
      <c r="B98" s="28"/>
      <c r="G98" s="5"/>
      <c r="H98" s="5"/>
      <c r="I98" s="30">
        <f t="shared" si="36"/>
        <v>10500</v>
      </c>
      <c r="K98" s="7">
        <f t="shared" si="30"/>
        <v>0</v>
      </c>
      <c r="M98" s="15">
        <f t="shared" si="31"/>
        <v>0</v>
      </c>
      <c r="O98" s="15">
        <f t="shared" si="37"/>
        <v>0</v>
      </c>
      <c r="P98" s="15">
        <f t="shared" si="37"/>
        <v>0</v>
      </c>
      <c r="R98" s="15">
        <f t="shared" si="38"/>
        <v>0</v>
      </c>
      <c r="S98" s="15"/>
      <c r="T98" s="15">
        <f t="shared" si="32"/>
        <v>0</v>
      </c>
      <c r="U98" s="15">
        <f t="shared" si="32"/>
        <v>0</v>
      </c>
      <c r="V98" s="15">
        <f t="shared" si="32"/>
        <v>0</v>
      </c>
      <c r="W98" s="15"/>
      <c r="X98" s="15">
        <f t="shared" si="45"/>
        <v>0</v>
      </c>
      <c r="Y98" s="15">
        <f t="shared" si="45"/>
        <v>0</v>
      </c>
      <c r="Z98" s="15"/>
      <c r="AA98" s="15">
        <f t="shared" si="46"/>
        <v>0</v>
      </c>
      <c r="AB98" s="15">
        <f t="shared" si="46"/>
        <v>0</v>
      </c>
      <c r="AC98" s="15">
        <f t="shared" si="46"/>
        <v>0</v>
      </c>
      <c r="AD98" s="15">
        <f t="shared" si="46"/>
        <v>0</v>
      </c>
      <c r="AE98" s="15">
        <f t="shared" si="46"/>
        <v>0</v>
      </c>
      <c r="AF98" s="15">
        <f t="shared" si="46"/>
        <v>0</v>
      </c>
      <c r="AG98" s="15">
        <f t="shared" si="46"/>
        <v>0</v>
      </c>
      <c r="AH98" s="15">
        <f t="shared" si="46"/>
        <v>0</v>
      </c>
      <c r="AI98" s="15">
        <f t="shared" si="46"/>
        <v>0</v>
      </c>
      <c r="AJ98" s="15">
        <f t="shared" si="46"/>
        <v>0</v>
      </c>
      <c r="AK98" s="15">
        <f t="shared" si="46"/>
        <v>0</v>
      </c>
      <c r="AL98" s="15">
        <f t="shared" si="46"/>
        <v>0</v>
      </c>
      <c r="AM98" s="15">
        <f t="shared" si="46"/>
        <v>0</v>
      </c>
      <c r="AN98" s="15">
        <f t="shared" si="46"/>
        <v>0</v>
      </c>
      <c r="AO98" s="15">
        <f t="shared" si="46"/>
        <v>0</v>
      </c>
      <c r="AP98" s="15">
        <f t="shared" si="46"/>
        <v>0</v>
      </c>
      <c r="AQ98" s="5"/>
      <c r="AT98" s="52" t="str">
        <f t="shared" si="41"/>
        <v/>
      </c>
      <c r="AU98" s="36" t="str">
        <f t="shared" si="33"/>
        <v/>
      </c>
      <c r="AV98" s="36"/>
      <c r="AW98" s="36" t="str">
        <f t="shared" si="42"/>
        <v/>
      </c>
      <c r="AX98" s="57" t="str">
        <f>IF(C98="","",IF($C$4="","",VLOOKUP($C$4,'Chart of Accounts'!$A:$B,2,FALSE)))</f>
        <v/>
      </c>
      <c r="AY98" s="55" t="str">
        <f>IF(C98="","",VLOOKUP(C:C,'Chart of Accounts'!$A:$B,2,FALSE))</f>
        <v/>
      </c>
      <c r="AZ98" s="36" t="str">
        <f t="shared" si="43"/>
        <v/>
      </c>
      <c r="BA98" s="54">
        <f t="shared" si="34"/>
        <v>0</v>
      </c>
      <c r="BB98" s="56">
        <f t="shared" si="35"/>
        <v>0</v>
      </c>
    </row>
    <row r="99" spans="1:54" x14ac:dyDescent="0.25">
      <c r="A99" s="1" t="s">
        <v>110</v>
      </c>
      <c r="B99" s="28"/>
      <c r="G99" s="5"/>
      <c r="H99" s="5"/>
      <c r="I99" s="30">
        <f t="shared" si="36"/>
        <v>10500</v>
      </c>
      <c r="K99" s="7">
        <f t="shared" si="30"/>
        <v>0</v>
      </c>
      <c r="M99" s="15">
        <f t="shared" si="31"/>
        <v>0</v>
      </c>
      <c r="O99" s="15">
        <f t="shared" si="37"/>
        <v>0</v>
      </c>
      <c r="P99" s="15">
        <f t="shared" si="37"/>
        <v>0</v>
      </c>
      <c r="R99" s="15">
        <f t="shared" si="38"/>
        <v>0</v>
      </c>
      <c r="S99" s="15"/>
      <c r="T99" s="15">
        <f t="shared" si="32"/>
        <v>0</v>
      </c>
      <c r="U99" s="15">
        <f t="shared" si="32"/>
        <v>0</v>
      </c>
      <c r="V99" s="15">
        <f t="shared" si="32"/>
        <v>0</v>
      </c>
      <c r="W99" s="15"/>
      <c r="X99" s="15">
        <f t="shared" si="45"/>
        <v>0</v>
      </c>
      <c r="Y99" s="15">
        <f t="shared" si="45"/>
        <v>0</v>
      </c>
      <c r="Z99" s="15"/>
      <c r="AA99" s="15">
        <f t="shared" si="46"/>
        <v>0</v>
      </c>
      <c r="AB99" s="15">
        <f t="shared" si="46"/>
        <v>0</v>
      </c>
      <c r="AC99" s="15">
        <f t="shared" si="46"/>
        <v>0</v>
      </c>
      <c r="AD99" s="15">
        <f t="shared" si="46"/>
        <v>0</v>
      </c>
      <c r="AE99" s="15">
        <f t="shared" si="46"/>
        <v>0</v>
      </c>
      <c r="AF99" s="15">
        <f t="shared" si="46"/>
        <v>0</v>
      </c>
      <c r="AG99" s="15">
        <f t="shared" si="46"/>
        <v>0</v>
      </c>
      <c r="AH99" s="15">
        <f t="shared" si="46"/>
        <v>0</v>
      </c>
      <c r="AI99" s="15">
        <f t="shared" si="46"/>
        <v>0</v>
      </c>
      <c r="AJ99" s="15">
        <f t="shared" si="46"/>
        <v>0</v>
      </c>
      <c r="AK99" s="15">
        <f t="shared" si="46"/>
        <v>0</v>
      </c>
      <c r="AL99" s="15">
        <f t="shared" si="46"/>
        <v>0</v>
      </c>
      <c r="AM99" s="15">
        <f t="shared" si="46"/>
        <v>0</v>
      </c>
      <c r="AN99" s="15">
        <f t="shared" si="46"/>
        <v>0</v>
      </c>
      <c r="AO99" s="15">
        <f t="shared" si="46"/>
        <v>0</v>
      </c>
      <c r="AP99" s="15">
        <f t="shared" si="46"/>
        <v>0</v>
      </c>
      <c r="AQ99" s="5"/>
      <c r="AT99" s="52" t="str">
        <f t="shared" si="41"/>
        <v/>
      </c>
      <c r="AU99" s="36" t="str">
        <f t="shared" si="33"/>
        <v/>
      </c>
      <c r="AV99" s="36"/>
      <c r="AW99" s="36" t="str">
        <f t="shared" si="42"/>
        <v/>
      </c>
      <c r="AX99" s="57" t="str">
        <f>IF(C99="","",IF($C$4="","",VLOOKUP($C$4,'Chart of Accounts'!$A:$B,2,FALSE)))</f>
        <v/>
      </c>
      <c r="AY99" s="55" t="str">
        <f>IF(C99="","",VLOOKUP(C:C,'Chart of Accounts'!$A:$B,2,FALSE))</f>
        <v/>
      </c>
      <c r="AZ99" s="36" t="str">
        <f t="shared" si="43"/>
        <v/>
      </c>
      <c r="BA99" s="54">
        <f t="shared" si="34"/>
        <v>0</v>
      </c>
      <c r="BB99" s="56">
        <f t="shared" si="35"/>
        <v>0</v>
      </c>
    </row>
    <row r="100" spans="1:54" x14ac:dyDescent="0.25">
      <c r="A100" s="1" t="s">
        <v>111</v>
      </c>
      <c r="B100" s="28"/>
      <c r="G100" s="5"/>
      <c r="H100" s="5"/>
      <c r="I100" s="30">
        <f t="shared" si="36"/>
        <v>10500</v>
      </c>
      <c r="K100" s="7">
        <f t="shared" si="30"/>
        <v>0</v>
      </c>
      <c r="M100" s="15">
        <f t="shared" si="31"/>
        <v>0</v>
      </c>
      <c r="O100" s="15">
        <f t="shared" si="37"/>
        <v>0</v>
      </c>
      <c r="P100" s="15">
        <f t="shared" si="37"/>
        <v>0</v>
      </c>
      <c r="R100" s="15">
        <f t="shared" si="38"/>
        <v>0</v>
      </c>
      <c r="S100" s="15"/>
      <c r="T100" s="15">
        <f t="shared" si="32"/>
        <v>0</v>
      </c>
      <c r="U100" s="15">
        <f t="shared" si="32"/>
        <v>0</v>
      </c>
      <c r="V100" s="15">
        <f t="shared" si="32"/>
        <v>0</v>
      </c>
      <c r="W100" s="15"/>
      <c r="X100" s="15">
        <f t="shared" si="45"/>
        <v>0</v>
      </c>
      <c r="Y100" s="15">
        <f t="shared" si="45"/>
        <v>0</v>
      </c>
      <c r="Z100" s="15"/>
      <c r="AA100" s="15">
        <f t="shared" si="46"/>
        <v>0</v>
      </c>
      <c r="AB100" s="15">
        <f t="shared" si="46"/>
        <v>0</v>
      </c>
      <c r="AC100" s="15">
        <f t="shared" si="46"/>
        <v>0</v>
      </c>
      <c r="AD100" s="15">
        <f t="shared" si="46"/>
        <v>0</v>
      </c>
      <c r="AE100" s="15">
        <f t="shared" si="46"/>
        <v>0</v>
      </c>
      <c r="AF100" s="15">
        <f t="shared" si="46"/>
        <v>0</v>
      </c>
      <c r="AG100" s="15">
        <f t="shared" si="46"/>
        <v>0</v>
      </c>
      <c r="AH100" s="15">
        <f t="shared" si="46"/>
        <v>0</v>
      </c>
      <c r="AI100" s="15">
        <f t="shared" si="46"/>
        <v>0</v>
      </c>
      <c r="AJ100" s="15">
        <f t="shared" si="46"/>
        <v>0</v>
      </c>
      <c r="AK100" s="15">
        <f t="shared" si="46"/>
        <v>0</v>
      </c>
      <c r="AL100" s="15">
        <f t="shared" si="46"/>
        <v>0</v>
      </c>
      <c r="AM100" s="15">
        <f t="shared" si="46"/>
        <v>0</v>
      </c>
      <c r="AN100" s="15">
        <f t="shared" si="46"/>
        <v>0</v>
      </c>
      <c r="AO100" s="15">
        <f t="shared" si="46"/>
        <v>0</v>
      </c>
      <c r="AP100" s="15">
        <f t="shared" si="46"/>
        <v>0</v>
      </c>
      <c r="AQ100" s="5"/>
      <c r="AT100" s="52" t="str">
        <f t="shared" si="41"/>
        <v/>
      </c>
      <c r="AU100" s="36" t="str">
        <f t="shared" si="33"/>
        <v/>
      </c>
      <c r="AV100" s="36"/>
      <c r="AW100" s="36" t="str">
        <f t="shared" si="42"/>
        <v/>
      </c>
      <c r="AX100" s="57" t="str">
        <f>IF(C100="","",IF($C$4="","",VLOOKUP($C$4,'Chart of Accounts'!$A:$B,2,FALSE)))</f>
        <v/>
      </c>
      <c r="AY100" s="55" t="str">
        <f>IF(C100="","",VLOOKUP(C:C,'Chart of Accounts'!$A:$B,2,FALSE))</f>
        <v/>
      </c>
      <c r="AZ100" s="36" t="str">
        <f t="shared" si="43"/>
        <v/>
      </c>
      <c r="BA100" s="54">
        <f t="shared" si="34"/>
        <v>0</v>
      </c>
      <c r="BB100" s="56">
        <f t="shared" si="35"/>
        <v>0</v>
      </c>
    </row>
    <row r="101" spans="1:54" x14ac:dyDescent="0.25">
      <c r="A101" s="1" t="s">
        <v>112</v>
      </c>
      <c r="B101" s="28"/>
      <c r="G101" s="5"/>
      <c r="H101" s="5"/>
      <c r="I101" s="30">
        <f t="shared" si="36"/>
        <v>10500</v>
      </c>
      <c r="K101" s="7">
        <f t="shared" si="30"/>
        <v>0</v>
      </c>
      <c r="M101" s="15">
        <f t="shared" si="31"/>
        <v>0</v>
      </c>
      <c r="O101" s="15">
        <f t="shared" si="37"/>
        <v>0</v>
      </c>
      <c r="P101" s="15">
        <f t="shared" si="37"/>
        <v>0</v>
      </c>
      <c r="R101" s="15">
        <f t="shared" si="38"/>
        <v>0</v>
      </c>
      <c r="S101" s="15"/>
      <c r="T101" s="15">
        <f t="shared" si="32"/>
        <v>0</v>
      </c>
      <c r="U101" s="15">
        <f t="shared" si="32"/>
        <v>0</v>
      </c>
      <c r="V101" s="15">
        <f t="shared" si="32"/>
        <v>0</v>
      </c>
      <c r="W101" s="15"/>
      <c r="X101" s="15">
        <f t="shared" si="45"/>
        <v>0</v>
      </c>
      <c r="Y101" s="15">
        <f t="shared" si="45"/>
        <v>0</v>
      </c>
      <c r="Z101" s="15"/>
      <c r="AA101" s="15">
        <f t="shared" si="46"/>
        <v>0</v>
      </c>
      <c r="AB101" s="15">
        <f t="shared" si="46"/>
        <v>0</v>
      </c>
      <c r="AC101" s="15">
        <f t="shared" si="46"/>
        <v>0</v>
      </c>
      <c r="AD101" s="15">
        <f t="shared" si="46"/>
        <v>0</v>
      </c>
      <c r="AE101" s="15">
        <f t="shared" si="46"/>
        <v>0</v>
      </c>
      <c r="AF101" s="15">
        <f t="shared" si="46"/>
        <v>0</v>
      </c>
      <c r="AG101" s="15">
        <f t="shared" si="46"/>
        <v>0</v>
      </c>
      <c r="AH101" s="15">
        <f t="shared" si="46"/>
        <v>0</v>
      </c>
      <c r="AI101" s="15">
        <f t="shared" si="46"/>
        <v>0</v>
      </c>
      <c r="AJ101" s="15">
        <f t="shared" si="46"/>
        <v>0</v>
      </c>
      <c r="AK101" s="15">
        <f t="shared" si="46"/>
        <v>0</v>
      </c>
      <c r="AL101" s="15">
        <f t="shared" si="46"/>
        <v>0</v>
      </c>
      <c r="AM101" s="15">
        <f t="shared" si="46"/>
        <v>0</v>
      </c>
      <c r="AN101" s="15">
        <f t="shared" si="46"/>
        <v>0</v>
      </c>
      <c r="AO101" s="15">
        <f t="shared" si="46"/>
        <v>0</v>
      </c>
      <c r="AP101" s="15">
        <f t="shared" si="46"/>
        <v>0</v>
      </c>
      <c r="AQ101" s="5"/>
      <c r="AT101" s="52" t="str">
        <f t="shared" si="41"/>
        <v/>
      </c>
      <c r="AU101" s="36" t="str">
        <f t="shared" si="33"/>
        <v/>
      </c>
      <c r="AV101" s="36"/>
      <c r="AW101" s="36" t="str">
        <f t="shared" si="42"/>
        <v/>
      </c>
      <c r="AX101" s="57" t="str">
        <f>IF(C101="","",IF($C$4="","",VLOOKUP($C$4,'Chart of Accounts'!$A:$B,2,FALSE)))</f>
        <v/>
      </c>
      <c r="AY101" s="55" t="str">
        <f>IF(C101="","",VLOOKUP(C:C,'Chart of Accounts'!$A:$B,2,FALSE))</f>
        <v/>
      </c>
      <c r="AZ101" s="36" t="str">
        <f t="shared" si="43"/>
        <v/>
      </c>
      <c r="BA101" s="54">
        <f t="shared" si="34"/>
        <v>0</v>
      </c>
      <c r="BB101" s="56">
        <f t="shared" si="35"/>
        <v>0</v>
      </c>
    </row>
    <row r="102" spans="1:54" x14ac:dyDescent="0.25">
      <c r="A102" s="1" t="s">
        <v>113</v>
      </c>
      <c r="B102" s="28"/>
      <c r="G102" s="5"/>
      <c r="H102" s="5"/>
      <c r="I102" s="30">
        <f t="shared" si="36"/>
        <v>10500</v>
      </c>
      <c r="K102" s="7">
        <f t="shared" si="30"/>
        <v>0</v>
      </c>
      <c r="M102" s="15">
        <f t="shared" si="31"/>
        <v>0</v>
      </c>
      <c r="O102" s="15">
        <f t="shared" si="37"/>
        <v>0</v>
      </c>
      <c r="P102" s="15">
        <f t="shared" si="37"/>
        <v>0</v>
      </c>
      <c r="R102" s="15">
        <f t="shared" si="38"/>
        <v>0</v>
      </c>
      <c r="S102" s="15"/>
      <c r="T102" s="15">
        <f t="shared" si="32"/>
        <v>0</v>
      </c>
      <c r="U102" s="15">
        <f t="shared" si="32"/>
        <v>0</v>
      </c>
      <c r="V102" s="15">
        <f t="shared" si="32"/>
        <v>0</v>
      </c>
      <c r="W102" s="15"/>
      <c r="X102" s="15">
        <f t="shared" si="45"/>
        <v>0</v>
      </c>
      <c r="Y102" s="15">
        <f t="shared" si="45"/>
        <v>0</v>
      </c>
      <c r="Z102" s="15"/>
      <c r="AA102" s="15">
        <f t="shared" si="46"/>
        <v>0</v>
      </c>
      <c r="AB102" s="15">
        <f t="shared" si="46"/>
        <v>0</v>
      </c>
      <c r="AC102" s="15">
        <f t="shared" si="46"/>
        <v>0</v>
      </c>
      <c r="AD102" s="15">
        <f t="shared" si="46"/>
        <v>0</v>
      </c>
      <c r="AE102" s="15">
        <f t="shared" si="46"/>
        <v>0</v>
      </c>
      <c r="AF102" s="15">
        <f t="shared" si="46"/>
        <v>0</v>
      </c>
      <c r="AG102" s="15">
        <f t="shared" si="46"/>
        <v>0</v>
      </c>
      <c r="AH102" s="15">
        <f t="shared" si="46"/>
        <v>0</v>
      </c>
      <c r="AI102" s="15">
        <f t="shared" si="46"/>
        <v>0</v>
      </c>
      <c r="AJ102" s="15">
        <f t="shared" si="46"/>
        <v>0</v>
      </c>
      <c r="AK102" s="15">
        <f t="shared" si="46"/>
        <v>0</v>
      </c>
      <c r="AL102" s="15">
        <f t="shared" si="46"/>
        <v>0</v>
      </c>
      <c r="AM102" s="15">
        <f t="shared" si="46"/>
        <v>0</v>
      </c>
      <c r="AN102" s="15">
        <f t="shared" si="46"/>
        <v>0</v>
      </c>
      <c r="AO102" s="15">
        <f t="shared" si="46"/>
        <v>0</v>
      </c>
      <c r="AP102" s="15">
        <f t="shared" si="46"/>
        <v>0</v>
      </c>
      <c r="AQ102" s="5"/>
      <c r="AT102" s="52" t="str">
        <f t="shared" si="41"/>
        <v/>
      </c>
      <c r="AU102" s="36" t="str">
        <f t="shared" si="33"/>
        <v/>
      </c>
      <c r="AV102" s="36"/>
      <c r="AW102" s="36" t="str">
        <f t="shared" si="42"/>
        <v/>
      </c>
      <c r="AX102" s="57" t="str">
        <f>IF(C102="","",IF($C$4="","",VLOOKUP($C$4,'Chart of Accounts'!$A:$B,2,FALSE)))</f>
        <v/>
      </c>
      <c r="AY102" s="55" t="str">
        <f>IF(C102="","",VLOOKUP(C:C,'Chart of Accounts'!$A:$B,2,FALSE))</f>
        <v/>
      </c>
      <c r="AZ102" s="36" t="str">
        <f t="shared" si="43"/>
        <v/>
      </c>
      <c r="BA102" s="54">
        <f t="shared" si="34"/>
        <v>0</v>
      </c>
      <c r="BB102" s="56">
        <f t="shared" si="35"/>
        <v>0</v>
      </c>
    </row>
    <row r="103" spans="1:54" x14ac:dyDescent="0.25">
      <c r="B103" s="4"/>
      <c r="G103" s="5"/>
      <c r="H103" s="5"/>
      <c r="I103" s="30"/>
      <c r="K103" s="7"/>
      <c r="AT103" s="4"/>
      <c r="AX103" s="4"/>
    </row>
    <row r="104" spans="1:54" s="15" customFormat="1" ht="13.5" thickBot="1" x14ac:dyDescent="0.3">
      <c r="B104" s="16"/>
      <c r="G104" s="17">
        <f>SUBTOTAL(9,G11:G103)</f>
        <v>1000</v>
      </c>
      <c r="H104" s="17">
        <f>SUBTOTAL(9,H11:H103)</f>
        <v>-500</v>
      </c>
      <c r="I104" s="31"/>
      <c r="K104" s="7"/>
      <c r="M104" s="17">
        <f>SUBTOTAL(9,M11:M103)</f>
        <v>0</v>
      </c>
      <c r="N104" s="1"/>
      <c r="O104" s="17">
        <f>SUBTOTAL(9,O11:O103)</f>
        <v>0</v>
      </c>
      <c r="P104" s="17">
        <f>SUBTOTAL(9,P11:P103)</f>
        <v>0</v>
      </c>
      <c r="Q104" s="1"/>
      <c r="R104" s="17">
        <f>SUBTOTAL(9,R11:R103)</f>
        <v>0</v>
      </c>
      <c r="S104" s="1"/>
      <c r="T104" s="17">
        <f>SUBTOTAL(9,T11:T103)</f>
        <v>0</v>
      </c>
      <c r="U104" s="17">
        <f>SUBTOTAL(9,U11:U103)</f>
        <v>0</v>
      </c>
      <c r="V104" s="17">
        <f>SUBTOTAL(9,V11:V103)</f>
        <v>0</v>
      </c>
      <c r="W104" s="1"/>
      <c r="X104" s="17">
        <f>SUBTOTAL(9,X11:X103)</f>
        <v>1000</v>
      </c>
      <c r="Y104" s="17">
        <f>SUBTOTAL(9,Y11:Y103)</f>
        <v>0</v>
      </c>
      <c r="Z104" s="1"/>
      <c r="AA104" s="17">
        <f t="shared" ref="AA104:AK104" si="47">SUBTOTAL(9,AA11:AA103)</f>
        <v>0</v>
      </c>
      <c r="AB104" s="17">
        <f t="shared" si="47"/>
        <v>0</v>
      </c>
      <c r="AC104" s="17">
        <f t="shared" si="47"/>
        <v>0</v>
      </c>
      <c r="AD104" s="17">
        <f t="shared" si="47"/>
        <v>0</v>
      </c>
      <c r="AE104" s="17">
        <f t="shared" si="47"/>
        <v>0</v>
      </c>
      <c r="AF104" s="17">
        <f t="shared" si="47"/>
        <v>0</v>
      </c>
      <c r="AG104" s="17">
        <f t="shared" si="47"/>
        <v>0</v>
      </c>
      <c r="AH104" s="17">
        <f t="shared" si="47"/>
        <v>0</v>
      </c>
      <c r="AI104" s="17">
        <f t="shared" si="47"/>
        <v>-500</v>
      </c>
      <c r="AJ104" s="17">
        <f>SUBTOTAL(9,AJ11:AJ103)</f>
        <v>0</v>
      </c>
      <c r="AK104" s="17">
        <f t="shared" si="47"/>
        <v>0</v>
      </c>
      <c r="AL104" s="17">
        <f>SUBTOTAL(9,AL11:AL103)</f>
        <v>0</v>
      </c>
      <c r="AM104" s="17">
        <f>SUBTOTAL(9,AM11:AM103)</f>
        <v>0</v>
      </c>
      <c r="AN104" s="17">
        <f>SUBTOTAL(9,AN11:AN103)</f>
        <v>0</v>
      </c>
      <c r="AO104" s="17">
        <f>SUBTOTAL(9,AO11:AO103)</f>
        <v>0</v>
      </c>
      <c r="AP104" s="17">
        <f>SUBTOTAL(9,AP11:AP103)</f>
        <v>0</v>
      </c>
      <c r="AQ104" s="1"/>
      <c r="AT104" s="16"/>
      <c r="AV104" s="1"/>
      <c r="AW104" s="1"/>
      <c r="AX104" s="16"/>
      <c r="BA104" s="17">
        <f>SUBTOTAL(9,BA11:BA103)</f>
        <v>500</v>
      </c>
      <c r="BB104" s="17">
        <f>SUBTOTAL(9,BB11:BB103)</f>
        <v>-500</v>
      </c>
    </row>
  </sheetData>
  <sheetCalcPr fullCalcOnLoad="1"/>
  <autoFilter ref="A10:AS10" xr:uid="{13315CC7-B3CE-4067-8C6C-9A9F54CC96B6}"/>
  <mergeCells count="1">
    <mergeCell ref="C9:F9"/>
  </mergeCells>
  <phoneticPr fontId="2" type="noConversion"/>
  <pageMargins left="0.39370078740157483" right="0.39370078740157483" top="0.39370078740157483" bottom="0.39370078740157483" header="0.19685039370078741" footer="0.39370078740157483"/>
  <pageSetup paperSize="9" scale="33" fitToWidth="2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5BFB-3240-4D79-B9EC-51DFD9B3F1A2}">
  <sheetPr>
    <pageSetUpPr fitToPage="1"/>
  </sheetPr>
  <dimension ref="A1:BL104"/>
  <sheetViews>
    <sheetView zoomScale="70" zoomScaleNormal="70" workbookViewId="0">
      <pane xSplit="14" ySplit="10" topLeftCell="O11" activePane="bottomRight" state="frozen"/>
      <selection pane="topRight" activeCell="M1" sqref="M1"/>
      <selection pane="bottomLeft" activeCell="A10" sqref="A10"/>
      <selection pane="bottomRight" activeCell="O11" sqref="O11"/>
    </sheetView>
  </sheetViews>
  <sheetFormatPr defaultRowHeight="12.75" outlineLevelCol="1" x14ac:dyDescent="0.25"/>
  <cols>
    <col min="1" max="1" width="9.625" style="1" customWidth="1"/>
    <col min="2" max="2" width="7.75" style="24" customWidth="1"/>
    <col min="3" max="3" width="11.875" style="1" customWidth="1"/>
    <col min="4" max="7" width="16.875" style="1" customWidth="1"/>
    <col min="8" max="8" width="1.625" style="1" customWidth="1"/>
    <col min="9" max="11" width="12.125" style="1" customWidth="1"/>
    <col min="12" max="12" width="1.625" style="1" customWidth="1" outlineLevel="1"/>
    <col min="13" max="13" width="6.625" style="1" customWidth="1" outlineLevel="1"/>
    <col min="14" max="14" width="1.625" style="1" customWidth="1" outlineLevel="1"/>
    <col min="15" max="15" width="9" style="1" customWidth="1" outlineLevel="1"/>
    <col min="16" max="16" width="1.625" style="1" customWidth="1" outlineLevel="1"/>
    <col min="17" max="17" width="10.625" style="1" customWidth="1" outlineLevel="1"/>
    <col min="18" max="18" width="9" style="1" customWidth="1" outlineLevel="1"/>
    <col min="19" max="19" width="1.625" style="1" customWidth="1" outlineLevel="1"/>
    <col min="20" max="20" width="11.125" style="1" customWidth="1" outlineLevel="1"/>
    <col min="21" max="21" width="1.625" style="1" customWidth="1" outlineLevel="1"/>
    <col min="22" max="23" width="10.625" style="1" customWidth="1" outlineLevel="1"/>
    <col min="24" max="24" width="8.25" style="1" customWidth="1" outlineLevel="1"/>
    <col min="25" max="25" width="1.625" style="1" customWidth="1" outlineLevel="1"/>
    <col min="26" max="26" width="9.625" style="1" customWidth="1" outlineLevel="1"/>
    <col min="27" max="27" width="8.875" style="1" customWidth="1" outlineLevel="1"/>
    <col min="28" max="28" width="1.625" style="1" customWidth="1" outlineLevel="1"/>
    <col min="29" max="29" width="7.375" style="1" customWidth="1" outlineLevel="1"/>
    <col min="30" max="30" width="1.625" style="1" customWidth="1" outlineLevel="1"/>
    <col min="31" max="31" width="11.375" style="1" customWidth="1" outlineLevel="1"/>
    <col min="32" max="32" width="8" style="1" customWidth="1" outlineLevel="1"/>
    <col min="33" max="33" width="9.875" style="1" customWidth="1" outlineLevel="1"/>
    <col min="34" max="34" width="1.625" style="1" customWidth="1" outlineLevel="1"/>
    <col min="35" max="35" width="13.125" style="1" customWidth="1" outlineLevel="1"/>
    <col min="36" max="36" width="12.5" style="1" customWidth="1" outlineLevel="1"/>
    <col min="37" max="37" width="10.5" style="1" customWidth="1" outlineLevel="1"/>
    <col min="38" max="38" width="11.875" style="1" customWidth="1" outlineLevel="1"/>
    <col min="39" max="39" width="11" style="1" customWidth="1" outlineLevel="1"/>
    <col min="40" max="40" width="12.875" style="1" customWidth="1" outlineLevel="1"/>
    <col min="41" max="41" width="9.25" style="1" customWidth="1" outlineLevel="1"/>
    <col min="42" max="42" width="15.75" style="1" customWidth="1" outlineLevel="1"/>
    <col min="43" max="43" width="14.25" style="1" customWidth="1" outlineLevel="1"/>
    <col min="44" max="45" width="9.375" style="1" customWidth="1" outlineLevel="1"/>
    <col min="46" max="46" width="15.25" style="1" customWidth="1" outlineLevel="1"/>
    <col min="47" max="47" width="12.375" style="1" customWidth="1" outlineLevel="1"/>
    <col min="48" max="48" width="10.5" style="1" customWidth="1" outlineLevel="1"/>
    <col min="49" max="49" width="12.125" style="1" customWidth="1" outlineLevel="1"/>
    <col min="50" max="50" width="12.25" style="1" customWidth="1" outlineLevel="1"/>
    <col min="51" max="51" width="1.625" style="1" customWidth="1" outlineLevel="1"/>
    <col min="52" max="52" width="9" style="1"/>
    <col min="53" max="53" width="1.625" style="1" hidden="1" customWidth="1" outlineLevel="1"/>
    <col min="54" max="54" width="8.375" style="24" hidden="1" customWidth="1" outlineLevel="1"/>
    <col min="55" max="55" width="29.25" style="1" hidden="1" customWidth="1" outlineLevel="1"/>
    <col min="56" max="56" width="2.125" style="1" hidden="1" customWidth="1" outlineLevel="1"/>
    <col min="57" max="57" width="10.5" style="1" hidden="1" customWidth="1" outlineLevel="1"/>
    <col min="58" max="58" width="8.375" style="69" hidden="1" customWidth="1" outlineLevel="1"/>
    <col min="59" max="59" width="8.875" style="1" hidden="1" customWidth="1" outlineLevel="1"/>
    <col min="60" max="60" width="37.375" style="1" hidden="1" customWidth="1" outlineLevel="1"/>
    <col min="61" max="62" width="11.125" style="1" hidden="1" customWidth="1" outlineLevel="1"/>
    <col min="63" max="63" width="1.625" style="1" hidden="1" customWidth="1" outlineLevel="1"/>
    <col min="64" max="64" width="9" style="1" collapsed="1"/>
    <col min="65" max="16384" width="9" style="1"/>
  </cols>
  <sheetData>
    <row r="1" spans="1:63" x14ac:dyDescent="0.25">
      <c r="A1" s="2" t="s">
        <v>0</v>
      </c>
      <c r="B1" s="25"/>
      <c r="C1" s="13" t="s">
        <v>21</v>
      </c>
      <c r="D1" s="6"/>
      <c r="E1" s="6"/>
      <c r="G1" s="72" t="s">
        <v>10</v>
      </c>
      <c r="H1" s="73"/>
      <c r="I1" s="74" t="s">
        <v>12</v>
      </c>
      <c r="J1" s="75"/>
      <c r="K1" s="76"/>
      <c r="BB1" s="25"/>
      <c r="BF1" s="59"/>
    </row>
    <row r="2" spans="1:63" x14ac:dyDescent="0.25">
      <c r="A2" s="2" t="s">
        <v>1</v>
      </c>
      <c r="B2" s="25"/>
      <c r="C2" s="13" t="s">
        <v>22</v>
      </c>
      <c r="D2" s="14"/>
      <c r="E2" s="14"/>
      <c r="G2" s="77"/>
      <c r="H2" s="78"/>
      <c r="I2" s="78"/>
      <c r="J2" s="79"/>
      <c r="K2" s="80"/>
      <c r="BB2" s="25"/>
      <c r="BF2" s="59"/>
    </row>
    <row r="3" spans="1:63" x14ac:dyDescent="0.25">
      <c r="A3" s="12" t="s">
        <v>208</v>
      </c>
      <c r="B3" s="26"/>
      <c r="C3" s="13" t="s">
        <v>209</v>
      </c>
      <c r="D3" s="6"/>
      <c r="E3" s="6"/>
      <c r="BB3" s="26"/>
      <c r="BF3" s="60"/>
    </row>
    <row r="4" spans="1:63" x14ac:dyDescent="0.25">
      <c r="A4" s="12" t="s">
        <v>237</v>
      </c>
      <c r="B4" s="26"/>
      <c r="C4" s="13" t="s">
        <v>234</v>
      </c>
      <c r="D4" s="6"/>
      <c r="E4" s="6"/>
      <c r="BB4" s="26"/>
      <c r="BF4" s="60"/>
    </row>
    <row r="5" spans="1:63" x14ac:dyDescent="0.25">
      <c r="A5" s="12" t="s">
        <v>239</v>
      </c>
      <c r="B5" s="26"/>
      <c r="C5" s="1" t="s">
        <v>238</v>
      </c>
      <c r="D5" s="6"/>
      <c r="E5" s="6"/>
      <c r="BB5" s="26"/>
      <c r="BF5" s="60"/>
    </row>
    <row r="6" spans="1:63" s="11" customFormat="1" ht="0.95" customHeight="1" x14ac:dyDescent="0.25">
      <c r="B6" s="27"/>
      <c r="O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BB6" s="27"/>
      <c r="BF6" s="61"/>
    </row>
    <row r="8" spans="1:63" s="3" customFormat="1" ht="12.75" customHeight="1" x14ac:dyDescent="0.25">
      <c r="B8" s="25"/>
      <c r="L8" s="9"/>
      <c r="N8" s="9"/>
      <c r="P8" s="9"/>
      <c r="S8" s="9"/>
      <c r="U8" s="9"/>
      <c r="Y8" s="9"/>
      <c r="AB8" s="9"/>
      <c r="AD8" s="9"/>
      <c r="AH8" s="9"/>
      <c r="AY8" s="9"/>
      <c r="BA8" s="9"/>
      <c r="BB8" s="29"/>
      <c r="BC8" s="48"/>
      <c r="BD8" s="48"/>
      <c r="BE8" s="48"/>
      <c r="BF8" s="62" t="s">
        <v>233</v>
      </c>
      <c r="BG8" s="48"/>
      <c r="BH8" s="48"/>
      <c r="BI8" s="48"/>
      <c r="BJ8" s="48"/>
      <c r="BK8" s="9"/>
    </row>
    <row r="9" spans="1:63" s="2" customFormat="1" ht="38.25" x14ac:dyDescent="0.25">
      <c r="B9" s="25" t="s">
        <v>2</v>
      </c>
      <c r="C9" s="85" t="s">
        <v>3</v>
      </c>
      <c r="D9" s="86"/>
      <c r="E9" s="86"/>
      <c r="F9" s="87"/>
      <c r="G9" s="70"/>
      <c r="H9" s="70"/>
      <c r="I9" s="3" t="s">
        <v>15</v>
      </c>
      <c r="J9" s="3" t="s">
        <v>16</v>
      </c>
      <c r="K9" s="29" t="s">
        <v>4</v>
      </c>
      <c r="L9" s="9"/>
      <c r="M9" s="8" t="s">
        <v>6</v>
      </c>
      <c r="N9" s="10"/>
      <c r="O9" s="18" t="s">
        <v>19</v>
      </c>
      <c r="P9" s="10"/>
      <c r="Q9" s="19" t="s">
        <v>135</v>
      </c>
      <c r="R9" s="19" t="s">
        <v>137</v>
      </c>
      <c r="S9" s="21"/>
      <c r="T9" s="19" t="s">
        <v>143</v>
      </c>
      <c r="U9" s="21"/>
      <c r="V9" s="19" t="s">
        <v>128</v>
      </c>
      <c r="W9" s="19" t="s">
        <v>140</v>
      </c>
      <c r="X9" s="19" t="s">
        <v>17</v>
      </c>
      <c r="Y9" s="21"/>
      <c r="Z9" s="19" t="s">
        <v>7</v>
      </c>
      <c r="AA9" s="18" t="s">
        <v>156</v>
      </c>
      <c r="AB9" s="22"/>
      <c r="AC9" s="18" t="s">
        <v>153</v>
      </c>
      <c r="AD9" s="22"/>
      <c r="AE9" s="18" t="s">
        <v>174</v>
      </c>
      <c r="AF9" s="18" t="s">
        <v>193</v>
      </c>
      <c r="AG9" s="18" t="s">
        <v>183</v>
      </c>
      <c r="AH9" s="22"/>
      <c r="AI9" s="18" t="s">
        <v>163</v>
      </c>
      <c r="AJ9" s="18" t="s">
        <v>166</v>
      </c>
      <c r="AK9" s="18" t="s">
        <v>168</v>
      </c>
      <c r="AL9" s="18" t="s">
        <v>170</v>
      </c>
      <c r="AM9" s="18" t="s">
        <v>175</v>
      </c>
      <c r="AN9" s="18" t="s">
        <v>176</v>
      </c>
      <c r="AO9" s="18" t="s">
        <v>5</v>
      </c>
      <c r="AP9" s="18" t="s">
        <v>179</v>
      </c>
      <c r="AQ9" s="18" t="s">
        <v>181</v>
      </c>
      <c r="AR9" s="18" t="s">
        <v>189</v>
      </c>
      <c r="AS9" s="18" t="s">
        <v>190</v>
      </c>
      <c r="AT9" s="18" t="s">
        <v>191</v>
      </c>
      <c r="AU9" s="18" t="s">
        <v>194</v>
      </c>
      <c r="AV9" s="18" t="s">
        <v>18</v>
      </c>
      <c r="AW9" s="19" t="s">
        <v>197</v>
      </c>
      <c r="AX9" s="19" t="s">
        <v>20</v>
      </c>
      <c r="AY9" s="22"/>
      <c r="BA9" s="22"/>
      <c r="BB9" s="34" t="s">
        <v>115</v>
      </c>
      <c r="BC9" s="33" t="s">
        <v>205</v>
      </c>
      <c r="BD9" s="33"/>
      <c r="BE9" s="84" t="s">
        <v>241</v>
      </c>
      <c r="BF9" s="63" t="s">
        <v>228</v>
      </c>
      <c r="BG9" s="45" t="s">
        <v>229</v>
      </c>
      <c r="BH9" s="34" t="s">
        <v>206</v>
      </c>
      <c r="BI9" s="46" t="s">
        <v>230</v>
      </c>
      <c r="BJ9" s="47" t="s">
        <v>231</v>
      </c>
      <c r="BK9" s="22"/>
    </row>
    <row r="10" spans="1:63" x14ac:dyDescent="0.25">
      <c r="A10" s="1" t="s">
        <v>114</v>
      </c>
      <c r="B10" s="4" t="s">
        <v>115</v>
      </c>
      <c r="C10" s="1" t="s">
        <v>116</v>
      </c>
      <c r="D10" s="1" t="s">
        <v>117</v>
      </c>
      <c r="E10" s="1" t="s">
        <v>118</v>
      </c>
      <c r="F10" s="1" t="s">
        <v>119</v>
      </c>
      <c r="G10" s="1" t="s">
        <v>235</v>
      </c>
      <c r="I10" s="5"/>
      <c r="J10" s="5"/>
      <c r="K10" s="30"/>
      <c r="M10" s="7"/>
      <c r="O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BA10" s="23"/>
      <c r="BB10" s="58"/>
      <c r="BC10" s="48"/>
      <c r="BD10" s="34"/>
      <c r="BE10" s="34"/>
      <c r="BF10" s="64" t="s">
        <v>207</v>
      </c>
      <c r="BG10" s="50"/>
      <c r="BH10" s="48"/>
      <c r="BI10" s="49"/>
      <c r="BJ10" s="51"/>
      <c r="BK10" s="23"/>
    </row>
    <row r="11" spans="1:63" x14ac:dyDescent="0.25">
      <c r="A11" s="24">
        <v>0</v>
      </c>
      <c r="B11" s="32">
        <v>45658</v>
      </c>
      <c r="C11" s="1" t="s">
        <v>13</v>
      </c>
      <c r="I11" s="5"/>
      <c r="J11" s="5"/>
      <c r="K11" s="30">
        <v>10000</v>
      </c>
      <c r="L11" s="15"/>
      <c r="M11" s="7"/>
      <c r="N11" s="15"/>
      <c r="O11" s="5"/>
      <c r="P11" s="15"/>
      <c r="Q11" s="5"/>
      <c r="R11" s="5"/>
      <c r="T11" s="5"/>
      <c r="V11" s="5"/>
      <c r="W11" s="5"/>
      <c r="X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BB11" s="52"/>
      <c r="BC11" s="36"/>
      <c r="BD11" s="36"/>
      <c r="BE11" s="36"/>
      <c r="BF11" s="65"/>
      <c r="BG11" s="55"/>
      <c r="BH11" s="36"/>
      <c r="BI11" s="54"/>
      <c r="BJ11" s="55"/>
    </row>
    <row r="12" spans="1:63" x14ac:dyDescent="0.25">
      <c r="A12" s="1" t="s">
        <v>23</v>
      </c>
      <c r="B12" s="32">
        <v>45658</v>
      </c>
      <c r="C12" s="1" t="s">
        <v>7</v>
      </c>
      <c r="D12" s="1" t="s">
        <v>8</v>
      </c>
      <c r="F12" s="1" t="s">
        <v>9</v>
      </c>
      <c r="G12" s="71">
        <v>45658</v>
      </c>
      <c r="I12" s="5">
        <v>1000</v>
      </c>
      <c r="J12" s="5"/>
      <c r="K12" s="30">
        <f>K11+I12+J12</f>
        <v>11000</v>
      </c>
      <c r="L12" s="15"/>
      <c r="M12" s="7">
        <f t="shared" ref="M12:M43" si="0">SUM(I12:J12)-SUM(N12:AY12)</f>
        <v>0</v>
      </c>
      <c r="N12" s="15"/>
      <c r="O12" s="15">
        <f>IF($C12=O$9,$I12+$J12,0)</f>
        <v>0</v>
      </c>
      <c r="P12" s="15"/>
      <c r="Q12" s="15">
        <f t="shared" ref="Q12:R31" si="1">IF($C12=Q$9,$I12+$J12,0)</f>
        <v>0</v>
      </c>
      <c r="R12" s="15">
        <f t="shared" si="1"/>
        <v>0</v>
      </c>
      <c r="T12" s="15">
        <f>IF($C12=T$9,$I12+$J12,0)</f>
        <v>0</v>
      </c>
      <c r="U12" s="15"/>
      <c r="V12" s="15">
        <f t="shared" ref="V12:X31" si="2">IF($C12=V$9,$I12+$J12,0)</f>
        <v>0</v>
      </c>
      <c r="W12" s="15">
        <f t="shared" si="2"/>
        <v>0</v>
      </c>
      <c r="X12" s="15">
        <f t="shared" si="2"/>
        <v>0</v>
      </c>
      <c r="Y12" s="15"/>
      <c r="Z12" s="15">
        <f t="shared" ref="Z12:AA31" si="3">IF($C12=Z$9,$I12+$J12,0)</f>
        <v>1000</v>
      </c>
      <c r="AA12" s="15">
        <f t="shared" si="3"/>
        <v>0</v>
      </c>
      <c r="AB12" s="15"/>
      <c r="AC12" s="15">
        <f t="shared" ref="AC12:AC75" si="4">IF($C12=AC$9,$I12+$J12,0)</f>
        <v>0</v>
      </c>
      <c r="AD12" s="15"/>
      <c r="AE12" s="15">
        <f t="shared" ref="AE12:AG31" si="5">IF($C12=AE$9,$I12+$J12,0)</f>
        <v>0</v>
      </c>
      <c r="AF12" s="15">
        <f t="shared" si="5"/>
        <v>0</v>
      </c>
      <c r="AG12" s="15">
        <f t="shared" si="5"/>
        <v>0</v>
      </c>
      <c r="AH12" s="15"/>
      <c r="AI12" s="15">
        <f t="shared" ref="AI12:AX26" si="6">IF($C12=AI$9,$I12+$J12,0)</f>
        <v>0</v>
      </c>
      <c r="AJ12" s="15">
        <f t="shared" si="6"/>
        <v>0</v>
      </c>
      <c r="AK12" s="15">
        <f t="shared" si="6"/>
        <v>0</v>
      </c>
      <c r="AL12" s="15">
        <f t="shared" si="6"/>
        <v>0</v>
      </c>
      <c r="AM12" s="15">
        <f t="shared" si="6"/>
        <v>0</v>
      </c>
      <c r="AN12" s="15">
        <f t="shared" si="6"/>
        <v>0</v>
      </c>
      <c r="AO12" s="15">
        <f t="shared" si="6"/>
        <v>0</v>
      </c>
      <c r="AP12" s="15">
        <f t="shared" si="6"/>
        <v>0</v>
      </c>
      <c r="AQ12" s="15">
        <f t="shared" si="6"/>
        <v>0</v>
      </c>
      <c r="AR12" s="15">
        <f t="shared" si="6"/>
        <v>0</v>
      </c>
      <c r="AS12" s="15">
        <f t="shared" si="6"/>
        <v>0</v>
      </c>
      <c r="AT12" s="15">
        <f t="shared" si="6"/>
        <v>0</v>
      </c>
      <c r="AU12" s="15">
        <f t="shared" si="6"/>
        <v>0</v>
      </c>
      <c r="AV12" s="15">
        <f t="shared" si="6"/>
        <v>0</v>
      </c>
      <c r="AW12" s="15">
        <f t="shared" si="6"/>
        <v>0</v>
      </c>
      <c r="AX12" s="15">
        <f t="shared" si="6"/>
        <v>0</v>
      </c>
      <c r="AY12" s="5"/>
      <c r="BB12" s="52">
        <f>IF(B12="","",B12)</f>
        <v>45658</v>
      </c>
      <c r="BC12" s="36" t="str">
        <f t="shared" ref="BC12:BC75" si="7">IF(C12="","",$C$5&amp;"-"&amp;A12)</f>
        <v>CrCard:001-2501-001</v>
      </c>
      <c r="BD12" s="36"/>
      <c r="BE12" s="36">
        <f t="shared" ref="BE12:BE75" si="8">IF(BC12="","",COUNTIF(BC:BC,BC12)*2)</f>
        <v>2</v>
      </c>
      <c r="BF12" s="66">
        <f>IF(C12="","",IF($C$4="","",VLOOKUP($C$4,'Chart of Accounts'!$A:$B,2,FALSE)))</f>
        <v>1080</v>
      </c>
      <c r="BG12" s="55">
        <f>IF(C12="","",VLOOKUP(C:C,'Chart of Accounts'!$A:$B,2,FALSE))</f>
        <v>4000</v>
      </c>
      <c r="BH12" s="36" t="str">
        <f>IF(C12="","",C12&amp;":"&amp;D12&amp;IF(E12="",""," - "&amp;E12)&amp;IF(F12="",""," - "&amp;F12)&amp;IF(G12="",""," - "&amp;TEXT(G12,"MMM-YY")))</f>
        <v>Sales:Sale invoce #12345 - ABC customer - Jan-25</v>
      </c>
      <c r="BI12" s="54">
        <f>SUM(I12:J12)</f>
        <v>1000</v>
      </c>
      <c r="BJ12" s="56">
        <f>-SUM(I12:J12)</f>
        <v>-1000</v>
      </c>
    </row>
    <row r="13" spans="1:63" x14ac:dyDescent="0.25">
      <c r="A13" s="1" t="s">
        <v>24</v>
      </c>
      <c r="B13" s="32">
        <v>45658</v>
      </c>
      <c r="C13" s="1" t="s">
        <v>181</v>
      </c>
      <c r="D13" s="1" t="s">
        <v>14</v>
      </c>
      <c r="I13" s="5"/>
      <c r="J13" s="5">
        <v>-500</v>
      </c>
      <c r="K13" s="30">
        <f t="shared" ref="K13:K76" si="9">K12+I13+J13</f>
        <v>10500</v>
      </c>
      <c r="L13" s="15"/>
      <c r="M13" s="7">
        <f t="shared" si="0"/>
        <v>0</v>
      </c>
      <c r="N13" s="15"/>
      <c r="O13" s="15">
        <f>IF($C13=O$9,$I13+$J13,0)</f>
        <v>0</v>
      </c>
      <c r="P13" s="15"/>
      <c r="Q13" s="15">
        <f t="shared" si="1"/>
        <v>0</v>
      </c>
      <c r="R13" s="15">
        <f t="shared" si="1"/>
        <v>0</v>
      </c>
      <c r="T13" s="15">
        <f t="shared" ref="T13:T75" si="10">IF($C13=T$9,$I13+$J13,0)</f>
        <v>0</v>
      </c>
      <c r="U13" s="15"/>
      <c r="V13" s="15">
        <f t="shared" si="2"/>
        <v>0</v>
      </c>
      <c r="W13" s="15">
        <f t="shared" si="2"/>
        <v>0</v>
      </c>
      <c r="X13" s="15">
        <f t="shared" si="2"/>
        <v>0</v>
      </c>
      <c r="Y13" s="15"/>
      <c r="Z13" s="15">
        <f t="shared" si="3"/>
        <v>0</v>
      </c>
      <c r="AA13" s="15">
        <f t="shared" si="3"/>
        <v>0</v>
      </c>
      <c r="AB13" s="15"/>
      <c r="AC13" s="15">
        <f t="shared" si="4"/>
        <v>0</v>
      </c>
      <c r="AD13" s="15"/>
      <c r="AE13" s="15">
        <f t="shared" si="5"/>
        <v>0</v>
      </c>
      <c r="AF13" s="15">
        <f t="shared" si="5"/>
        <v>0</v>
      </c>
      <c r="AG13" s="15">
        <f t="shared" si="5"/>
        <v>0</v>
      </c>
      <c r="AH13" s="15"/>
      <c r="AI13" s="15">
        <f t="shared" si="6"/>
        <v>0</v>
      </c>
      <c r="AJ13" s="15">
        <f t="shared" si="6"/>
        <v>0</v>
      </c>
      <c r="AK13" s="15">
        <f t="shared" si="6"/>
        <v>0</v>
      </c>
      <c r="AL13" s="15">
        <f t="shared" si="6"/>
        <v>0</v>
      </c>
      <c r="AM13" s="15">
        <f t="shared" si="6"/>
        <v>0</v>
      </c>
      <c r="AN13" s="15">
        <f t="shared" si="6"/>
        <v>0</v>
      </c>
      <c r="AO13" s="15">
        <f t="shared" si="6"/>
        <v>0</v>
      </c>
      <c r="AP13" s="15">
        <f t="shared" si="6"/>
        <v>0</v>
      </c>
      <c r="AQ13" s="15">
        <f t="shared" si="6"/>
        <v>-500</v>
      </c>
      <c r="AR13" s="15">
        <f t="shared" si="6"/>
        <v>0</v>
      </c>
      <c r="AS13" s="15">
        <f t="shared" si="6"/>
        <v>0</v>
      </c>
      <c r="AT13" s="15">
        <f t="shared" si="6"/>
        <v>0</v>
      </c>
      <c r="AU13" s="15">
        <f t="shared" si="6"/>
        <v>0</v>
      </c>
      <c r="AV13" s="15">
        <f t="shared" si="6"/>
        <v>0</v>
      </c>
      <c r="AW13" s="15">
        <f t="shared" si="6"/>
        <v>0</v>
      </c>
      <c r="AX13" s="15">
        <f t="shared" si="6"/>
        <v>0</v>
      </c>
      <c r="AY13" s="5"/>
      <c r="BB13" s="52">
        <f t="shared" ref="BB13:BB76" si="11">IF(B13="","",B13)</f>
        <v>45658</v>
      </c>
      <c r="BC13" s="36" t="str">
        <f t="shared" si="7"/>
        <v>CrCard:001-2501-002</v>
      </c>
      <c r="BD13" s="36"/>
      <c r="BE13" s="36">
        <f t="shared" si="8"/>
        <v>2</v>
      </c>
      <c r="BF13" s="66">
        <f>IF(C13="","",IF($C$4="","",VLOOKUP($C$4,'Chart of Accounts'!$A:$B,2,FALSE)))</f>
        <v>1080</v>
      </c>
      <c r="BG13" s="55">
        <f>IF(C13="","",VLOOKUP(C:C,'Chart of Accounts'!$A:$B,2,FALSE))</f>
        <v>6750</v>
      </c>
      <c r="BH13" s="36" t="str">
        <f t="shared" ref="BH13:BH76" si="12">IF(C13="","",C13&amp;":"&amp;D13&amp;IF(E13="",""," - "&amp;E13)&amp;IF(F13="",""," - "&amp;F13)&amp;IF(G13="",""," - "&amp;TEXT(G13,"MMM-YY")))</f>
        <v>Local travelling:Travelling</v>
      </c>
      <c r="BI13" s="54">
        <f t="shared" ref="BI13:BI76" si="13">SUM(I13:J13)</f>
        <v>-500</v>
      </c>
      <c r="BJ13" s="56">
        <f t="shared" ref="BJ13:BJ76" si="14">-SUM(I13:J13)</f>
        <v>500</v>
      </c>
    </row>
    <row r="14" spans="1:63" x14ac:dyDescent="0.25">
      <c r="A14" s="1" t="s">
        <v>25</v>
      </c>
      <c r="B14" s="28"/>
      <c r="I14" s="5"/>
      <c r="J14" s="5"/>
      <c r="K14" s="30">
        <f t="shared" si="9"/>
        <v>10500</v>
      </c>
      <c r="L14" s="15"/>
      <c r="M14" s="7">
        <f t="shared" si="0"/>
        <v>0</v>
      </c>
      <c r="N14" s="15"/>
      <c r="O14" s="15">
        <f t="shared" ref="O14:O76" si="15">IF($C14=O$9,$I14+$J14,0)</f>
        <v>0</v>
      </c>
      <c r="P14" s="15"/>
      <c r="Q14" s="15">
        <f t="shared" si="1"/>
        <v>0</v>
      </c>
      <c r="R14" s="15">
        <f t="shared" si="1"/>
        <v>0</v>
      </c>
      <c r="T14" s="15">
        <f t="shared" si="10"/>
        <v>0</v>
      </c>
      <c r="U14" s="15"/>
      <c r="V14" s="15">
        <f t="shared" si="2"/>
        <v>0</v>
      </c>
      <c r="W14" s="15">
        <f t="shared" si="2"/>
        <v>0</v>
      </c>
      <c r="X14" s="15">
        <f t="shared" si="2"/>
        <v>0</v>
      </c>
      <c r="Y14" s="15"/>
      <c r="Z14" s="15">
        <f t="shared" si="3"/>
        <v>0</v>
      </c>
      <c r="AA14" s="15">
        <f t="shared" si="3"/>
        <v>0</v>
      </c>
      <c r="AB14" s="15"/>
      <c r="AC14" s="15">
        <f t="shared" si="4"/>
        <v>0</v>
      </c>
      <c r="AD14" s="15"/>
      <c r="AE14" s="15">
        <f t="shared" si="5"/>
        <v>0</v>
      </c>
      <c r="AF14" s="15">
        <f t="shared" si="5"/>
        <v>0</v>
      </c>
      <c r="AG14" s="15">
        <f t="shared" si="5"/>
        <v>0</v>
      </c>
      <c r="AH14" s="15"/>
      <c r="AI14" s="15">
        <f t="shared" si="6"/>
        <v>0</v>
      </c>
      <c r="AJ14" s="15">
        <f t="shared" si="6"/>
        <v>0</v>
      </c>
      <c r="AK14" s="15">
        <f t="shared" si="6"/>
        <v>0</v>
      </c>
      <c r="AL14" s="15">
        <f t="shared" si="6"/>
        <v>0</v>
      </c>
      <c r="AM14" s="15">
        <f t="shared" si="6"/>
        <v>0</v>
      </c>
      <c r="AN14" s="15">
        <f t="shared" si="6"/>
        <v>0</v>
      </c>
      <c r="AO14" s="15">
        <f t="shared" si="6"/>
        <v>0</v>
      </c>
      <c r="AP14" s="15">
        <f t="shared" si="6"/>
        <v>0</v>
      </c>
      <c r="AQ14" s="15">
        <f t="shared" si="6"/>
        <v>0</v>
      </c>
      <c r="AR14" s="15">
        <f t="shared" si="6"/>
        <v>0</v>
      </c>
      <c r="AS14" s="15">
        <f t="shared" si="6"/>
        <v>0</v>
      </c>
      <c r="AT14" s="15">
        <f t="shared" si="6"/>
        <v>0</v>
      </c>
      <c r="AU14" s="15">
        <f t="shared" si="6"/>
        <v>0</v>
      </c>
      <c r="AV14" s="15">
        <f t="shared" si="6"/>
        <v>0</v>
      </c>
      <c r="AW14" s="15">
        <f t="shared" si="6"/>
        <v>0</v>
      </c>
      <c r="AX14" s="15">
        <f t="shared" si="6"/>
        <v>0</v>
      </c>
      <c r="AY14" s="5"/>
      <c r="BB14" s="52" t="str">
        <f t="shared" si="11"/>
        <v/>
      </c>
      <c r="BC14" s="36" t="str">
        <f t="shared" si="7"/>
        <v/>
      </c>
      <c r="BD14" s="36"/>
      <c r="BE14" s="36" t="str">
        <f t="shared" si="8"/>
        <v/>
      </c>
      <c r="BF14" s="66" t="str">
        <f>IF(C14="","",IF($C$4="","",VLOOKUP($C$4,'Chart of Accounts'!$A:$B,2,FALSE)))</f>
        <v/>
      </c>
      <c r="BG14" s="55" t="str">
        <f>IF(C14="","",VLOOKUP(C:C,'Chart of Accounts'!$A:$B,2,FALSE))</f>
        <v/>
      </c>
      <c r="BH14" s="36" t="str">
        <f t="shared" si="12"/>
        <v/>
      </c>
      <c r="BI14" s="54">
        <f t="shared" si="13"/>
        <v>0</v>
      </c>
      <c r="BJ14" s="56">
        <f t="shared" si="14"/>
        <v>0</v>
      </c>
    </row>
    <row r="15" spans="1:63" x14ac:dyDescent="0.25">
      <c r="A15" s="1" t="s">
        <v>26</v>
      </c>
      <c r="B15" s="28"/>
      <c r="I15" s="5"/>
      <c r="J15" s="5"/>
      <c r="K15" s="30">
        <f t="shared" si="9"/>
        <v>10500</v>
      </c>
      <c r="L15" s="15"/>
      <c r="M15" s="7">
        <f t="shared" si="0"/>
        <v>0</v>
      </c>
      <c r="N15" s="15"/>
      <c r="O15" s="15">
        <f t="shared" si="15"/>
        <v>0</v>
      </c>
      <c r="P15" s="15"/>
      <c r="Q15" s="15">
        <f t="shared" si="1"/>
        <v>0</v>
      </c>
      <c r="R15" s="15">
        <f t="shared" si="1"/>
        <v>0</v>
      </c>
      <c r="T15" s="15">
        <f t="shared" si="10"/>
        <v>0</v>
      </c>
      <c r="U15" s="15"/>
      <c r="V15" s="15">
        <f t="shared" si="2"/>
        <v>0</v>
      </c>
      <c r="W15" s="15">
        <f t="shared" si="2"/>
        <v>0</v>
      </c>
      <c r="X15" s="15">
        <f t="shared" si="2"/>
        <v>0</v>
      </c>
      <c r="Y15" s="15"/>
      <c r="Z15" s="15">
        <f t="shared" si="3"/>
        <v>0</v>
      </c>
      <c r="AA15" s="15">
        <f t="shared" si="3"/>
        <v>0</v>
      </c>
      <c r="AB15" s="15"/>
      <c r="AC15" s="15">
        <f t="shared" si="4"/>
        <v>0</v>
      </c>
      <c r="AD15" s="15"/>
      <c r="AE15" s="15">
        <f t="shared" si="5"/>
        <v>0</v>
      </c>
      <c r="AF15" s="15">
        <f t="shared" si="5"/>
        <v>0</v>
      </c>
      <c r="AG15" s="15">
        <f t="shared" si="5"/>
        <v>0</v>
      </c>
      <c r="AH15" s="15"/>
      <c r="AI15" s="15">
        <f t="shared" si="6"/>
        <v>0</v>
      </c>
      <c r="AJ15" s="15">
        <f t="shared" si="6"/>
        <v>0</v>
      </c>
      <c r="AK15" s="15">
        <f t="shared" si="6"/>
        <v>0</v>
      </c>
      <c r="AL15" s="15">
        <f t="shared" si="6"/>
        <v>0</v>
      </c>
      <c r="AM15" s="15">
        <f t="shared" si="6"/>
        <v>0</v>
      </c>
      <c r="AN15" s="15">
        <f t="shared" si="6"/>
        <v>0</v>
      </c>
      <c r="AO15" s="15">
        <f t="shared" si="6"/>
        <v>0</v>
      </c>
      <c r="AP15" s="15">
        <f t="shared" si="6"/>
        <v>0</v>
      </c>
      <c r="AQ15" s="15">
        <f t="shared" si="6"/>
        <v>0</v>
      </c>
      <c r="AR15" s="15">
        <f t="shared" si="6"/>
        <v>0</v>
      </c>
      <c r="AS15" s="15">
        <f t="shared" si="6"/>
        <v>0</v>
      </c>
      <c r="AT15" s="15">
        <f t="shared" si="6"/>
        <v>0</v>
      </c>
      <c r="AU15" s="15">
        <f t="shared" si="6"/>
        <v>0</v>
      </c>
      <c r="AV15" s="15">
        <f t="shared" si="6"/>
        <v>0</v>
      </c>
      <c r="AW15" s="15">
        <f t="shared" si="6"/>
        <v>0</v>
      </c>
      <c r="AX15" s="15">
        <f t="shared" si="6"/>
        <v>0</v>
      </c>
      <c r="AY15" s="5"/>
      <c r="BB15" s="52" t="str">
        <f t="shared" si="11"/>
        <v/>
      </c>
      <c r="BC15" s="36" t="str">
        <f t="shared" si="7"/>
        <v/>
      </c>
      <c r="BD15" s="36"/>
      <c r="BE15" s="36" t="str">
        <f t="shared" si="8"/>
        <v/>
      </c>
      <c r="BF15" s="66" t="str">
        <f>IF(C15="","",IF($C$4="","",VLOOKUP($C$4,'Chart of Accounts'!$A:$B,2,FALSE)))</f>
        <v/>
      </c>
      <c r="BG15" s="55" t="str">
        <f>IF(C15="","",VLOOKUP(C:C,'Chart of Accounts'!$A:$B,2,FALSE))</f>
        <v/>
      </c>
      <c r="BH15" s="36" t="str">
        <f t="shared" si="12"/>
        <v/>
      </c>
      <c r="BI15" s="54">
        <f t="shared" si="13"/>
        <v>0</v>
      </c>
      <c r="BJ15" s="56">
        <f t="shared" si="14"/>
        <v>0</v>
      </c>
    </row>
    <row r="16" spans="1:63" x14ac:dyDescent="0.25">
      <c r="A16" s="1" t="s">
        <v>27</v>
      </c>
      <c r="B16" s="28"/>
      <c r="I16" s="5"/>
      <c r="J16" s="5"/>
      <c r="K16" s="30">
        <f t="shared" si="9"/>
        <v>10500</v>
      </c>
      <c r="L16" s="15"/>
      <c r="M16" s="7">
        <f t="shared" si="0"/>
        <v>0</v>
      </c>
      <c r="N16" s="15"/>
      <c r="O16" s="15">
        <f t="shared" si="15"/>
        <v>0</v>
      </c>
      <c r="P16" s="15"/>
      <c r="Q16" s="15">
        <f t="shared" si="1"/>
        <v>0</v>
      </c>
      <c r="R16" s="15">
        <f t="shared" si="1"/>
        <v>0</v>
      </c>
      <c r="T16" s="15">
        <f t="shared" si="10"/>
        <v>0</v>
      </c>
      <c r="U16" s="15"/>
      <c r="V16" s="15">
        <f t="shared" si="2"/>
        <v>0</v>
      </c>
      <c r="W16" s="15">
        <f t="shared" si="2"/>
        <v>0</v>
      </c>
      <c r="X16" s="15">
        <f t="shared" si="2"/>
        <v>0</v>
      </c>
      <c r="Y16" s="15"/>
      <c r="Z16" s="15">
        <f t="shared" si="3"/>
        <v>0</v>
      </c>
      <c r="AA16" s="15">
        <f t="shared" si="3"/>
        <v>0</v>
      </c>
      <c r="AB16" s="15"/>
      <c r="AC16" s="15">
        <f t="shared" si="4"/>
        <v>0</v>
      </c>
      <c r="AD16" s="15"/>
      <c r="AE16" s="15">
        <f t="shared" si="5"/>
        <v>0</v>
      </c>
      <c r="AF16" s="15">
        <f t="shared" si="5"/>
        <v>0</v>
      </c>
      <c r="AG16" s="15">
        <f t="shared" si="5"/>
        <v>0</v>
      </c>
      <c r="AH16" s="15"/>
      <c r="AI16" s="15">
        <f t="shared" si="6"/>
        <v>0</v>
      </c>
      <c r="AJ16" s="15">
        <f t="shared" si="6"/>
        <v>0</v>
      </c>
      <c r="AK16" s="15">
        <f t="shared" si="6"/>
        <v>0</v>
      </c>
      <c r="AL16" s="15">
        <f t="shared" si="6"/>
        <v>0</v>
      </c>
      <c r="AM16" s="15">
        <f t="shared" si="6"/>
        <v>0</v>
      </c>
      <c r="AN16" s="15">
        <f t="shared" si="6"/>
        <v>0</v>
      </c>
      <c r="AO16" s="15">
        <f t="shared" si="6"/>
        <v>0</v>
      </c>
      <c r="AP16" s="15">
        <f t="shared" si="6"/>
        <v>0</v>
      </c>
      <c r="AQ16" s="15">
        <f t="shared" si="6"/>
        <v>0</v>
      </c>
      <c r="AR16" s="15">
        <f t="shared" si="6"/>
        <v>0</v>
      </c>
      <c r="AS16" s="15">
        <f t="shared" si="6"/>
        <v>0</v>
      </c>
      <c r="AT16" s="15">
        <f t="shared" si="6"/>
        <v>0</v>
      </c>
      <c r="AU16" s="15">
        <f t="shared" si="6"/>
        <v>0</v>
      </c>
      <c r="AV16" s="15">
        <f t="shared" si="6"/>
        <v>0</v>
      </c>
      <c r="AW16" s="15">
        <f t="shared" si="6"/>
        <v>0</v>
      </c>
      <c r="AX16" s="15">
        <f t="shared" si="6"/>
        <v>0</v>
      </c>
      <c r="AY16" s="5"/>
      <c r="BB16" s="52" t="str">
        <f t="shared" si="11"/>
        <v/>
      </c>
      <c r="BC16" s="36" t="str">
        <f t="shared" si="7"/>
        <v/>
      </c>
      <c r="BD16" s="36"/>
      <c r="BE16" s="36" t="str">
        <f t="shared" si="8"/>
        <v/>
      </c>
      <c r="BF16" s="66" t="str">
        <f>IF(C16="","",IF($C$4="","",VLOOKUP($C$4,'Chart of Accounts'!$A:$B,2,FALSE)))</f>
        <v/>
      </c>
      <c r="BG16" s="55" t="str">
        <f>IF(C16="","",VLOOKUP(C:C,'Chart of Accounts'!$A:$B,2,FALSE))</f>
        <v/>
      </c>
      <c r="BH16" s="36" t="str">
        <f t="shared" si="12"/>
        <v/>
      </c>
      <c r="BI16" s="54">
        <f t="shared" si="13"/>
        <v>0</v>
      </c>
      <c r="BJ16" s="56">
        <f t="shared" si="14"/>
        <v>0</v>
      </c>
    </row>
    <row r="17" spans="1:62" x14ac:dyDescent="0.25">
      <c r="A17" s="1" t="s">
        <v>28</v>
      </c>
      <c r="B17" s="28"/>
      <c r="I17" s="5"/>
      <c r="J17" s="5"/>
      <c r="K17" s="30">
        <f t="shared" si="9"/>
        <v>10500</v>
      </c>
      <c r="L17" s="15"/>
      <c r="M17" s="7">
        <f t="shared" si="0"/>
        <v>0</v>
      </c>
      <c r="N17" s="15"/>
      <c r="O17" s="15">
        <f t="shared" si="15"/>
        <v>0</v>
      </c>
      <c r="P17" s="15"/>
      <c r="Q17" s="15">
        <f t="shared" si="1"/>
        <v>0</v>
      </c>
      <c r="R17" s="15">
        <f t="shared" si="1"/>
        <v>0</v>
      </c>
      <c r="T17" s="15">
        <f t="shared" si="10"/>
        <v>0</v>
      </c>
      <c r="U17" s="15"/>
      <c r="V17" s="15">
        <f t="shared" si="2"/>
        <v>0</v>
      </c>
      <c r="W17" s="15">
        <f t="shared" si="2"/>
        <v>0</v>
      </c>
      <c r="X17" s="15">
        <f t="shared" si="2"/>
        <v>0</v>
      </c>
      <c r="Y17" s="15"/>
      <c r="Z17" s="15">
        <f t="shared" si="3"/>
        <v>0</v>
      </c>
      <c r="AA17" s="15">
        <f t="shared" si="3"/>
        <v>0</v>
      </c>
      <c r="AB17" s="15"/>
      <c r="AC17" s="15">
        <f t="shared" si="4"/>
        <v>0</v>
      </c>
      <c r="AD17" s="15"/>
      <c r="AE17" s="15">
        <f t="shared" si="5"/>
        <v>0</v>
      </c>
      <c r="AF17" s="15">
        <f t="shared" si="5"/>
        <v>0</v>
      </c>
      <c r="AG17" s="15">
        <f t="shared" si="5"/>
        <v>0</v>
      </c>
      <c r="AH17" s="15"/>
      <c r="AI17" s="15">
        <f t="shared" si="6"/>
        <v>0</v>
      </c>
      <c r="AJ17" s="15">
        <f t="shared" si="6"/>
        <v>0</v>
      </c>
      <c r="AK17" s="15">
        <f t="shared" si="6"/>
        <v>0</v>
      </c>
      <c r="AL17" s="15">
        <f t="shared" si="6"/>
        <v>0</v>
      </c>
      <c r="AM17" s="15">
        <f t="shared" si="6"/>
        <v>0</v>
      </c>
      <c r="AN17" s="15">
        <f t="shared" si="6"/>
        <v>0</v>
      </c>
      <c r="AO17" s="15">
        <f t="shared" si="6"/>
        <v>0</v>
      </c>
      <c r="AP17" s="15">
        <f t="shared" si="6"/>
        <v>0</v>
      </c>
      <c r="AQ17" s="15">
        <f t="shared" si="6"/>
        <v>0</v>
      </c>
      <c r="AR17" s="15">
        <f t="shared" si="6"/>
        <v>0</v>
      </c>
      <c r="AS17" s="15">
        <f t="shared" si="6"/>
        <v>0</v>
      </c>
      <c r="AT17" s="15">
        <f t="shared" si="6"/>
        <v>0</v>
      </c>
      <c r="AU17" s="15">
        <f t="shared" si="6"/>
        <v>0</v>
      </c>
      <c r="AV17" s="15">
        <f t="shared" si="6"/>
        <v>0</v>
      </c>
      <c r="AW17" s="15">
        <f t="shared" si="6"/>
        <v>0</v>
      </c>
      <c r="AX17" s="15">
        <f t="shared" si="6"/>
        <v>0</v>
      </c>
      <c r="AY17" s="5"/>
      <c r="BB17" s="52" t="str">
        <f t="shared" si="11"/>
        <v/>
      </c>
      <c r="BC17" s="36" t="str">
        <f t="shared" si="7"/>
        <v/>
      </c>
      <c r="BD17" s="36"/>
      <c r="BE17" s="36" t="str">
        <f t="shared" si="8"/>
        <v/>
      </c>
      <c r="BF17" s="66" t="str">
        <f>IF(C17="","",IF($C$4="","",VLOOKUP($C$4,'Chart of Accounts'!$A:$B,2,FALSE)))</f>
        <v/>
      </c>
      <c r="BG17" s="55" t="str">
        <f>IF(C17="","",VLOOKUP(C:C,'Chart of Accounts'!$A:$B,2,FALSE))</f>
        <v/>
      </c>
      <c r="BH17" s="36" t="str">
        <f t="shared" si="12"/>
        <v/>
      </c>
      <c r="BI17" s="54">
        <f t="shared" si="13"/>
        <v>0</v>
      </c>
      <c r="BJ17" s="56">
        <f t="shared" si="14"/>
        <v>0</v>
      </c>
    </row>
    <row r="18" spans="1:62" x14ac:dyDescent="0.25">
      <c r="A18" s="1" t="s">
        <v>29</v>
      </c>
      <c r="B18" s="28"/>
      <c r="I18" s="5"/>
      <c r="J18" s="5"/>
      <c r="K18" s="30">
        <f t="shared" si="9"/>
        <v>10500</v>
      </c>
      <c r="L18" s="15"/>
      <c r="M18" s="7">
        <f t="shared" si="0"/>
        <v>0</v>
      </c>
      <c r="N18" s="15"/>
      <c r="O18" s="15">
        <f t="shared" si="15"/>
        <v>0</v>
      </c>
      <c r="P18" s="15"/>
      <c r="Q18" s="15">
        <f t="shared" si="1"/>
        <v>0</v>
      </c>
      <c r="R18" s="15">
        <f t="shared" si="1"/>
        <v>0</v>
      </c>
      <c r="T18" s="15">
        <f t="shared" si="10"/>
        <v>0</v>
      </c>
      <c r="U18" s="15"/>
      <c r="V18" s="15">
        <f t="shared" si="2"/>
        <v>0</v>
      </c>
      <c r="W18" s="15">
        <f t="shared" si="2"/>
        <v>0</v>
      </c>
      <c r="X18" s="15">
        <f t="shared" si="2"/>
        <v>0</v>
      </c>
      <c r="Y18" s="15"/>
      <c r="Z18" s="15">
        <f t="shared" si="3"/>
        <v>0</v>
      </c>
      <c r="AA18" s="15">
        <f t="shared" si="3"/>
        <v>0</v>
      </c>
      <c r="AB18" s="15"/>
      <c r="AC18" s="15">
        <f t="shared" si="4"/>
        <v>0</v>
      </c>
      <c r="AD18" s="15"/>
      <c r="AE18" s="15">
        <f t="shared" si="5"/>
        <v>0</v>
      </c>
      <c r="AF18" s="15">
        <f t="shared" si="5"/>
        <v>0</v>
      </c>
      <c r="AG18" s="15">
        <f t="shared" si="5"/>
        <v>0</v>
      </c>
      <c r="AH18" s="15"/>
      <c r="AI18" s="15">
        <f t="shared" si="6"/>
        <v>0</v>
      </c>
      <c r="AJ18" s="15">
        <f t="shared" si="6"/>
        <v>0</v>
      </c>
      <c r="AK18" s="15">
        <f t="shared" si="6"/>
        <v>0</v>
      </c>
      <c r="AL18" s="15">
        <f t="shared" si="6"/>
        <v>0</v>
      </c>
      <c r="AM18" s="15">
        <f t="shared" si="6"/>
        <v>0</v>
      </c>
      <c r="AN18" s="15">
        <f t="shared" si="6"/>
        <v>0</v>
      </c>
      <c r="AO18" s="15">
        <f t="shared" si="6"/>
        <v>0</v>
      </c>
      <c r="AP18" s="15">
        <f t="shared" si="6"/>
        <v>0</v>
      </c>
      <c r="AQ18" s="15">
        <f t="shared" si="6"/>
        <v>0</v>
      </c>
      <c r="AR18" s="15">
        <f t="shared" si="6"/>
        <v>0</v>
      </c>
      <c r="AS18" s="15">
        <f t="shared" si="6"/>
        <v>0</v>
      </c>
      <c r="AT18" s="15">
        <f t="shared" si="6"/>
        <v>0</v>
      </c>
      <c r="AU18" s="15">
        <f t="shared" si="6"/>
        <v>0</v>
      </c>
      <c r="AV18" s="15">
        <f t="shared" si="6"/>
        <v>0</v>
      </c>
      <c r="AW18" s="15">
        <f t="shared" si="6"/>
        <v>0</v>
      </c>
      <c r="AX18" s="15">
        <f t="shared" si="6"/>
        <v>0</v>
      </c>
      <c r="AY18" s="5"/>
      <c r="BB18" s="52" t="str">
        <f t="shared" si="11"/>
        <v/>
      </c>
      <c r="BC18" s="36" t="str">
        <f t="shared" si="7"/>
        <v/>
      </c>
      <c r="BD18" s="36"/>
      <c r="BE18" s="36" t="str">
        <f t="shared" si="8"/>
        <v/>
      </c>
      <c r="BF18" s="66" t="str">
        <f>IF(C18="","",IF($C$4="","",VLOOKUP($C$4,'Chart of Accounts'!$A:$B,2,FALSE)))</f>
        <v/>
      </c>
      <c r="BG18" s="55" t="str">
        <f>IF(C18="","",VLOOKUP(C:C,'Chart of Accounts'!$A:$B,2,FALSE))</f>
        <v/>
      </c>
      <c r="BH18" s="36" t="str">
        <f t="shared" si="12"/>
        <v/>
      </c>
      <c r="BI18" s="54">
        <f t="shared" si="13"/>
        <v>0</v>
      </c>
      <c r="BJ18" s="56">
        <f t="shared" si="14"/>
        <v>0</v>
      </c>
    </row>
    <row r="19" spans="1:62" x14ac:dyDescent="0.25">
      <c r="A19" s="1" t="s">
        <v>30</v>
      </c>
      <c r="B19" s="28"/>
      <c r="I19" s="5"/>
      <c r="J19" s="5"/>
      <c r="K19" s="30">
        <f t="shared" si="9"/>
        <v>10500</v>
      </c>
      <c r="L19" s="15"/>
      <c r="M19" s="7">
        <f t="shared" si="0"/>
        <v>0</v>
      </c>
      <c r="N19" s="15"/>
      <c r="O19" s="15">
        <f t="shared" si="15"/>
        <v>0</v>
      </c>
      <c r="P19" s="15"/>
      <c r="Q19" s="15">
        <f t="shared" si="1"/>
        <v>0</v>
      </c>
      <c r="R19" s="15">
        <f t="shared" si="1"/>
        <v>0</v>
      </c>
      <c r="T19" s="15">
        <f t="shared" si="10"/>
        <v>0</v>
      </c>
      <c r="U19" s="15"/>
      <c r="V19" s="15">
        <f t="shared" si="2"/>
        <v>0</v>
      </c>
      <c r="W19" s="15">
        <f t="shared" si="2"/>
        <v>0</v>
      </c>
      <c r="X19" s="15">
        <f t="shared" si="2"/>
        <v>0</v>
      </c>
      <c r="Y19" s="15"/>
      <c r="Z19" s="15">
        <f t="shared" si="3"/>
        <v>0</v>
      </c>
      <c r="AA19" s="15">
        <f t="shared" si="3"/>
        <v>0</v>
      </c>
      <c r="AB19" s="15"/>
      <c r="AC19" s="15">
        <f t="shared" si="4"/>
        <v>0</v>
      </c>
      <c r="AD19" s="15"/>
      <c r="AE19" s="15">
        <f t="shared" si="5"/>
        <v>0</v>
      </c>
      <c r="AF19" s="15">
        <f t="shared" si="5"/>
        <v>0</v>
      </c>
      <c r="AG19" s="15">
        <f t="shared" si="5"/>
        <v>0</v>
      </c>
      <c r="AH19" s="15"/>
      <c r="AI19" s="15">
        <f t="shared" si="6"/>
        <v>0</v>
      </c>
      <c r="AJ19" s="15">
        <f t="shared" si="6"/>
        <v>0</v>
      </c>
      <c r="AK19" s="15">
        <f t="shared" si="6"/>
        <v>0</v>
      </c>
      <c r="AL19" s="15">
        <f t="shared" si="6"/>
        <v>0</v>
      </c>
      <c r="AM19" s="15">
        <f t="shared" si="6"/>
        <v>0</v>
      </c>
      <c r="AN19" s="15">
        <f t="shared" si="6"/>
        <v>0</v>
      </c>
      <c r="AO19" s="15">
        <f t="shared" si="6"/>
        <v>0</v>
      </c>
      <c r="AP19" s="15">
        <f t="shared" si="6"/>
        <v>0</v>
      </c>
      <c r="AQ19" s="15">
        <f t="shared" si="6"/>
        <v>0</v>
      </c>
      <c r="AR19" s="15">
        <f t="shared" si="6"/>
        <v>0</v>
      </c>
      <c r="AS19" s="15">
        <f t="shared" si="6"/>
        <v>0</v>
      </c>
      <c r="AT19" s="15">
        <f t="shared" si="6"/>
        <v>0</v>
      </c>
      <c r="AU19" s="15">
        <f t="shared" si="6"/>
        <v>0</v>
      </c>
      <c r="AV19" s="15">
        <f t="shared" si="6"/>
        <v>0</v>
      </c>
      <c r="AW19" s="15">
        <f t="shared" si="6"/>
        <v>0</v>
      </c>
      <c r="AX19" s="15">
        <f t="shared" si="6"/>
        <v>0</v>
      </c>
      <c r="AY19" s="5"/>
      <c r="BB19" s="52" t="str">
        <f t="shared" si="11"/>
        <v/>
      </c>
      <c r="BC19" s="36" t="str">
        <f t="shared" si="7"/>
        <v/>
      </c>
      <c r="BD19" s="36"/>
      <c r="BE19" s="36" t="str">
        <f t="shared" si="8"/>
        <v/>
      </c>
      <c r="BF19" s="66" t="str">
        <f>IF(C19="","",IF($C$4="","",VLOOKUP($C$4,'Chart of Accounts'!$A:$B,2,FALSE)))</f>
        <v/>
      </c>
      <c r="BG19" s="55" t="str">
        <f>IF(C19="","",VLOOKUP(C:C,'Chart of Accounts'!$A:$B,2,FALSE))</f>
        <v/>
      </c>
      <c r="BH19" s="36" t="str">
        <f t="shared" si="12"/>
        <v/>
      </c>
      <c r="BI19" s="54">
        <f t="shared" si="13"/>
        <v>0</v>
      </c>
      <c r="BJ19" s="56">
        <f t="shared" si="14"/>
        <v>0</v>
      </c>
    </row>
    <row r="20" spans="1:62" x14ac:dyDescent="0.25">
      <c r="A20" s="1" t="s">
        <v>31</v>
      </c>
      <c r="B20" s="28"/>
      <c r="I20" s="5"/>
      <c r="J20" s="5"/>
      <c r="K20" s="30">
        <f t="shared" si="9"/>
        <v>10500</v>
      </c>
      <c r="L20" s="15"/>
      <c r="M20" s="7">
        <f t="shared" si="0"/>
        <v>0</v>
      </c>
      <c r="N20" s="15"/>
      <c r="O20" s="15">
        <f t="shared" si="15"/>
        <v>0</v>
      </c>
      <c r="P20" s="15"/>
      <c r="Q20" s="15">
        <f t="shared" si="1"/>
        <v>0</v>
      </c>
      <c r="R20" s="15">
        <f t="shared" si="1"/>
        <v>0</v>
      </c>
      <c r="T20" s="15">
        <f t="shared" si="10"/>
        <v>0</v>
      </c>
      <c r="U20" s="15"/>
      <c r="V20" s="15">
        <f t="shared" si="2"/>
        <v>0</v>
      </c>
      <c r="W20" s="15">
        <f t="shared" si="2"/>
        <v>0</v>
      </c>
      <c r="X20" s="15">
        <f t="shared" si="2"/>
        <v>0</v>
      </c>
      <c r="Y20" s="15"/>
      <c r="Z20" s="15">
        <f t="shared" si="3"/>
        <v>0</v>
      </c>
      <c r="AA20" s="15">
        <f t="shared" si="3"/>
        <v>0</v>
      </c>
      <c r="AB20" s="15"/>
      <c r="AC20" s="15">
        <f t="shared" si="4"/>
        <v>0</v>
      </c>
      <c r="AD20" s="15"/>
      <c r="AE20" s="15">
        <f t="shared" si="5"/>
        <v>0</v>
      </c>
      <c r="AF20" s="15">
        <f t="shared" si="5"/>
        <v>0</v>
      </c>
      <c r="AG20" s="15">
        <f t="shared" si="5"/>
        <v>0</v>
      </c>
      <c r="AH20" s="15"/>
      <c r="AI20" s="15">
        <f t="shared" si="6"/>
        <v>0</v>
      </c>
      <c r="AJ20" s="15">
        <f t="shared" si="6"/>
        <v>0</v>
      </c>
      <c r="AK20" s="15">
        <f t="shared" si="6"/>
        <v>0</v>
      </c>
      <c r="AL20" s="15">
        <f t="shared" si="6"/>
        <v>0</v>
      </c>
      <c r="AM20" s="15">
        <f t="shared" si="6"/>
        <v>0</v>
      </c>
      <c r="AN20" s="15">
        <f t="shared" si="6"/>
        <v>0</v>
      </c>
      <c r="AO20" s="15">
        <f t="shared" si="6"/>
        <v>0</v>
      </c>
      <c r="AP20" s="15">
        <f t="shared" si="6"/>
        <v>0</v>
      </c>
      <c r="AQ20" s="15">
        <f t="shared" si="6"/>
        <v>0</v>
      </c>
      <c r="AR20" s="15">
        <f t="shared" si="6"/>
        <v>0</v>
      </c>
      <c r="AS20" s="15">
        <f t="shared" si="6"/>
        <v>0</v>
      </c>
      <c r="AT20" s="15">
        <f t="shared" si="6"/>
        <v>0</v>
      </c>
      <c r="AU20" s="15">
        <f t="shared" si="6"/>
        <v>0</v>
      </c>
      <c r="AV20" s="15">
        <f t="shared" si="6"/>
        <v>0</v>
      </c>
      <c r="AW20" s="15">
        <f t="shared" si="6"/>
        <v>0</v>
      </c>
      <c r="AX20" s="15">
        <f t="shared" si="6"/>
        <v>0</v>
      </c>
      <c r="AY20" s="5"/>
      <c r="BB20" s="52" t="str">
        <f t="shared" si="11"/>
        <v/>
      </c>
      <c r="BC20" s="36" t="str">
        <f t="shared" si="7"/>
        <v/>
      </c>
      <c r="BD20" s="36"/>
      <c r="BE20" s="36" t="str">
        <f t="shared" si="8"/>
        <v/>
      </c>
      <c r="BF20" s="66" t="str">
        <f>IF(C20="","",IF($C$4="","",VLOOKUP($C$4,'Chart of Accounts'!$A:$B,2,FALSE)))</f>
        <v/>
      </c>
      <c r="BG20" s="55" t="str">
        <f>IF(C20="","",VLOOKUP(C:C,'Chart of Accounts'!$A:$B,2,FALSE))</f>
        <v/>
      </c>
      <c r="BH20" s="36" t="str">
        <f t="shared" si="12"/>
        <v/>
      </c>
      <c r="BI20" s="54">
        <f t="shared" si="13"/>
        <v>0</v>
      </c>
      <c r="BJ20" s="56">
        <f t="shared" si="14"/>
        <v>0</v>
      </c>
    </row>
    <row r="21" spans="1:62" x14ac:dyDescent="0.25">
      <c r="A21" s="1" t="s">
        <v>32</v>
      </c>
      <c r="B21" s="28"/>
      <c r="I21" s="5"/>
      <c r="J21" s="5"/>
      <c r="K21" s="30">
        <f t="shared" si="9"/>
        <v>10500</v>
      </c>
      <c r="L21" s="15"/>
      <c r="M21" s="7">
        <f t="shared" si="0"/>
        <v>0</v>
      </c>
      <c r="N21" s="15"/>
      <c r="O21" s="15">
        <f t="shared" si="15"/>
        <v>0</v>
      </c>
      <c r="P21" s="15"/>
      <c r="Q21" s="15">
        <f t="shared" si="1"/>
        <v>0</v>
      </c>
      <c r="R21" s="15">
        <f t="shared" si="1"/>
        <v>0</v>
      </c>
      <c r="T21" s="15">
        <f t="shared" si="10"/>
        <v>0</v>
      </c>
      <c r="U21" s="15"/>
      <c r="V21" s="15">
        <f t="shared" si="2"/>
        <v>0</v>
      </c>
      <c r="W21" s="15">
        <f t="shared" si="2"/>
        <v>0</v>
      </c>
      <c r="X21" s="15">
        <f t="shared" si="2"/>
        <v>0</v>
      </c>
      <c r="Y21" s="15"/>
      <c r="Z21" s="15">
        <f t="shared" si="3"/>
        <v>0</v>
      </c>
      <c r="AA21" s="15">
        <f t="shared" si="3"/>
        <v>0</v>
      </c>
      <c r="AB21" s="15"/>
      <c r="AC21" s="15">
        <f t="shared" si="4"/>
        <v>0</v>
      </c>
      <c r="AD21" s="15"/>
      <c r="AE21" s="15">
        <f t="shared" si="5"/>
        <v>0</v>
      </c>
      <c r="AF21" s="15">
        <f t="shared" si="5"/>
        <v>0</v>
      </c>
      <c r="AG21" s="15">
        <f t="shared" si="5"/>
        <v>0</v>
      </c>
      <c r="AH21" s="15"/>
      <c r="AI21" s="15">
        <f t="shared" si="6"/>
        <v>0</v>
      </c>
      <c r="AJ21" s="15">
        <f t="shared" si="6"/>
        <v>0</v>
      </c>
      <c r="AK21" s="15">
        <f t="shared" si="6"/>
        <v>0</v>
      </c>
      <c r="AL21" s="15">
        <f t="shared" si="6"/>
        <v>0</v>
      </c>
      <c r="AM21" s="15">
        <f t="shared" si="6"/>
        <v>0</v>
      </c>
      <c r="AN21" s="15">
        <f t="shared" si="6"/>
        <v>0</v>
      </c>
      <c r="AO21" s="15">
        <f t="shared" si="6"/>
        <v>0</v>
      </c>
      <c r="AP21" s="15">
        <f t="shared" si="6"/>
        <v>0</v>
      </c>
      <c r="AQ21" s="15">
        <f t="shared" si="6"/>
        <v>0</v>
      </c>
      <c r="AR21" s="15">
        <f t="shared" si="6"/>
        <v>0</v>
      </c>
      <c r="AS21" s="15">
        <f t="shared" si="6"/>
        <v>0</v>
      </c>
      <c r="AT21" s="15">
        <f t="shared" si="6"/>
        <v>0</v>
      </c>
      <c r="AU21" s="15">
        <f t="shared" si="6"/>
        <v>0</v>
      </c>
      <c r="AV21" s="15">
        <f t="shared" si="6"/>
        <v>0</v>
      </c>
      <c r="AW21" s="15">
        <f t="shared" si="6"/>
        <v>0</v>
      </c>
      <c r="AX21" s="15">
        <f t="shared" si="6"/>
        <v>0</v>
      </c>
      <c r="AY21" s="5"/>
      <c r="BB21" s="52" t="str">
        <f t="shared" si="11"/>
        <v/>
      </c>
      <c r="BC21" s="36" t="str">
        <f t="shared" si="7"/>
        <v/>
      </c>
      <c r="BD21" s="36"/>
      <c r="BE21" s="36" t="str">
        <f t="shared" si="8"/>
        <v/>
      </c>
      <c r="BF21" s="66" t="str">
        <f>IF(C21="","",IF($C$4="","",VLOOKUP($C$4,'Chart of Accounts'!$A:$B,2,FALSE)))</f>
        <v/>
      </c>
      <c r="BG21" s="55" t="str">
        <f>IF(C21="","",VLOOKUP(C:C,'Chart of Accounts'!$A:$B,2,FALSE))</f>
        <v/>
      </c>
      <c r="BH21" s="36" t="str">
        <f t="shared" si="12"/>
        <v/>
      </c>
      <c r="BI21" s="54">
        <f t="shared" si="13"/>
        <v>0</v>
      </c>
      <c r="BJ21" s="56">
        <f t="shared" si="14"/>
        <v>0</v>
      </c>
    </row>
    <row r="22" spans="1:62" x14ac:dyDescent="0.25">
      <c r="A22" s="1" t="s">
        <v>33</v>
      </c>
      <c r="B22" s="28"/>
      <c r="I22" s="5"/>
      <c r="J22" s="5"/>
      <c r="K22" s="30">
        <f t="shared" si="9"/>
        <v>10500</v>
      </c>
      <c r="L22" s="15"/>
      <c r="M22" s="7">
        <f t="shared" si="0"/>
        <v>0</v>
      </c>
      <c r="N22" s="15"/>
      <c r="O22" s="15">
        <f t="shared" si="15"/>
        <v>0</v>
      </c>
      <c r="P22" s="15"/>
      <c r="Q22" s="15">
        <f t="shared" si="1"/>
        <v>0</v>
      </c>
      <c r="R22" s="15">
        <f t="shared" si="1"/>
        <v>0</v>
      </c>
      <c r="T22" s="15">
        <f t="shared" si="10"/>
        <v>0</v>
      </c>
      <c r="U22" s="15"/>
      <c r="V22" s="15">
        <f t="shared" si="2"/>
        <v>0</v>
      </c>
      <c r="W22" s="15">
        <f t="shared" si="2"/>
        <v>0</v>
      </c>
      <c r="X22" s="15">
        <f t="shared" si="2"/>
        <v>0</v>
      </c>
      <c r="Y22" s="15"/>
      <c r="Z22" s="15">
        <f t="shared" si="3"/>
        <v>0</v>
      </c>
      <c r="AA22" s="15">
        <f t="shared" si="3"/>
        <v>0</v>
      </c>
      <c r="AB22" s="15"/>
      <c r="AC22" s="15">
        <f t="shared" si="4"/>
        <v>0</v>
      </c>
      <c r="AD22" s="15"/>
      <c r="AE22" s="15">
        <f t="shared" si="5"/>
        <v>0</v>
      </c>
      <c r="AF22" s="15">
        <f t="shared" si="5"/>
        <v>0</v>
      </c>
      <c r="AG22" s="15">
        <f t="shared" si="5"/>
        <v>0</v>
      </c>
      <c r="AH22" s="15"/>
      <c r="AI22" s="15">
        <f t="shared" si="6"/>
        <v>0</v>
      </c>
      <c r="AJ22" s="15">
        <f t="shared" si="6"/>
        <v>0</v>
      </c>
      <c r="AK22" s="15">
        <f t="shared" si="6"/>
        <v>0</v>
      </c>
      <c r="AL22" s="15">
        <f t="shared" si="6"/>
        <v>0</v>
      </c>
      <c r="AM22" s="15">
        <f t="shared" si="6"/>
        <v>0</v>
      </c>
      <c r="AN22" s="15">
        <f t="shared" si="6"/>
        <v>0</v>
      </c>
      <c r="AO22" s="15">
        <f t="shared" si="6"/>
        <v>0</v>
      </c>
      <c r="AP22" s="15">
        <f t="shared" si="6"/>
        <v>0</v>
      </c>
      <c r="AQ22" s="15">
        <f t="shared" si="6"/>
        <v>0</v>
      </c>
      <c r="AR22" s="15">
        <f t="shared" si="6"/>
        <v>0</v>
      </c>
      <c r="AS22" s="15">
        <f t="shared" si="6"/>
        <v>0</v>
      </c>
      <c r="AT22" s="15">
        <f t="shared" si="6"/>
        <v>0</v>
      </c>
      <c r="AU22" s="15">
        <f t="shared" si="6"/>
        <v>0</v>
      </c>
      <c r="AV22" s="15">
        <f t="shared" si="6"/>
        <v>0</v>
      </c>
      <c r="AW22" s="15">
        <f t="shared" si="6"/>
        <v>0</v>
      </c>
      <c r="AX22" s="15">
        <f t="shared" si="6"/>
        <v>0</v>
      </c>
      <c r="AY22" s="5"/>
      <c r="BB22" s="52" t="str">
        <f t="shared" si="11"/>
        <v/>
      </c>
      <c r="BC22" s="36" t="str">
        <f t="shared" si="7"/>
        <v/>
      </c>
      <c r="BD22" s="36"/>
      <c r="BE22" s="36" t="str">
        <f t="shared" si="8"/>
        <v/>
      </c>
      <c r="BF22" s="66" t="str">
        <f>IF(C22="","",IF($C$4="","",VLOOKUP($C$4,'Chart of Accounts'!$A:$B,2,FALSE)))</f>
        <v/>
      </c>
      <c r="BG22" s="55" t="str">
        <f>IF(C22="","",VLOOKUP(C:C,'Chart of Accounts'!$A:$B,2,FALSE))</f>
        <v/>
      </c>
      <c r="BH22" s="36" t="str">
        <f t="shared" si="12"/>
        <v/>
      </c>
      <c r="BI22" s="54">
        <f t="shared" si="13"/>
        <v>0</v>
      </c>
      <c r="BJ22" s="56">
        <f t="shared" si="14"/>
        <v>0</v>
      </c>
    </row>
    <row r="23" spans="1:62" x14ac:dyDescent="0.25">
      <c r="A23" s="1" t="s">
        <v>34</v>
      </c>
      <c r="B23" s="28"/>
      <c r="I23" s="5"/>
      <c r="J23" s="5"/>
      <c r="K23" s="30">
        <f t="shared" si="9"/>
        <v>10500</v>
      </c>
      <c r="L23" s="15"/>
      <c r="M23" s="7">
        <f t="shared" si="0"/>
        <v>0</v>
      </c>
      <c r="N23" s="15"/>
      <c r="O23" s="15">
        <f t="shared" si="15"/>
        <v>0</v>
      </c>
      <c r="P23" s="15"/>
      <c r="Q23" s="15">
        <f t="shared" si="1"/>
        <v>0</v>
      </c>
      <c r="R23" s="15">
        <f t="shared" si="1"/>
        <v>0</v>
      </c>
      <c r="T23" s="15">
        <f t="shared" si="10"/>
        <v>0</v>
      </c>
      <c r="U23" s="15"/>
      <c r="V23" s="15">
        <f t="shared" si="2"/>
        <v>0</v>
      </c>
      <c r="W23" s="15">
        <f t="shared" si="2"/>
        <v>0</v>
      </c>
      <c r="X23" s="15">
        <f t="shared" si="2"/>
        <v>0</v>
      </c>
      <c r="Y23" s="15"/>
      <c r="Z23" s="15">
        <f t="shared" si="3"/>
        <v>0</v>
      </c>
      <c r="AA23" s="15">
        <f t="shared" si="3"/>
        <v>0</v>
      </c>
      <c r="AB23" s="15"/>
      <c r="AC23" s="15">
        <f t="shared" si="4"/>
        <v>0</v>
      </c>
      <c r="AD23" s="15"/>
      <c r="AE23" s="15">
        <f t="shared" si="5"/>
        <v>0</v>
      </c>
      <c r="AF23" s="15">
        <f t="shared" si="5"/>
        <v>0</v>
      </c>
      <c r="AG23" s="15">
        <f t="shared" si="5"/>
        <v>0</v>
      </c>
      <c r="AH23" s="15"/>
      <c r="AI23" s="15">
        <f t="shared" si="6"/>
        <v>0</v>
      </c>
      <c r="AJ23" s="15">
        <f t="shared" si="6"/>
        <v>0</v>
      </c>
      <c r="AK23" s="15">
        <f t="shared" si="6"/>
        <v>0</v>
      </c>
      <c r="AL23" s="15">
        <f t="shared" si="6"/>
        <v>0</v>
      </c>
      <c r="AM23" s="15">
        <f t="shared" si="6"/>
        <v>0</v>
      </c>
      <c r="AN23" s="15">
        <f t="shared" si="6"/>
        <v>0</v>
      </c>
      <c r="AO23" s="15">
        <f t="shared" si="6"/>
        <v>0</v>
      </c>
      <c r="AP23" s="15">
        <f t="shared" si="6"/>
        <v>0</v>
      </c>
      <c r="AQ23" s="15">
        <f t="shared" si="6"/>
        <v>0</v>
      </c>
      <c r="AR23" s="15">
        <f t="shared" si="6"/>
        <v>0</v>
      </c>
      <c r="AS23" s="15">
        <f t="shared" si="6"/>
        <v>0</v>
      </c>
      <c r="AT23" s="15">
        <f t="shared" si="6"/>
        <v>0</v>
      </c>
      <c r="AU23" s="15">
        <f t="shared" si="6"/>
        <v>0</v>
      </c>
      <c r="AV23" s="15">
        <f t="shared" si="6"/>
        <v>0</v>
      </c>
      <c r="AW23" s="15">
        <f t="shared" si="6"/>
        <v>0</v>
      </c>
      <c r="AX23" s="15">
        <f t="shared" si="6"/>
        <v>0</v>
      </c>
      <c r="AY23" s="5"/>
      <c r="BB23" s="52" t="str">
        <f t="shared" si="11"/>
        <v/>
      </c>
      <c r="BC23" s="36" t="str">
        <f t="shared" si="7"/>
        <v/>
      </c>
      <c r="BD23" s="36"/>
      <c r="BE23" s="36" t="str">
        <f t="shared" si="8"/>
        <v/>
      </c>
      <c r="BF23" s="66" t="str">
        <f>IF(C23="","",IF($C$4="","",VLOOKUP($C$4,'Chart of Accounts'!$A:$B,2,FALSE)))</f>
        <v/>
      </c>
      <c r="BG23" s="55" t="str">
        <f>IF(C23="","",VLOOKUP(C:C,'Chart of Accounts'!$A:$B,2,FALSE))</f>
        <v/>
      </c>
      <c r="BH23" s="36" t="str">
        <f t="shared" si="12"/>
        <v/>
      </c>
      <c r="BI23" s="54">
        <f t="shared" si="13"/>
        <v>0</v>
      </c>
      <c r="BJ23" s="56">
        <f t="shared" si="14"/>
        <v>0</v>
      </c>
    </row>
    <row r="24" spans="1:62" x14ac:dyDescent="0.25">
      <c r="A24" s="1" t="s">
        <v>35</v>
      </c>
      <c r="B24" s="28"/>
      <c r="I24" s="5"/>
      <c r="J24" s="5"/>
      <c r="K24" s="30">
        <f t="shared" si="9"/>
        <v>10500</v>
      </c>
      <c r="L24" s="15"/>
      <c r="M24" s="7">
        <f t="shared" si="0"/>
        <v>0</v>
      </c>
      <c r="N24" s="15"/>
      <c r="O24" s="15">
        <f t="shared" si="15"/>
        <v>0</v>
      </c>
      <c r="P24" s="15"/>
      <c r="Q24" s="15">
        <f t="shared" si="1"/>
        <v>0</v>
      </c>
      <c r="R24" s="15">
        <f t="shared" si="1"/>
        <v>0</v>
      </c>
      <c r="T24" s="15">
        <f t="shared" si="10"/>
        <v>0</v>
      </c>
      <c r="U24" s="15"/>
      <c r="V24" s="15">
        <f t="shared" si="2"/>
        <v>0</v>
      </c>
      <c r="W24" s="15">
        <f t="shared" si="2"/>
        <v>0</v>
      </c>
      <c r="X24" s="15">
        <f t="shared" si="2"/>
        <v>0</v>
      </c>
      <c r="Y24" s="15"/>
      <c r="Z24" s="15">
        <f t="shared" si="3"/>
        <v>0</v>
      </c>
      <c r="AA24" s="15">
        <f t="shared" si="3"/>
        <v>0</v>
      </c>
      <c r="AB24" s="15"/>
      <c r="AC24" s="15">
        <f t="shared" si="4"/>
        <v>0</v>
      </c>
      <c r="AD24" s="15"/>
      <c r="AE24" s="15">
        <f t="shared" si="5"/>
        <v>0</v>
      </c>
      <c r="AF24" s="15">
        <f t="shared" si="5"/>
        <v>0</v>
      </c>
      <c r="AG24" s="15">
        <f t="shared" si="5"/>
        <v>0</v>
      </c>
      <c r="AH24" s="15"/>
      <c r="AI24" s="15">
        <f t="shared" si="6"/>
        <v>0</v>
      </c>
      <c r="AJ24" s="15">
        <f t="shared" si="6"/>
        <v>0</v>
      </c>
      <c r="AK24" s="15">
        <f t="shared" si="6"/>
        <v>0</v>
      </c>
      <c r="AL24" s="15">
        <f t="shared" si="6"/>
        <v>0</v>
      </c>
      <c r="AM24" s="15">
        <f t="shared" si="6"/>
        <v>0</v>
      </c>
      <c r="AN24" s="15">
        <f t="shared" si="6"/>
        <v>0</v>
      </c>
      <c r="AO24" s="15">
        <f t="shared" si="6"/>
        <v>0</v>
      </c>
      <c r="AP24" s="15">
        <f t="shared" si="6"/>
        <v>0</v>
      </c>
      <c r="AQ24" s="15">
        <f t="shared" si="6"/>
        <v>0</v>
      </c>
      <c r="AR24" s="15">
        <f t="shared" si="6"/>
        <v>0</v>
      </c>
      <c r="AS24" s="15">
        <f t="shared" si="6"/>
        <v>0</v>
      </c>
      <c r="AT24" s="15">
        <f t="shared" si="6"/>
        <v>0</v>
      </c>
      <c r="AU24" s="15">
        <f t="shared" si="6"/>
        <v>0</v>
      </c>
      <c r="AV24" s="15">
        <f t="shared" si="6"/>
        <v>0</v>
      </c>
      <c r="AW24" s="15">
        <f t="shared" si="6"/>
        <v>0</v>
      </c>
      <c r="AX24" s="15">
        <f t="shared" si="6"/>
        <v>0</v>
      </c>
      <c r="AY24" s="5"/>
      <c r="BB24" s="52" t="str">
        <f t="shared" si="11"/>
        <v/>
      </c>
      <c r="BC24" s="36" t="str">
        <f t="shared" si="7"/>
        <v/>
      </c>
      <c r="BD24" s="36"/>
      <c r="BE24" s="36" t="str">
        <f t="shared" si="8"/>
        <v/>
      </c>
      <c r="BF24" s="66" t="str">
        <f>IF(C24="","",IF($C$4="","",VLOOKUP($C$4,'Chart of Accounts'!$A:$B,2,FALSE)))</f>
        <v/>
      </c>
      <c r="BG24" s="55" t="str">
        <f>IF(C24="","",VLOOKUP(C:C,'Chart of Accounts'!$A:$B,2,FALSE))</f>
        <v/>
      </c>
      <c r="BH24" s="36" t="str">
        <f t="shared" si="12"/>
        <v/>
      </c>
      <c r="BI24" s="54">
        <f t="shared" si="13"/>
        <v>0</v>
      </c>
      <c r="BJ24" s="56">
        <f t="shared" si="14"/>
        <v>0</v>
      </c>
    </row>
    <row r="25" spans="1:62" x14ac:dyDescent="0.25">
      <c r="A25" s="1" t="s">
        <v>36</v>
      </c>
      <c r="B25" s="28"/>
      <c r="I25" s="5"/>
      <c r="J25" s="5"/>
      <c r="K25" s="30">
        <f t="shared" si="9"/>
        <v>10500</v>
      </c>
      <c r="L25" s="15"/>
      <c r="M25" s="7">
        <f t="shared" si="0"/>
        <v>0</v>
      </c>
      <c r="N25" s="15"/>
      <c r="O25" s="15">
        <f t="shared" si="15"/>
        <v>0</v>
      </c>
      <c r="P25" s="15"/>
      <c r="Q25" s="15">
        <f t="shared" si="1"/>
        <v>0</v>
      </c>
      <c r="R25" s="15">
        <f t="shared" si="1"/>
        <v>0</v>
      </c>
      <c r="T25" s="15">
        <f t="shared" si="10"/>
        <v>0</v>
      </c>
      <c r="U25" s="15"/>
      <c r="V25" s="15">
        <f t="shared" si="2"/>
        <v>0</v>
      </c>
      <c r="W25" s="15">
        <f t="shared" si="2"/>
        <v>0</v>
      </c>
      <c r="X25" s="15">
        <f t="shared" si="2"/>
        <v>0</v>
      </c>
      <c r="Y25" s="15"/>
      <c r="Z25" s="15">
        <f t="shared" si="3"/>
        <v>0</v>
      </c>
      <c r="AA25" s="15">
        <f t="shared" si="3"/>
        <v>0</v>
      </c>
      <c r="AB25" s="15"/>
      <c r="AC25" s="15">
        <f t="shared" si="4"/>
        <v>0</v>
      </c>
      <c r="AD25" s="15"/>
      <c r="AE25" s="15">
        <f t="shared" si="5"/>
        <v>0</v>
      </c>
      <c r="AF25" s="15">
        <f t="shared" si="5"/>
        <v>0</v>
      </c>
      <c r="AG25" s="15">
        <f t="shared" si="5"/>
        <v>0</v>
      </c>
      <c r="AH25" s="15"/>
      <c r="AI25" s="15">
        <f t="shared" si="6"/>
        <v>0</v>
      </c>
      <c r="AJ25" s="15">
        <f t="shared" si="6"/>
        <v>0</v>
      </c>
      <c r="AK25" s="15">
        <f t="shared" si="6"/>
        <v>0</v>
      </c>
      <c r="AL25" s="15">
        <f t="shared" si="6"/>
        <v>0</v>
      </c>
      <c r="AM25" s="15">
        <f t="shared" si="6"/>
        <v>0</v>
      </c>
      <c r="AN25" s="15">
        <f t="shared" si="6"/>
        <v>0</v>
      </c>
      <c r="AO25" s="15">
        <f t="shared" si="6"/>
        <v>0</v>
      </c>
      <c r="AP25" s="15">
        <f t="shared" si="6"/>
        <v>0</v>
      </c>
      <c r="AQ25" s="15">
        <f t="shared" si="6"/>
        <v>0</v>
      </c>
      <c r="AR25" s="15">
        <f t="shared" si="6"/>
        <v>0</v>
      </c>
      <c r="AS25" s="15">
        <f t="shared" si="6"/>
        <v>0</v>
      </c>
      <c r="AT25" s="15">
        <f t="shared" si="6"/>
        <v>0</v>
      </c>
      <c r="AU25" s="15">
        <f t="shared" si="6"/>
        <v>0</v>
      </c>
      <c r="AV25" s="15">
        <f t="shared" si="6"/>
        <v>0</v>
      </c>
      <c r="AW25" s="15">
        <f t="shared" si="6"/>
        <v>0</v>
      </c>
      <c r="AX25" s="15">
        <f t="shared" si="6"/>
        <v>0</v>
      </c>
      <c r="AY25" s="5"/>
      <c r="BB25" s="52" t="str">
        <f t="shared" si="11"/>
        <v/>
      </c>
      <c r="BC25" s="36" t="str">
        <f t="shared" si="7"/>
        <v/>
      </c>
      <c r="BD25" s="36"/>
      <c r="BE25" s="36" t="str">
        <f t="shared" si="8"/>
        <v/>
      </c>
      <c r="BF25" s="66" t="str">
        <f>IF(C25="","",IF($C$4="","",VLOOKUP($C$4,'Chart of Accounts'!$A:$B,2,FALSE)))</f>
        <v/>
      </c>
      <c r="BG25" s="55" t="str">
        <f>IF(C25="","",VLOOKUP(C:C,'Chart of Accounts'!$A:$B,2,FALSE))</f>
        <v/>
      </c>
      <c r="BH25" s="36" t="str">
        <f t="shared" si="12"/>
        <v/>
      </c>
      <c r="BI25" s="54">
        <f t="shared" si="13"/>
        <v>0</v>
      </c>
      <c r="BJ25" s="56">
        <f t="shared" si="14"/>
        <v>0</v>
      </c>
    </row>
    <row r="26" spans="1:62" x14ac:dyDescent="0.25">
      <c r="A26" s="1" t="s">
        <v>37</v>
      </c>
      <c r="B26" s="28"/>
      <c r="I26" s="5"/>
      <c r="J26" s="5"/>
      <c r="K26" s="30">
        <f t="shared" si="9"/>
        <v>10500</v>
      </c>
      <c r="L26" s="15"/>
      <c r="M26" s="7">
        <f t="shared" si="0"/>
        <v>0</v>
      </c>
      <c r="N26" s="15"/>
      <c r="O26" s="15">
        <f t="shared" si="15"/>
        <v>0</v>
      </c>
      <c r="P26" s="15"/>
      <c r="Q26" s="15">
        <f t="shared" si="1"/>
        <v>0</v>
      </c>
      <c r="R26" s="15">
        <f t="shared" si="1"/>
        <v>0</v>
      </c>
      <c r="T26" s="15">
        <f t="shared" si="10"/>
        <v>0</v>
      </c>
      <c r="U26" s="15"/>
      <c r="V26" s="15">
        <f t="shared" si="2"/>
        <v>0</v>
      </c>
      <c r="W26" s="15">
        <f t="shared" si="2"/>
        <v>0</v>
      </c>
      <c r="X26" s="15">
        <f t="shared" si="2"/>
        <v>0</v>
      </c>
      <c r="Y26" s="15"/>
      <c r="Z26" s="15">
        <f t="shared" si="3"/>
        <v>0</v>
      </c>
      <c r="AA26" s="15">
        <f t="shared" si="3"/>
        <v>0</v>
      </c>
      <c r="AB26" s="15"/>
      <c r="AC26" s="15">
        <f t="shared" si="4"/>
        <v>0</v>
      </c>
      <c r="AD26" s="15"/>
      <c r="AE26" s="15">
        <f t="shared" si="5"/>
        <v>0</v>
      </c>
      <c r="AF26" s="15">
        <f t="shared" si="5"/>
        <v>0</v>
      </c>
      <c r="AG26" s="15">
        <f t="shared" si="5"/>
        <v>0</v>
      </c>
      <c r="AH26" s="15"/>
      <c r="AI26" s="15">
        <f t="shared" si="6"/>
        <v>0</v>
      </c>
      <c r="AJ26" s="15">
        <f t="shared" si="6"/>
        <v>0</v>
      </c>
      <c r="AK26" s="15">
        <f t="shared" si="6"/>
        <v>0</v>
      </c>
      <c r="AL26" s="15">
        <f t="shared" si="6"/>
        <v>0</v>
      </c>
      <c r="AM26" s="15">
        <f t="shared" si="6"/>
        <v>0</v>
      </c>
      <c r="AN26" s="15">
        <f t="shared" si="6"/>
        <v>0</v>
      </c>
      <c r="AO26" s="15">
        <f t="shared" si="6"/>
        <v>0</v>
      </c>
      <c r="AP26" s="15">
        <f t="shared" si="6"/>
        <v>0</v>
      </c>
      <c r="AQ26" s="15">
        <f t="shared" si="6"/>
        <v>0</v>
      </c>
      <c r="AR26" s="15">
        <f t="shared" si="6"/>
        <v>0</v>
      </c>
      <c r="AS26" s="15">
        <f t="shared" si="6"/>
        <v>0</v>
      </c>
      <c r="AT26" s="15">
        <f t="shared" si="6"/>
        <v>0</v>
      </c>
      <c r="AU26" s="15">
        <f t="shared" si="6"/>
        <v>0</v>
      </c>
      <c r="AV26" s="15">
        <f t="shared" si="6"/>
        <v>0</v>
      </c>
      <c r="AW26" s="15">
        <f t="shared" si="6"/>
        <v>0</v>
      </c>
      <c r="AX26" s="15">
        <f t="shared" si="6"/>
        <v>0</v>
      </c>
      <c r="AY26" s="5"/>
      <c r="BB26" s="52" t="str">
        <f t="shared" si="11"/>
        <v/>
      </c>
      <c r="BC26" s="36" t="str">
        <f t="shared" si="7"/>
        <v/>
      </c>
      <c r="BD26" s="36"/>
      <c r="BE26" s="36" t="str">
        <f t="shared" si="8"/>
        <v/>
      </c>
      <c r="BF26" s="66" t="str">
        <f>IF(C26="","",IF($C$4="","",VLOOKUP($C$4,'Chart of Accounts'!$A:$B,2,FALSE)))</f>
        <v/>
      </c>
      <c r="BG26" s="55" t="str">
        <f>IF(C26="","",VLOOKUP(C:C,'Chart of Accounts'!$A:$B,2,FALSE))</f>
        <v/>
      </c>
      <c r="BH26" s="36" t="str">
        <f t="shared" si="12"/>
        <v/>
      </c>
      <c r="BI26" s="54">
        <f t="shared" si="13"/>
        <v>0</v>
      </c>
      <c r="BJ26" s="56">
        <f t="shared" si="14"/>
        <v>0</v>
      </c>
    </row>
    <row r="27" spans="1:62" x14ac:dyDescent="0.25">
      <c r="A27" s="1" t="s">
        <v>38</v>
      </c>
      <c r="B27" s="28"/>
      <c r="I27" s="5"/>
      <c r="J27" s="5"/>
      <c r="K27" s="30">
        <f t="shared" si="9"/>
        <v>10500</v>
      </c>
      <c r="L27" s="15"/>
      <c r="M27" s="7">
        <f t="shared" si="0"/>
        <v>0</v>
      </c>
      <c r="N27" s="15"/>
      <c r="O27" s="15">
        <f t="shared" si="15"/>
        <v>0</v>
      </c>
      <c r="P27" s="15"/>
      <c r="Q27" s="15">
        <f t="shared" si="1"/>
        <v>0</v>
      </c>
      <c r="R27" s="15">
        <f t="shared" si="1"/>
        <v>0</v>
      </c>
      <c r="T27" s="15">
        <f t="shared" si="10"/>
        <v>0</v>
      </c>
      <c r="U27" s="15"/>
      <c r="V27" s="15">
        <f t="shared" si="2"/>
        <v>0</v>
      </c>
      <c r="W27" s="15">
        <f t="shared" si="2"/>
        <v>0</v>
      </c>
      <c r="X27" s="15">
        <f t="shared" si="2"/>
        <v>0</v>
      </c>
      <c r="Y27" s="15"/>
      <c r="Z27" s="15">
        <f t="shared" si="3"/>
        <v>0</v>
      </c>
      <c r="AA27" s="15">
        <f t="shared" si="3"/>
        <v>0</v>
      </c>
      <c r="AB27" s="15"/>
      <c r="AC27" s="15">
        <f t="shared" si="4"/>
        <v>0</v>
      </c>
      <c r="AD27" s="15"/>
      <c r="AE27" s="15">
        <f t="shared" si="5"/>
        <v>0</v>
      </c>
      <c r="AF27" s="15">
        <f t="shared" si="5"/>
        <v>0</v>
      </c>
      <c r="AG27" s="15">
        <f t="shared" si="5"/>
        <v>0</v>
      </c>
      <c r="AH27" s="15"/>
      <c r="AI27" s="15">
        <f t="shared" ref="AI27:AW36" si="16">IF($C27=AI$9,$I27+$J27,0)</f>
        <v>0</v>
      </c>
      <c r="AJ27" s="15">
        <f t="shared" si="16"/>
        <v>0</v>
      </c>
      <c r="AK27" s="15">
        <f t="shared" si="16"/>
        <v>0</v>
      </c>
      <c r="AL27" s="15">
        <f t="shared" si="16"/>
        <v>0</v>
      </c>
      <c r="AM27" s="15">
        <f t="shared" si="16"/>
        <v>0</v>
      </c>
      <c r="AN27" s="15">
        <f t="shared" si="16"/>
        <v>0</v>
      </c>
      <c r="AO27" s="15">
        <f t="shared" si="16"/>
        <v>0</v>
      </c>
      <c r="AP27" s="15">
        <f t="shared" si="16"/>
        <v>0</v>
      </c>
      <c r="AQ27" s="15">
        <f t="shared" si="16"/>
        <v>0</v>
      </c>
      <c r="AR27" s="15">
        <f t="shared" si="16"/>
        <v>0</v>
      </c>
      <c r="AS27" s="15">
        <f t="shared" si="16"/>
        <v>0</v>
      </c>
      <c r="AT27" s="15">
        <f t="shared" si="16"/>
        <v>0</v>
      </c>
      <c r="AU27" s="15">
        <f t="shared" si="16"/>
        <v>0</v>
      </c>
      <c r="AV27" s="15">
        <f t="shared" si="16"/>
        <v>0</v>
      </c>
      <c r="AW27" s="15">
        <f t="shared" si="16"/>
        <v>0</v>
      </c>
      <c r="AX27" s="15">
        <f t="shared" ref="AX27:AX90" si="17">IF($C27=AX$9,$I27+$J27,0)</f>
        <v>0</v>
      </c>
      <c r="AY27" s="5"/>
      <c r="BB27" s="52" t="str">
        <f t="shared" si="11"/>
        <v/>
      </c>
      <c r="BC27" s="36" t="str">
        <f t="shared" si="7"/>
        <v/>
      </c>
      <c r="BD27" s="36"/>
      <c r="BE27" s="36" t="str">
        <f t="shared" si="8"/>
        <v/>
      </c>
      <c r="BF27" s="66" t="str">
        <f>IF(C27="","",IF($C$4="","",VLOOKUP($C$4,'Chart of Accounts'!$A:$B,2,FALSE)))</f>
        <v/>
      </c>
      <c r="BG27" s="55" t="str">
        <f>IF(C27="","",VLOOKUP(C:C,'Chart of Accounts'!$A:$B,2,FALSE))</f>
        <v/>
      </c>
      <c r="BH27" s="36" t="str">
        <f t="shared" si="12"/>
        <v/>
      </c>
      <c r="BI27" s="54">
        <f t="shared" si="13"/>
        <v>0</v>
      </c>
      <c r="BJ27" s="56">
        <f t="shared" si="14"/>
        <v>0</v>
      </c>
    </row>
    <row r="28" spans="1:62" x14ac:dyDescent="0.25">
      <c r="A28" s="1" t="s">
        <v>39</v>
      </c>
      <c r="B28" s="28"/>
      <c r="I28" s="5"/>
      <c r="J28" s="5"/>
      <c r="K28" s="30">
        <f t="shared" si="9"/>
        <v>10500</v>
      </c>
      <c r="L28" s="15"/>
      <c r="M28" s="7">
        <f t="shared" si="0"/>
        <v>0</v>
      </c>
      <c r="N28" s="15"/>
      <c r="O28" s="15">
        <f t="shared" si="15"/>
        <v>0</v>
      </c>
      <c r="P28" s="15"/>
      <c r="Q28" s="15">
        <f t="shared" si="1"/>
        <v>0</v>
      </c>
      <c r="R28" s="15">
        <f t="shared" si="1"/>
        <v>0</v>
      </c>
      <c r="T28" s="15">
        <f t="shared" si="10"/>
        <v>0</v>
      </c>
      <c r="U28" s="15"/>
      <c r="V28" s="15">
        <f t="shared" si="2"/>
        <v>0</v>
      </c>
      <c r="W28" s="15">
        <f t="shared" si="2"/>
        <v>0</v>
      </c>
      <c r="X28" s="15">
        <f t="shared" si="2"/>
        <v>0</v>
      </c>
      <c r="Y28" s="15"/>
      <c r="Z28" s="15">
        <f t="shared" si="3"/>
        <v>0</v>
      </c>
      <c r="AA28" s="15">
        <f t="shared" si="3"/>
        <v>0</v>
      </c>
      <c r="AB28" s="15"/>
      <c r="AC28" s="15">
        <f t="shared" si="4"/>
        <v>0</v>
      </c>
      <c r="AD28" s="15"/>
      <c r="AE28" s="15">
        <f t="shared" si="5"/>
        <v>0</v>
      </c>
      <c r="AF28" s="15">
        <f t="shared" si="5"/>
        <v>0</v>
      </c>
      <c r="AG28" s="15">
        <f t="shared" si="5"/>
        <v>0</v>
      </c>
      <c r="AH28" s="15"/>
      <c r="AI28" s="15">
        <f t="shared" si="16"/>
        <v>0</v>
      </c>
      <c r="AJ28" s="15">
        <f t="shared" si="16"/>
        <v>0</v>
      </c>
      <c r="AK28" s="15">
        <f t="shared" si="16"/>
        <v>0</v>
      </c>
      <c r="AL28" s="15">
        <f t="shared" si="16"/>
        <v>0</v>
      </c>
      <c r="AM28" s="15">
        <f t="shared" si="16"/>
        <v>0</v>
      </c>
      <c r="AN28" s="15">
        <f t="shared" si="16"/>
        <v>0</v>
      </c>
      <c r="AO28" s="15">
        <f t="shared" si="16"/>
        <v>0</v>
      </c>
      <c r="AP28" s="15">
        <f t="shared" si="16"/>
        <v>0</v>
      </c>
      <c r="AQ28" s="15">
        <f t="shared" si="16"/>
        <v>0</v>
      </c>
      <c r="AR28" s="15">
        <f t="shared" si="16"/>
        <v>0</v>
      </c>
      <c r="AS28" s="15">
        <f t="shared" si="16"/>
        <v>0</v>
      </c>
      <c r="AT28" s="15">
        <f t="shared" si="16"/>
        <v>0</v>
      </c>
      <c r="AU28" s="15">
        <f t="shared" si="16"/>
        <v>0</v>
      </c>
      <c r="AV28" s="15">
        <f t="shared" si="16"/>
        <v>0</v>
      </c>
      <c r="AW28" s="15">
        <f t="shared" si="16"/>
        <v>0</v>
      </c>
      <c r="AX28" s="15">
        <f t="shared" si="17"/>
        <v>0</v>
      </c>
      <c r="AY28" s="5"/>
      <c r="BB28" s="52" t="str">
        <f t="shared" si="11"/>
        <v/>
      </c>
      <c r="BC28" s="36" t="str">
        <f t="shared" si="7"/>
        <v/>
      </c>
      <c r="BD28" s="36"/>
      <c r="BE28" s="36" t="str">
        <f t="shared" si="8"/>
        <v/>
      </c>
      <c r="BF28" s="66" t="str">
        <f>IF(C28="","",IF($C$4="","",VLOOKUP($C$4,'Chart of Accounts'!$A:$B,2,FALSE)))</f>
        <v/>
      </c>
      <c r="BG28" s="55" t="str">
        <f>IF(C28="","",VLOOKUP(C:C,'Chart of Accounts'!$A:$B,2,FALSE))</f>
        <v/>
      </c>
      <c r="BH28" s="36" t="str">
        <f t="shared" si="12"/>
        <v/>
      </c>
      <c r="BI28" s="54">
        <f t="shared" si="13"/>
        <v>0</v>
      </c>
      <c r="BJ28" s="56">
        <f t="shared" si="14"/>
        <v>0</v>
      </c>
    </row>
    <row r="29" spans="1:62" x14ac:dyDescent="0.25">
      <c r="A29" s="1" t="s">
        <v>40</v>
      </c>
      <c r="B29" s="28"/>
      <c r="I29" s="5"/>
      <c r="J29" s="5"/>
      <c r="K29" s="30">
        <f t="shared" si="9"/>
        <v>10500</v>
      </c>
      <c r="L29" s="15"/>
      <c r="M29" s="7">
        <f t="shared" si="0"/>
        <v>0</v>
      </c>
      <c r="N29" s="15"/>
      <c r="O29" s="15">
        <f t="shared" si="15"/>
        <v>0</v>
      </c>
      <c r="P29" s="15"/>
      <c r="Q29" s="15">
        <f t="shared" si="1"/>
        <v>0</v>
      </c>
      <c r="R29" s="15">
        <f t="shared" si="1"/>
        <v>0</v>
      </c>
      <c r="T29" s="15">
        <f t="shared" si="10"/>
        <v>0</v>
      </c>
      <c r="U29" s="15"/>
      <c r="V29" s="15">
        <f t="shared" si="2"/>
        <v>0</v>
      </c>
      <c r="W29" s="15">
        <f t="shared" si="2"/>
        <v>0</v>
      </c>
      <c r="X29" s="15">
        <f t="shared" si="2"/>
        <v>0</v>
      </c>
      <c r="Y29" s="15"/>
      <c r="Z29" s="15">
        <f t="shared" si="3"/>
        <v>0</v>
      </c>
      <c r="AA29" s="15">
        <f t="shared" si="3"/>
        <v>0</v>
      </c>
      <c r="AB29" s="15"/>
      <c r="AC29" s="15">
        <f t="shared" si="4"/>
        <v>0</v>
      </c>
      <c r="AD29" s="15"/>
      <c r="AE29" s="15">
        <f t="shared" si="5"/>
        <v>0</v>
      </c>
      <c r="AF29" s="15">
        <f t="shared" si="5"/>
        <v>0</v>
      </c>
      <c r="AG29" s="15">
        <f t="shared" si="5"/>
        <v>0</v>
      </c>
      <c r="AH29" s="15"/>
      <c r="AI29" s="15">
        <f t="shared" si="16"/>
        <v>0</v>
      </c>
      <c r="AJ29" s="15">
        <f t="shared" si="16"/>
        <v>0</v>
      </c>
      <c r="AK29" s="15">
        <f t="shared" si="16"/>
        <v>0</v>
      </c>
      <c r="AL29" s="15">
        <f t="shared" si="16"/>
        <v>0</v>
      </c>
      <c r="AM29" s="15">
        <f t="shared" si="16"/>
        <v>0</v>
      </c>
      <c r="AN29" s="15">
        <f t="shared" si="16"/>
        <v>0</v>
      </c>
      <c r="AO29" s="15">
        <f t="shared" si="16"/>
        <v>0</v>
      </c>
      <c r="AP29" s="15">
        <f t="shared" si="16"/>
        <v>0</v>
      </c>
      <c r="AQ29" s="15">
        <f t="shared" si="16"/>
        <v>0</v>
      </c>
      <c r="AR29" s="15">
        <f t="shared" si="16"/>
        <v>0</v>
      </c>
      <c r="AS29" s="15">
        <f t="shared" si="16"/>
        <v>0</v>
      </c>
      <c r="AT29" s="15">
        <f t="shared" si="16"/>
        <v>0</v>
      </c>
      <c r="AU29" s="15">
        <f t="shared" si="16"/>
        <v>0</v>
      </c>
      <c r="AV29" s="15">
        <f t="shared" si="16"/>
        <v>0</v>
      </c>
      <c r="AW29" s="15">
        <f t="shared" si="16"/>
        <v>0</v>
      </c>
      <c r="AX29" s="15">
        <f t="shared" si="17"/>
        <v>0</v>
      </c>
      <c r="AY29" s="5"/>
      <c r="BB29" s="52" t="str">
        <f t="shared" si="11"/>
        <v/>
      </c>
      <c r="BC29" s="36" t="str">
        <f t="shared" si="7"/>
        <v/>
      </c>
      <c r="BD29" s="36"/>
      <c r="BE29" s="36" t="str">
        <f t="shared" si="8"/>
        <v/>
      </c>
      <c r="BF29" s="66" t="str">
        <f>IF(C29="","",IF($C$4="","",VLOOKUP($C$4,'Chart of Accounts'!$A:$B,2,FALSE)))</f>
        <v/>
      </c>
      <c r="BG29" s="55" t="str">
        <f>IF(C29="","",VLOOKUP(C:C,'Chart of Accounts'!$A:$B,2,FALSE))</f>
        <v/>
      </c>
      <c r="BH29" s="36" t="str">
        <f t="shared" si="12"/>
        <v/>
      </c>
      <c r="BI29" s="54">
        <f t="shared" si="13"/>
        <v>0</v>
      </c>
      <c r="BJ29" s="56">
        <f t="shared" si="14"/>
        <v>0</v>
      </c>
    </row>
    <row r="30" spans="1:62" x14ac:dyDescent="0.25">
      <c r="A30" s="1" t="s">
        <v>41</v>
      </c>
      <c r="B30" s="28"/>
      <c r="I30" s="5"/>
      <c r="J30" s="5"/>
      <c r="K30" s="30">
        <f t="shared" si="9"/>
        <v>10500</v>
      </c>
      <c r="L30" s="15"/>
      <c r="M30" s="7">
        <f t="shared" si="0"/>
        <v>0</v>
      </c>
      <c r="N30" s="15"/>
      <c r="O30" s="15">
        <f t="shared" si="15"/>
        <v>0</v>
      </c>
      <c r="P30" s="15"/>
      <c r="Q30" s="15">
        <f t="shared" si="1"/>
        <v>0</v>
      </c>
      <c r="R30" s="15">
        <f t="shared" si="1"/>
        <v>0</v>
      </c>
      <c r="T30" s="15">
        <f t="shared" si="10"/>
        <v>0</v>
      </c>
      <c r="U30" s="15"/>
      <c r="V30" s="15">
        <f t="shared" si="2"/>
        <v>0</v>
      </c>
      <c r="W30" s="15">
        <f t="shared" si="2"/>
        <v>0</v>
      </c>
      <c r="X30" s="15">
        <f t="shared" si="2"/>
        <v>0</v>
      </c>
      <c r="Y30" s="15"/>
      <c r="Z30" s="15">
        <f t="shared" si="3"/>
        <v>0</v>
      </c>
      <c r="AA30" s="15">
        <f t="shared" si="3"/>
        <v>0</v>
      </c>
      <c r="AB30" s="15"/>
      <c r="AC30" s="15">
        <f t="shared" si="4"/>
        <v>0</v>
      </c>
      <c r="AD30" s="15"/>
      <c r="AE30" s="15">
        <f t="shared" si="5"/>
        <v>0</v>
      </c>
      <c r="AF30" s="15">
        <f t="shared" si="5"/>
        <v>0</v>
      </c>
      <c r="AG30" s="15">
        <f t="shared" si="5"/>
        <v>0</v>
      </c>
      <c r="AH30" s="15"/>
      <c r="AI30" s="15">
        <f t="shared" si="16"/>
        <v>0</v>
      </c>
      <c r="AJ30" s="15">
        <f t="shared" si="16"/>
        <v>0</v>
      </c>
      <c r="AK30" s="15">
        <f t="shared" si="16"/>
        <v>0</v>
      </c>
      <c r="AL30" s="15">
        <f t="shared" si="16"/>
        <v>0</v>
      </c>
      <c r="AM30" s="15">
        <f t="shared" si="16"/>
        <v>0</v>
      </c>
      <c r="AN30" s="15">
        <f t="shared" si="16"/>
        <v>0</v>
      </c>
      <c r="AO30" s="15">
        <f t="shared" si="16"/>
        <v>0</v>
      </c>
      <c r="AP30" s="15">
        <f t="shared" si="16"/>
        <v>0</v>
      </c>
      <c r="AQ30" s="15">
        <f t="shared" si="16"/>
        <v>0</v>
      </c>
      <c r="AR30" s="15">
        <f t="shared" si="16"/>
        <v>0</v>
      </c>
      <c r="AS30" s="15">
        <f t="shared" si="16"/>
        <v>0</v>
      </c>
      <c r="AT30" s="15">
        <f t="shared" si="16"/>
        <v>0</v>
      </c>
      <c r="AU30" s="15">
        <f t="shared" si="16"/>
        <v>0</v>
      </c>
      <c r="AV30" s="15">
        <f t="shared" si="16"/>
        <v>0</v>
      </c>
      <c r="AW30" s="15">
        <f t="shared" si="16"/>
        <v>0</v>
      </c>
      <c r="AX30" s="15">
        <f t="shared" si="17"/>
        <v>0</v>
      </c>
      <c r="AY30" s="5"/>
      <c r="BB30" s="52" t="str">
        <f t="shared" si="11"/>
        <v/>
      </c>
      <c r="BC30" s="36" t="str">
        <f t="shared" si="7"/>
        <v/>
      </c>
      <c r="BD30" s="36"/>
      <c r="BE30" s="36" t="str">
        <f t="shared" si="8"/>
        <v/>
      </c>
      <c r="BF30" s="66" t="str">
        <f>IF(C30="","",IF($C$4="","",VLOOKUP($C$4,'Chart of Accounts'!$A:$B,2,FALSE)))</f>
        <v/>
      </c>
      <c r="BG30" s="55" t="str">
        <f>IF(C30="","",VLOOKUP(C:C,'Chart of Accounts'!$A:$B,2,FALSE))</f>
        <v/>
      </c>
      <c r="BH30" s="36" t="str">
        <f t="shared" si="12"/>
        <v/>
      </c>
      <c r="BI30" s="54">
        <f t="shared" si="13"/>
        <v>0</v>
      </c>
      <c r="BJ30" s="56">
        <f t="shared" si="14"/>
        <v>0</v>
      </c>
    </row>
    <row r="31" spans="1:62" x14ac:dyDescent="0.25">
      <c r="A31" s="1" t="s">
        <v>42</v>
      </c>
      <c r="B31" s="28"/>
      <c r="I31" s="5"/>
      <c r="J31" s="5"/>
      <c r="K31" s="30">
        <f t="shared" si="9"/>
        <v>10500</v>
      </c>
      <c r="L31" s="15"/>
      <c r="M31" s="7">
        <f t="shared" si="0"/>
        <v>0</v>
      </c>
      <c r="N31" s="15"/>
      <c r="O31" s="15">
        <f t="shared" si="15"/>
        <v>0</v>
      </c>
      <c r="P31" s="15"/>
      <c r="Q31" s="15">
        <f t="shared" si="1"/>
        <v>0</v>
      </c>
      <c r="R31" s="15">
        <f t="shared" si="1"/>
        <v>0</v>
      </c>
      <c r="T31" s="15">
        <f t="shared" si="10"/>
        <v>0</v>
      </c>
      <c r="U31" s="15"/>
      <c r="V31" s="15">
        <f t="shared" si="2"/>
        <v>0</v>
      </c>
      <c r="W31" s="15">
        <f t="shared" si="2"/>
        <v>0</v>
      </c>
      <c r="X31" s="15">
        <f t="shared" si="2"/>
        <v>0</v>
      </c>
      <c r="Y31" s="15"/>
      <c r="Z31" s="15">
        <f t="shared" si="3"/>
        <v>0</v>
      </c>
      <c r="AA31" s="15">
        <f t="shared" si="3"/>
        <v>0</v>
      </c>
      <c r="AB31" s="15"/>
      <c r="AC31" s="15">
        <f t="shared" si="4"/>
        <v>0</v>
      </c>
      <c r="AD31" s="15"/>
      <c r="AE31" s="15">
        <f t="shared" si="5"/>
        <v>0</v>
      </c>
      <c r="AF31" s="15">
        <f t="shared" si="5"/>
        <v>0</v>
      </c>
      <c r="AG31" s="15">
        <f t="shared" si="5"/>
        <v>0</v>
      </c>
      <c r="AH31" s="15"/>
      <c r="AI31" s="15">
        <f t="shared" si="16"/>
        <v>0</v>
      </c>
      <c r="AJ31" s="15">
        <f t="shared" si="16"/>
        <v>0</v>
      </c>
      <c r="AK31" s="15">
        <f t="shared" si="16"/>
        <v>0</v>
      </c>
      <c r="AL31" s="15">
        <f t="shared" si="16"/>
        <v>0</v>
      </c>
      <c r="AM31" s="15">
        <f t="shared" si="16"/>
        <v>0</v>
      </c>
      <c r="AN31" s="15">
        <f t="shared" si="16"/>
        <v>0</v>
      </c>
      <c r="AO31" s="15">
        <f t="shared" si="16"/>
        <v>0</v>
      </c>
      <c r="AP31" s="15">
        <f t="shared" si="16"/>
        <v>0</v>
      </c>
      <c r="AQ31" s="15">
        <f t="shared" si="16"/>
        <v>0</v>
      </c>
      <c r="AR31" s="15">
        <f t="shared" si="16"/>
        <v>0</v>
      </c>
      <c r="AS31" s="15">
        <f t="shared" si="16"/>
        <v>0</v>
      </c>
      <c r="AT31" s="15">
        <f t="shared" si="16"/>
        <v>0</v>
      </c>
      <c r="AU31" s="15">
        <f t="shared" si="16"/>
        <v>0</v>
      </c>
      <c r="AV31" s="15">
        <f t="shared" si="16"/>
        <v>0</v>
      </c>
      <c r="AW31" s="15">
        <f t="shared" si="16"/>
        <v>0</v>
      </c>
      <c r="AX31" s="15">
        <f t="shared" si="17"/>
        <v>0</v>
      </c>
      <c r="AY31" s="5"/>
      <c r="BB31" s="52" t="str">
        <f t="shared" si="11"/>
        <v/>
      </c>
      <c r="BC31" s="36" t="str">
        <f t="shared" si="7"/>
        <v/>
      </c>
      <c r="BD31" s="36"/>
      <c r="BE31" s="36" t="str">
        <f t="shared" si="8"/>
        <v/>
      </c>
      <c r="BF31" s="66" t="str">
        <f>IF(C31="","",IF($C$4="","",VLOOKUP($C$4,'Chart of Accounts'!$A:$B,2,FALSE)))</f>
        <v/>
      </c>
      <c r="BG31" s="55" t="str">
        <f>IF(C31="","",VLOOKUP(C:C,'Chart of Accounts'!$A:$B,2,FALSE))</f>
        <v/>
      </c>
      <c r="BH31" s="36" t="str">
        <f t="shared" si="12"/>
        <v/>
      </c>
      <c r="BI31" s="54">
        <f t="shared" si="13"/>
        <v>0</v>
      </c>
      <c r="BJ31" s="56">
        <f t="shared" si="14"/>
        <v>0</v>
      </c>
    </row>
    <row r="32" spans="1:62" x14ac:dyDescent="0.25">
      <c r="A32" s="1" t="s">
        <v>43</v>
      </c>
      <c r="B32" s="28"/>
      <c r="I32" s="5"/>
      <c r="J32" s="5"/>
      <c r="K32" s="30">
        <f t="shared" si="9"/>
        <v>10500</v>
      </c>
      <c r="L32" s="15"/>
      <c r="M32" s="7">
        <f t="shared" si="0"/>
        <v>0</v>
      </c>
      <c r="N32" s="15"/>
      <c r="O32" s="15">
        <f t="shared" si="15"/>
        <v>0</v>
      </c>
      <c r="P32" s="15"/>
      <c r="Q32" s="15">
        <f t="shared" ref="Q32:R51" si="18">IF($C32=Q$9,$I32+$J32,0)</f>
        <v>0</v>
      </c>
      <c r="R32" s="15">
        <f t="shared" si="18"/>
        <v>0</v>
      </c>
      <c r="T32" s="15">
        <f t="shared" si="10"/>
        <v>0</v>
      </c>
      <c r="U32" s="15"/>
      <c r="V32" s="15">
        <f t="shared" ref="V32:X51" si="19">IF($C32=V$9,$I32+$J32,0)</f>
        <v>0</v>
      </c>
      <c r="W32" s="15">
        <f t="shared" si="19"/>
        <v>0</v>
      </c>
      <c r="X32" s="15">
        <f t="shared" si="19"/>
        <v>0</v>
      </c>
      <c r="Y32" s="15"/>
      <c r="Z32" s="15">
        <f t="shared" ref="Z32:AA51" si="20">IF($C32=Z$9,$I32+$J32,0)</f>
        <v>0</v>
      </c>
      <c r="AA32" s="15">
        <f t="shared" si="20"/>
        <v>0</v>
      </c>
      <c r="AB32" s="15"/>
      <c r="AC32" s="15">
        <f t="shared" si="4"/>
        <v>0</v>
      </c>
      <c r="AD32" s="15"/>
      <c r="AE32" s="15">
        <f t="shared" ref="AE32:AG51" si="21">IF($C32=AE$9,$I32+$J32,0)</f>
        <v>0</v>
      </c>
      <c r="AF32" s="15">
        <f t="shared" si="21"/>
        <v>0</v>
      </c>
      <c r="AG32" s="15">
        <f t="shared" si="21"/>
        <v>0</v>
      </c>
      <c r="AH32" s="15"/>
      <c r="AI32" s="15">
        <f t="shared" si="16"/>
        <v>0</v>
      </c>
      <c r="AJ32" s="15">
        <f t="shared" si="16"/>
        <v>0</v>
      </c>
      <c r="AK32" s="15">
        <f t="shared" si="16"/>
        <v>0</v>
      </c>
      <c r="AL32" s="15">
        <f t="shared" si="16"/>
        <v>0</v>
      </c>
      <c r="AM32" s="15">
        <f t="shared" si="16"/>
        <v>0</v>
      </c>
      <c r="AN32" s="15">
        <f t="shared" si="16"/>
        <v>0</v>
      </c>
      <c r="AO32" s="15">
        <f t="shared" si="16"/>
        <v>0</v>
      </c>
      <c r="AP32" s="15">
        <f t="shared" si="16"/>
        <v>0</v>
      </c>
      <c r="AQ32" s="15">
        <f t="shared" si="16"/>
        <v>0</v>
      </c>
      <c r="AR32" s="15">
        <f t="shared" si="16"/>
        <v>0</v>
      </c>
      <c r="AS32" s="15">
        <f t="shared" si="16"/>
        <v>0</v>
      </c>
      <c r="AT32" s="15">
        <f t="shared" si="16"/>
        <v>0</v>
      </c>
      <c r="AU32" s="15">
        <f t="shared" si="16"/>
        <v>0</v>
      </c>
      <c r="AV32" s="15">
        <f t="shared" si="16"/>
        <v>0</v>
      </c>
      <c r="AW32" s="15">
        <f t="shared" si="16"/>
        <v>0</v>
      </c>
      <c r="AX32" s="15">
        <f t="shared" si="17"/>
        <v>0</v>
      </c>
      <c r="AY32" s="5"/>
      <c r="BB32" s="52" t="str">
        <f t="shared" si="11"/>
        <v/>
      </c>
      <c r="BC32" s="36" t="str">
        <f t="shared" si="7"/>
        <v/>
      </c>
      <c r="BD32" s="36"/>
      <c r="BE32" s="36" t="str">
        <f t="shared" si="8"/>
        <v/>
      </c>
      <c r="BF32" s="66" t="str">
        <f>IF(C32="","",IF($C$4="","",VLOOKUP($C$4,'Chart of Accounts'!$A:$B,2,FALSE)))</f>
        <v/>
      </c>
      <c r="BG32" s="55" t="str">
        <f>IF(C32="","",VLOOKUP(C:C,'Chart of Accounts'!$A:$B,2,FALSE))</f>
        <v/>
      </c>
      <c r="BH32" s="36" t="str">
        <f t="shared" si="12"/>
        <v/>
      </c>
      <c r="BI32" s="54">
        <f t="shared" si="13"/>
        <v>0</v>
      </c>
      <c r="BJ32" s="56">
        <f t="shared" si="14"/>
        <v>0</v>
      </c>
    </row>
    <row r="33" spans="1:62" x14ac:dyDescent="0.25">
      <c r="A33" s="1" t="s">
        <v>44</v>
      </c>
      <c r="B33" s="28"/>
      <c r="I33" s="5"/>
      <c r="J33" s="5"/>
      <c r="K33" s="30">
        <f t="shared" si="9"/>
        <v>10500</v>
      </c>
      <c r="L33" s="15"/>
      <c r="M33" s="7">
        <f t="shared" si="0"/>
        <v>0</v>
      </c>
      <c r="N33" s="15"/>
      <c r="O33" s="15">
        <f t="shared" si="15"/>
        <v>0</v>
      </c>
      <c r="P33" s="15"/>
      <c r="Q33" s="15">
        <f t="shared" si="18"/>
        <v>0</v>
      </c>
      <c r="R33" s="15">
        <f t="shared" si="18"/>
        <v>0</v>
      </c>
      <c r="T33" s="15">
        <f t="shared" si="10"/>
        <v>0</v>
      </c>
      <c r="U33" s="15"/>
      <c r="V33" s="15">
        <f t="shared" si="19"/>
        <v>0</v>
      </c>
      <c r="W33" s="15">
        <f t="shared" si="19"/>
        <v>0</v>
      </c>
      <c r="X33" s="15">
        <f t="shared" si="19"/>
        <v>0</v>
      </c>
      <c r="Y33" s="15"/>
      <c r="Z33" s="15">
        <f t="shared" si="20"/>
        <v>0</v>
      </c>
      <c r="AA33" s="15">
        <f t="shared" si="20"/>
        <v>0</v>
      </c>
      <c r="AB33" s="15"/>
      <c r="AC33" s="15">
        <f t="shared" si="4"/>
        <v>0</v>
      </c>
      <c r="AD33" s="15"/>
      <c r="AE33" s="15">
        <f t="shared" si="21"/>
        <v>0</v>
      </c>
      <c r="AF33" s="15">
        <f t="shared" si="21"/>
        <v>0</v>
      </c>
      <c r="AG33" s="15">
        <f t="shared" si="21"/>
        <v>0</v>
      </c>
      <c r="AH33" s="15"/>
      <c r="AI33" s="15">
        <f t="shared" si="16"/>
        <v>0</v>
      </c>
      <c r="AJ33" s="15">
        <f t="shared" si="16"/>
        <v>0</v>
      </c>
      <c r="AK33" s="15">
        <f t="shared" si="16"/>
        <v>0</v>
      </c>
      <c r="AL33" s="15">
        <f t="shared" si="16"/>
        <v>0</v>
      </c>
      <c r="AM33" s="15">
        <f t="shared" si="16"/>
        <v>0</v>
      </c>
      <c r="AN33" s="15">
        <f t="shared" si="16"/>
        <v>0</v>
      </c>
      <c r="AO33" s="15">
        <f t="shared" si="16"/>
        <v>0</v>
      </c>
      <c r="AP33" s="15">
        <f t="shared" si="16"/>
        <v>0</v>
      </c>
      <c r="AQ33" s="15">
        <f t="shared" si="16"/>
        <v>0</v>
      </c>
      <c r="AR33" s="15">
        <f t="shared" si="16"/>
        <v>0</v>
      </c>
      <c r="AS33" s="15">
        <f t="shared" si="16"/>
        <v>0</v>
      </c>
      <c r="AT33" s="15">
        <f t="shared" si="16"/>
        <v>0</v>
      </c>
      <c r="AU33" s="15">
        <f t="shared" si="16"/>
        <v>0</v>
      </c>
      <c r="AV33" s="15">
        <f t="shared" si="16"/>
        <v>0</v>
      </c>
      <c r="AW33" s="15">
        <f t="shared" si="16"/>
        <v>0</v>
      </c>
      <c r="AX33" s="15">
        <f t="shared" si="17"/>
        <v>0</v>
      </c>
      <c r="AY33" s="5"/>
      <c r="BB33" s="52" t="str">
        <f t="shared" si="11"/>
        <v/>
      </c>
      <c r="BC33" s="36" t="str">
        <f t="shared" si="7"/>
        <v/>
      </c>
      <c r="BD33" s="36"/>
      <c r="BE33" s="36" t="str">
        <f t="shared" si="8"/>
        <v/>
      </c>
      <c r="BF33" s="66" t="str">
        <f>IF(C33="","",IF($C$4="","",VLOOKUP($C$4,'Chart of Accounts'!$A:$B,2,FALSE)))</f>
        <v/>
      </c>
      <c r="BG33" s="55" t="str">
        <f>IF(C33="","",VLOOKUP(C:C,'Chart of Accounts'!$A:$B,2,FALSE))</f>
        <v/>
      </c>
      <c r="BH33" s="36" t="str">
        <f t="shared" si="12"/>
        <v/>
      </c>
      <c r="BI33" s="54">
        <f t="shared" si="13"/>
        <v>0</v>
      </c>
      <c r="BJ33" s="56">
        <f t="shared" si="14"/>
        <v>0</v>
      </c>
    </row>
    <row r="34" spans="1:62" x14ac:dyDescent="0.25">
      <c r="A34" s="1" t="s">
        <v>45</v>
      </c>
      <c r="B34" s="28"/>
      <c r="I34" s="5"/>
      <c r="J34" s="5"/>
      <c r="K34" s="30">
        <f t="shared" si="9"/>
        <v>10500</v>
      </c>
      <c r="L34" s="15"/>
      <c r="M34" s="7">
        <f t="shared" si="0"/>
        <v>0</v>
      </c>
      <c r="N34" s="15"/>
      <c r="O34" s="15">
        <f t="shared" si="15"/>
        <v>0</v>
      </c>
      <c r="P34" s="15"/>
      <c r="Q34" s="15">
        <f t="shared" si="18"/>
        <v>0</v>
      </c>
      <c r="R34" s="15">
        <f t="shared" si="18"/>
        <v>0</v>
      </c>
      <c r="T34" s="15">
        <f t="shared" si="10"/>
        <v>0</v>
      </c>
      <c r="U34" s="15"/>
      <c r="V34" s="15">
        <f t="shared" si="19"/>
        <v>0</v>
      </c>
      <c r="W34" s="15">
        <f t="shared" si="19"/>
        <v>0</v>
      </c>
      <c r="X34" s="15">
        <f t="shared" si="19"/>
        <v>0</v>
      </c>
      <c r="Y34" s="15"/>
      <c r="Z34" s="15">
        <f t="shared" si="20"/>
        <v>0</v>
      </c>
      <c r="AA34" s="15">
        <f t="shared" si="20"/>
        <v>0</v>
      </c>
      <c r="AB34" s="15"/>
      <c r="AC34" s="15">
        <f t="shared" si="4"/>
        <v>0</v>
      </c>
      <c r="AD34" s="15"/>
      <c r="AE34" s="15">
        <f t="shared" si="21"/>
        <v>0</v>
      </c>
      <c r="AF34" s="15">
        <f t="shared" si="21"/>
        <v>0</v>
      </c>
      <c r="AG34" s="15">
        <f t="shared" si="21"/>
        <v>0</v>
      </c>
      <c r="AH34" s="15"/>
      <c r="AI34" s="15">
        <f t="shared" si="16"/>
        <v>0</v>
      </c>
      <c r="AJ34" s="15">
        <f t="shared" si="16"/>
        <v>0</v>
      </c>
      <c r="AK34" s="15">
        <f t="shared" si="16"/>
        <v>0</v>
      </c>
      <c r="AL34" s="15">
        <f t="shared" si="16"/>
        <v>0</v>
      </c>
      <c r="AM34" s="15">
        <f t="shared" si="16"/>
        <v>0</v>
      </c>
      <c r="AN34" s="15">
        <f t="shared" si="16"/>
        <v>0</v>
      </c>
      <c r="AO34" s="15">
        <f t="shared" si="16"/>
        <v>0</v>
      </c>
      <c r="AP34" s="15">
        <f t="shared" si="16"/>
        <v>0</v>
      </c>
      <c r="AQ34" s="15">
        <f t="shared" si="16"/>
        <v>0</v>
      </c>
      <c r="AR34" s="15">
        <f t="shared" si="16"/>
        <v>0</v>
      </c>
      <c r="AS34" s="15">
        <f t="shared" si="16"/>
        <v>0</v>
      </c>
      <c r="AT34" s="15">
        <f t="shared" si="16"/>
        <v>0</v>
      </c>
      <c r="AU34" s="15">
        <f t="shared" si="16"/>
        <v>0</v>
      </c>
      <c r="AV34" s="15">
        <f t="shared" si="16"/>
        <v>0</v>
      </c>
      <c r="AW34" s="15">
        <f t="shared" si="16"/>
        <v>0</v>
      </c>
      <c r="AX34" s="15">
        <f t="shared" si="17"/>
        <v>0</v>
      </c>
      <c r="AY34" s="5"/>
      <c r="BB34" s="52" t="str">
        <f t="shared" si="11"/>
        <v/>
      </c>
      <c r="BC34" s="36" t="str">
        <f t="shared" si="7"/>
        <v/>
      </c>
      <c r="BD34" s="36"/>
      <c r="BE34" s="36" t="str">
        <f t="shared" si="8"/>
        <v/>
      </c>
      <c r="BF34" s="66" t="str">
        <f>IF(C34="","",IF($C$4="","",VLOOKUP($C$4,'Chart of Accounts'!$A:$B,2,FALSE)))</f>
        <v/>
      </c>
      <c r="BG34" s="55" t="str">
        <f>IF(C34="","",VLOOKUP(C:C,'Chart of Accounts'!$A:$B,2,FALSE))</f>
        <v/>
      </c>
      <c r="BH34" s="36" t="str">
        <f t="shared" si="12"/>
        <v/>
      </c>
      <c r="BI34" s="54">
        <f t="shared" si="13"/>
        <v>0</v>
      </c>
      <c r="BJ34" s="56">
        <f t="shared" si="14"/>
        <v>0</v>
      </c>
    </row>
    <row r="35" spans="1:62" x14ac:dyDescent="0.25">
      <c r="A35" s="1" t="s">
        <v>46</v>
      </c>
      <c r="B35" s="28"/>
      <c r="I35" s="5"/>
      <c r="J35" s="5"/>
      <c r="K35" s="30">
        <f t="shared" si="9"/>
        <v>10500</v>
      </c>
      <c r="L35" s="15"/>
      <c r="M35" s="7">
        <f t="shared" si="0"/>
        <v>0</v>
      </c>
      <c r="N35" s="15"/>
      <c r="O35" s="15">
        <f t="shared" si="15"/>
        <v>0</v>
      </c>
      <c r="P35" s="15"/>
      <c r="Q35" s="15">
        <f t="shared" si="18"/>
        <v>0</v>
      </c>
      <c r="R35" s="15">
        <f t="shared" si="18"/>
        <v>0</v>
      </c>
      <c r="T35" s="15">
        <f t="shared" si="10"/>
        <v>0</v>
      </c>
      <c r="U35" s="15"/>
      <c r="V35" s="15">
        <f t="shared" si="19"/>
        <v>0</v>
      </c>
      <c r="W35" s="15">
        <f t="shared" si="19"/>
        <v>0</v>
      </c>
      <c r="X35" s="15">
        <f t="shared" si="19"/>
        <v>0</v>
      </c>
      <c r="Y35" s="15"/>
      <c r="Z35" s="15">
        <f t="shared" si="20"/>
        <v>0</v>
      </c>
      <c r="AA35" s="15">
        <f t="shared" si="20"/>
        <v>0</v>
      </c>
      <c r="AB35" s="15"/>
      <c r="AC35" s="15">
        <f t="shared" si="4"/>
        <v>0</v>
      </c>
      <c r="AD35" s="15"/>
      <c r="AE35" s="15">
        <f t="shared" si="21"/>
        <v>0</v>
      </c>
      <c r="AF35" s="15">
        <f t="shared" si="21"/>
        <v>0</v>
      </c>
      <c r="AG35" s="15">
        <f t="shared" si="21"/>
        <v>0</v>
      </c>
      <c r="AH35" s="15"/>
      <c r="AI35" s="15">
        <f t="shared" si="16"/>
        <v>0</v>
      </c>
      <c r="AJ35" s="15">
        <f t="shared" si="16"/>
        <v>0</v>
      </c>
      <c r="AK35" s="15">
        <f t="shared" si="16"/>
        <v>0</v>
      </c>
      <c r="AL35" s="15">
        <f t="shared" si="16"/>
        <v>0</v>
      </c>
      <c r="AM35" s="15">
        <f t="shared" si="16"/>
        <v>0</v>
      </c>
      <c r="AN35" s="15">
        <f t="shared" si="16"/>
        <v>0</v>
      </c>
      <c r="AO35" s="15">
        <f t="shared" si="16"/>
        <v>0</v>
      </c>
      <c r="AP35" s="15">
        <f t="shared" si="16"/>
        <v>0</v>
      </c>
      <c r="AQ35" s="15">
        <f t="shared" si="16"/>
        <v>0</v>
      </c>
      <c r="AR35" s="15">
        <f t="shared" si="16"/>
        <v>0</v>
      </c>
      <c r="AS35" s="15">
        <f t="shared" si="16"/>
        <v>0</v>
      </c>
      <c r="AT35" s="15">
        <f t="shared" si="16"/>
        <v>0</v>
      </c>
      <c r="AU35" s="15">
        <f t="shared" si="16"/>
        <v>0</v>
      </c>
      <c r="AV35" s="15">
        <f t="shared" si="16"/>
        <v>0</v>
      </c>
      <c r="AW35" s="15">
        <f t="shared" si="16"/>
        <v>0</v>
      </c>
      <c r="AX35" s="15">
        <f t="shared" si="17"/>
        <v>0</v>
      </c>
      <c r="AY35" s="5"/>
      <c r="BB35" s="52" t="str">
        <f t="shared" si="11"/>
        <v/>
      </c>
      <c r="BC35" s="36" t="str">
        <f t="shared" si="7"/>
        <v/>
      </c>
      <c r="BD35" s="36"/>
      <c r="BE35" s="36" t="str">
        <f t="shared" si="8"/>
        <v/>
      </c>
      <c r="BF35" s="66" t="str">
        <f>IF(C35="","",IF($C$4="","",VLOOKUP($C$4,'Chart of Accounts'!$A:$B,2,FALSE)))</f>
        <v/>
      </c>
      <c r="BG35" s="55" t="str">
        <f>IF(C35="","",VLOOKUP(C:C,'Chart of Accounts'!$A:$B,2,FALSE))</f>
        <v/>
      </c>
      <c r="BH35" s="36" t="str">
        <f t="shared" si="12"/>
        <v/>
      </c>
      <c r="BI35" s="54">
        <f t="shared" si="13"/>
        <v>0</v>
      </c>
      <c r="BJ35" s="56">
        <f t="shared" si="14"/>
        <v>0</v>
      </c>
    </row>
    <row r="36" spans="1:62" x14ac:dyDescent="0.25">
      <c r="A36" s="1" t="s">
        <v>47</v>
      </c>
      <c r="B36" s="28"/>
      <c r="I36" s="5"/>
      <c r="J36" s="5"/>
      <c r="K36" s="30">
        <f t="shared" si="9"/>
        <v>10500</v>
      </c>
      <c r="L36" s="15"/>
      <c r="M36" s="7">
        <f t="shared" si="0"/>
        <v>0</v>
      </c>
      <c r="N36" s="15"/>
      <c r="O36" s="15">
        <f t="shared" si="15"/>
        <v>0</v>
      </c>
      <c r="P36" s="15"/>
      <c r="Q36" s="15">
        <f t="shared" si="18"/>
        <v>0</v>
      </c>
      <c r="R36" s="15">
        <f t="shared" si="18"/>
        <v>0</v>
      </c>
      <c r="T36" s="15">
        <f t="shared" si="10"/>
        <v>0</v>
      </c>
      <c r="U36" s="15"/>
      <c r="V36" s="15">
        <f t="shared" si="19"/>
        <v>0</v>
      </c>
      <c r="W36" s="15">
        <f t="shared" si="19"/>
        <v>0</v>
      </c>
      <c r="X36" s="15">
        <f t="shared" si="19"/>
        <v>0</v>
      </c>
      <c r="Y36" s="15"/>
      <c r="Z36" s="15">
        <f t="shared" si="20"/>
        <v>0</v>
      </c>
      <c r="AA36" s="15">
        <f t="shared" si="20"/>
        <v>0</v>
      </c>
      <c r="AB36" s="15"/>
      <c r="AC36" s="15">
        <f t="shared" si="4"/>
        <v>0</v>
      </c>
      <c r="AD36" s="15"/>
      <c r="AE36" s="15">
        <f t="shared" si="21"/>
        <v>0</v>
      </c>
      <c r="AF36" s="15">
        <f t="shared" si="21"/>
        <v>0</v>
      </c>
      <c r="AG36" s="15">
        <f t="shared" si="21"/>
        <v>0</v>
      </c>
      <c r="AH36" s="15"/>
      <c r="AI36" s="15">
        <f t="shared" si="16"/>
        <v>0</v>
      </c>
      <c r="AJ36" s="15">
        <f t="shared" si="16"/>
        <v>0</v>
      </c>
      <c r="AK36" s="15">
        <f t="shared" si="16"/>
        <v>0</v>
      </c>
      <c r="AL36" s="15">
        <f t="shared" si="16"/>
        <v>0</v>
      </c>
      <c r="AM36" s="15">
        <f t="shared" si="16"/>
        <v>0</v>
      </c>
      <c r="AN36" s="15">
        <f t="shared" si="16"/>
        <v>0</v>
      </c>
      <c r="AO36" s="15">
        <f t="shared" si="16"/>
        <v>0</v>
      </c>
      <c r="AP36" s="15">
        <f t="shared" si="16"/>
        <v>0</v>
      </c>
      <c r="AQ36" s="15">
        <f t="shared" si="16"/>
        <v>0</v>
      </c>
      <c r="AR36" s="15">
        <f t="shared" si="16"/>
        <v>0</v>
      </c>
      <c r="AS36" s="15">
        <f t="shared" si="16"/>
        <v>0</v>
      </c>
      <c r="AT36" s="15">
        <f t="shared" si="16"/>
        <v>0</v>
      </c>
      <c r="AU36" s="15">
        <f t="shared" si="16"/>
        <v>0</v>
      </c>
      <c r="AV36" s="15">
        <f t="shared" si="16"/>
        <v>0</v>
      </c>
      <c r="AW36" s="15">
        <f t="shared" si="16"/>
        <v>0</v>
      </c>
      <c r="AX36" s="15">
        <f t="shared" si="17"/>
        <v>0</v>
      </c>
      <c r="AY36" s="5"/>
      <c r="BB36" s="52" t="str">
        <f t="shared" si="11"/>
        <v/>
      </c>
      <c r="BC36" s="36" t="str">
        <f t="shared" si="7"/>
        <v/>
      </c>
      <c r="BD36" s="36"/>
      <c r="BE36" s="36" t="str">
        <f t="shared" si="8"/>
        <v/>
      </c>
      <c r="BF36" s="66" t="str">
        <f>IF(C36="","",IF($C$4="","",VLOOKUP($C$4,'Chart of Accounts'!$A:$B,2,FALSE)))</f>
        <v/>
      </c>
      <c r="BG36" s="55" t="str">
        <f>IF(C36="","",VLOOKUP(C:C,'Chart of Accounts'!$A:$B,2,FALSE))</f>
        <v/>
      </c>
      <c r="BH36" s="36" t="str">
        <f t="shared" si="12"/>
        <v/>
      </c>
      <c r="BI36" s="54">
        <f t="shared" si="13"/>
        <v>0</v>
      </c>
      <c r="BJ36" s="56">
        <f t="shared" si="14"/>
        <v>0</v>
      </c>
    </row>
    <row r="37" spans="1:62" x14ac:dyDescent="0.25">
      <c r="A37" s="1" t="s">
        <v>48</v>
      </c>
      <c r="B37" s="28"/>
      <c r="I37" s="5"/>
      <c r="J37" s="5"/>
      <c r="K37" s="30">
        <f t="shared" si="9"/>
        <v>10500</v>
      </c>
      <c r="L37" s="15"/>
      <c r="M37" s="7">
        <f t="shared" si="0"/>
        <v>0</v>
      </c>
      <c r="N37" s="15"/>
      <c r="O37" s="15">
        <f t="shared" si="15"/>
        <v>0</v>
      </c>
      <c r="P37" s="15"/>
      <c r="Q37" s="15">
        <f t="shared" si="18"/>
        <v>0</v>
      </c>
      <c r="R37" s="15">
        <f t="shared" si="18"/>
        <v>0</v>
      </c>
      <c r="T37" s="15">
        <f t="shared" si="10"/>
        <v>0</v>
      </c>
      <c r="U37" s="15"/>
      <c r="V37" s="15">
        <f t="shared" si="19"/>
        <v>0</v>
      </c>
      <c r="W37" s="15">
        <f t="shared" si="19"/>
        <v>0</v>
      </c>
      <c r="X37" s="15">
        <f t="shared" si="19"/>
        <v>0</v>
      </c>
      <c r="Y37" s="15"/>
      <c r="Z37" s="15">
        <f t="shared" si="20"/>
        <v>0</v>
      </c>
      <c r="AA37" s="15">
        <f t="shared" si="20"/>
        <v>0</v>
      </c>
      <c r="AB37" s="15"/>
      <c r="AC37" s="15">
        <f t="shared" si="4"/>
        <v>0</v>
      </c>
      <c r="AD37" s="15"/>
      <c r="AE37" s="15">
        <f t="shared" si="21"/>
        <v>0</v>
      </c>
      <c r="AF37" s="15">
        <f t="shared" si="21"/>
        <v>0</v>
      </c>
      <c r="AG37" s="15">
        <f t="shared" si="21"/>
        <v>0</v>
      </c>
      <c r="AH37" s="15"/>
      <c r="AI37" s="15">
        <f t="shared" ref="AI37:AW46" si="22">IF($C37=AI$9,$I37+$J37,0)</f>
        <v>0</v>
      </c>
      <c r="AJ37" s="15">
        <f t="shared" si="22"/>
        <v>0</v>
      </c>
      <c r="AK37" s="15">
        <f t="shared" si="22"/>
        <v>0</v>
      </c>
      <c r="AL37" s="15">
        <f t="shared" si="22"/>
        <v>0</v>
      </c>
      <c r="AM37" s="15">
        <f t="shared" si="22"/>
        <v>0</v>
      </c>
      <c r="AN37" s="15">
        <f t="shared" si="22"/>
        <v>0</v>
      </c>
      <c r="AO37" s="15">
        <f t="shared" si="22"/>
        <v>0</v>
      </c>
      <c r="AP37" s="15">
        <f t="shared" si="22"/>
        <v>0</v>
      </c>
      <c r="AQ37" s="15">
        <f t="shared" si="22"/>
        <v>0</v>
      </c>
      <c r="AR37" s="15">
        <f t="shared" si="22"/>
        <v>0</v>
      </c>
      <c r="AS37" s="15">
        <f t="shared" si="22"/>
        <v>0</v>
      </c>
      <c r="AT37" s="15">
        <f t="shared" si="22"/>
        <v>0</v>
      </c>
      <c r="AU37" s="15">
        <f t="shared" si="22"/>
        <v>0</v>
      </c>
      <c r="AV37" s="15">
        <f t="shared" si="22"/>
        <v>0</v>
      </c>
      <c r="AW37" s="15">
        <f t="shared" si="22"/>
        <v>0</v>
      </c>
      <c r="AX37" s="15">
        <f t="shared" si="17"/>
        <v>0</v>
      </c>
      <c r="AY37" s="5"/>
      <c r="BB37" s="52" t="str">
        <f t="shared" si="11"/>
        <v/>
      </c>
      <c r="BC37" s="36" t="str">
        <f t="shared" si="7"/>
        <v/>
      </c>
      <c r="BD37" s="36"/>
      <c r="BE37" s="36" t="str">
        <f t="shared" si="8"/>
        <v/>
      </c>
      <c r="BF37" s="66" t="str">
        <f>IF(C37="","",IF($C$4="","",VLOOKUP($C$4,'Chart of Accounts'!$A:$B,2,FALSE)))</f>
        <v/>
      </c>
      <c r="BG37" s="55" t="str">
        <f>IF(C37="","",VLOOKUP(C:C,'Chart of Accounts'!$A:$B,2,FALSE))</f>
        <v/>
      </c>
      <c r="BH37" s="36" t="str">
        <f t="shared" si="12"/>
        <v/>
      </c>
      <c r="BI37" s="54">
        <f t="shared" si="13"/>
        <v>0</v>
      </c>
      <c r="BJ37" s="56">
        <f t="shared" si="14"/>
        <v>0</v>
      </c>
    </row>
    <row r="38" spans="1:62" x14ac:dyDescent="0.25">
      <c r="A38" s="1" t="s">
        <v>49</v>
      </c>
      <c r="B38" s="28"/>
      <c r="I38" s="5"/>
      <c r="J38" s="5"/>
      <c r="K38" s="30">
        <f t="shared" si="9"/>
        <v>10500</v>
      </c>
      <c r="L38" s="15"/>
      <c r="M38" s="7">
        <f t="shared" si="0"/>
        <v>0</v>
      </c>
      <c r="N38" s="15"/>
      <c r="O38" s="15">
        <f t="shared" si="15"/>
        <v>0</v>
      </c>
      <c r="P38" s="15"/>
      <c r="Q38" s="15">
        <f t="shared" si="18"/>
        <v>0</v>
      </c>
      <c r="R38" s="15">
        <f t="shared" si="18"/>
        <v>0</v>
      </c>
      <c r="T38" s="15">
        <f t="shared" si="10"/>
        <v>0</v>
      </c>
      <c r="U38" s="15"/>
      <c r="V38" s="15">
        <f t="shared" si="19"/>
        <v>0</v>
      </c>
      <c r="W38" s="15">
        <f t="shared" si="19"/>
        <v>0</v>
      </c>
      <c r="X38" s="15">
        <f t="shared" si="19"/>
        <v>0</v>
      </c>
      <c r="Y38" s="15"/>
      <c r="Z38" s="15">
        <f t="shared" si="20"/>
        <v>0</v>
      </c>
      <c r="AA38" s="15">
        <f t="shared" si="20"/>
        <v>0</v>
      </c>
      <c r="AB38" s="15"/>
      <c r="AC38" s="15">
        <f t="shared" si="4"/>
        <v>0</v>
      </c>
      <c r="AD38" s="15"/>
      <c r="AE38" s="15">
        <f t="shared" si="21"/>
        <v>0</v>
      </c>
      <c r="AF38" s="15">
        <f t="shared" si="21"/>
        <v>0</v>
      </c>
      <c r="AG38" s="15">
        <f t="shared" si="21"/>
        <v>0</v>
      </c>
      <c r="AH38" s="15"/>
      <c r="AI38" s="15">
        <f t="shared" si="22"/>
        <v>0</v>
      </c>
      <c r="AJ38" s="15">
        <f t="shared" si="22"/>
        <v>0</v>
      </c>
      <c r="AK38" s="15">
        <f t="shared" si="22"/>
        <v>0</v>
      </c>
      <c r="AL38" s="15">
        <f t="shared" si="22"/>
        <v>0</v>
      </c>
      <c r="AM38" s="15">
        <f t="shared" si="22"/>
        <v>0</v>
      </c>
      <c r="AN38" s="15">
        <f t="shared" si="22"/>
        <v>0</v>
      </c>
      <c r="AO38" s="15">
        <f t="shared" si="22"/>
        <v>0</v>
      </c>
      <c r="AP38" s="15">
        <f t="shared" si="22"/>
        <v>0</v>
      </c>
      <c r="AQ38" s="15">
        <f t="shared" si="22"/>
        <v>0</v>
      </c>
      <c r="AR38" s="15">
        <f t="shared" si="22"/>
        <v>0</v>
      </c>
      <c r="AS38" s="15">
        <f t="shared" si="22"/>
        <v>0</v>
      </c>
      <c r="AT38" s="15">
        <f t="shared" si="22"/>
        <v>0</v>
      </c>
      <c r="AU38" s="15">
        <f t="shared" si="22"/>
        <v>0</v>
      </c>
      <c r="AV38" s="15">
        <f t="shared" si="22"/>
        <v>0</v>
      </c>
      <c r="AW38" s="15">
        <f t="shared" si="22"/>
        <v>0</v>
      </c>
      <c r="AX38" s="15">
        <f t="shared" si="17"/>
        <v>0</v>
      </c>
      <c r="AY38" s="5"/>
      <c r="BB38" s="52" t="str">
        <f t="shared" si="11"/>
        <v/>
      </c>
      <c r="BC38" s="36" t="str">
        <f t="shared" si="7"/>
        <v/>
      </c>
      <c r="BD38" s="36"/>
      <c r="BE38" s="36" t="str">
        <f t="shared" si="8"/>
        <v/>
      </c>
      <c r="BF38" s="66" t="str">
        <f>IF(C38="","",IF($C$4="","",VLOOKUP($C$4,'Chart of Accounts'!$A:$B,2,FALSE)))</f>
        <v/>
      </c>
      <c r="BG38" s="55" t="str">
        <f>IF(C38="","",VLOOKUP(C:C,'Chart of Accounts'!$A:$B,2,FALSE))</f>
        <v/>
      </c>
      <c r="BH38" s="36" t="str">
        <f t="shared" si="12"/>
        <v/>
      </c>
      <c r="BI38" s="54">
        <f t="shared" si="13"/>
        <v>0</v>
      </c>
      <c r="BJ38" s="56">
        <f t="shared" si="14"/>
        <v>0</v>
      </c>
    </row>
    <row r="39" spans="1:62" x14ac:dyDescent="0.25">
      <c r="A39" s="1" t="s">
        <v>50</v>
      </c>
      <c r="B39" s="28"/>
      <c r="I39" s="5"/>
      <c r="J39" s="5"/>
      <c r="K39" s="30">
        <f t="shared" si="9"/>
        <v>10500</v>
      </c>
      <c r="L39" s="15"/>
      <c r="M39" s="7">
        <f t="shared" si="0"/>
        <v>0</v>
      </c>
      <c r="N39" s="15"/>
      <c r="O39" s="15">
        <f t="shared" si="15"/>
        <v>0</v>
      </c>
      <c r="P39" s="15"/>
      <c r="Q39" s="15">
        <f t="shared" si="18"/>
        <v>0</v>
      </c>
      <c r="R39" s="15">
        <f t="shared" si="18"/>
        <v>0</v>
      </c>
      <c r="T39" s="15">
        <f t="shared" si="10"/>
        <v>0</v>
      </c>
      <c r="U39" s="15"/>
      <c r="V39" s="15">
        <f t="shared" si="19"/>
        <v>0</v>
      </c>
      <c r="W39" s="15">
        <f t="shared" si="19"/>
        <v>0</v>
      </c>
      <c r="X39" s="15">
        <f t="shared" si="19"/>
        <v>0</v>
      </c>
      <c r="Y39" s="15"/>
      <c r="Z39" s="15">
        <f t="shared" si="20"/>
        <v>0</v>
      </c>
      <c r="AA39" s="15">
        <f t="shared" si="20"/>
        <v>0</v>
      </c>
      <c r="AB39" s="15"/>
      <c r="AC39" s="15">
        <f t="shared" si="4"/>
        <v>0</v>
      </c>
      <c r="AD39" s="15"/>
      <c r="AE39" s="15">
        <f t="shared" si="21"/>
        <v>0</v>
      </c>
      <c r="AF39" s="15">
        <f t="shared" si="21"/>
        <v>0</v>
      </c>
      <c r="AG39" s="15">
        <f t="shared" si="21"/>
        <v>0</v>
      </c>
      <c r="AH39" s="15"/>
      <c r="AI39" s="15">
        <f t="shared" si="22"/>
        <v>0</v>
      </c>
      <c r="AJ39" s="15">
        <f t="shared" si="22"/>
        <v>0</v>
      </c>
      <c r="AK39" s="15">
        <f t="shared" si="22"/>
        <v>0</v>
      </c>
      <c r="AL39" s="15">
        <f t="shared" si="22"/>
        <v>0</v>
      </c>
      <c r="AM39" s="15">
        <f t="shared" si="22"/>
        <v>0</v>
      </c>
      <c r="AN39" s="15">
        <f t="shared" si="22"/>
        <v>0</v>
      </c>
      <c r="AO39" s="15">
        <f t="shared" si="22"/>
        <v>0</v>
      </c>
      <c r="AP39" s="15">
        <f t="shared" si="22"/>
        <v>0</v>
      </c>
      <c r="AQ39" s="15">
        <f t="shared" si="22"/>
        <v>0</v>
      </c>
      <c r="AR39" s="15">
        <f t="shared" si="22"/>
        <v>0</v>
      </c>
      <c r="AS39" s="15">
        <f t="shared" si="22"/>
        <v>0</v>
      </c>
      <c r="AT39" s="15">
        <f t="shared" si="22"/>
        <v>0</v>
      </c>
      <c r="AU39" s="15">
        <f t="shared" si="22"/>
        <v>0</v>
      </c>
      <c r="AV39" s="15">
        <f t="shared" si="22"/>
        <v>0</v>
      </c>
      <c r="AW39" s="15">
        <f t="shared" si="22"/>
        <v>0</v>
      </c>
      <c r="AX39" s="15">
        <f t="shared" si="17"/>
        <v>0</v>
      </c>
      <c r="AY39" s="5"/>
      <c r="BB39" s="52" t="str">
        <f t="shared" si="11"/>
        <v/>
      </c>
      <c r="BC39" s="36" t="str">
        <f t="shared" si="7"/>
        <v/>
      </c>
      <c r="BD39" s="36"/>
      <c r="BE39" s="36" t="str">
        <f t="shared" si="8"/>
        <v/>
      </c>
      <c r="BF39" s="66" t="str">
        <f>IF(C39="","",IF($C$4="","",VLOOKUP($C$4,'Chart of Accounts'!$A:$B,2,FALSE)))</f>
        <v/>
      </c>
      <c r="BG39" s="55" t="str">
        <f>IF(C39="","",VLOOKUP(C:C,'Chart of Accounts'!$A:$B,2,FALSE))</f>
        <v/>
      </c>
      <c r="BH39" s="36" t="str">
        <f t="shared" si="12"/>
        <v/>
      </c>
      <c r="BI39" s="54">
        <f t="shared" si="13"/>
        <v>0</v>
      </c>
      <c r="BJ39" s="56">
        <f t="shared" si="14"/>
        <v>0</v>
      </c>
    </row>
    <row r="40" spans="1:62" x14ac:dyDescent="0.25">
      <c r="A40" s="1" t="s">
        <v>51</v>
      </c>
      <c r="B40" s="28"/>
      <c r="I40" s="5"/>
      <c r="J40" s="5"/>
      <c r="K40" s="30">
        <f t="shared" si="9"/>
        <v>10500</v>
      </c>
      <c r="L40" s="15"/>
      <c r="M40" s="7">
        <f t="shared" si="0"/>
        <v>0</v>
      </c>
      <c r="N40" s="15"/>
      <c r="O40" s="15">
        <f t="shared" si="15"/>
        <v>0</v>
      </c>
      <c r="P40" s="15"/>
      <c r="Q40" s="15">
        <f t="shared" si="18"/>
        <v>0</v>
      </c>
      <c r="R40" s="15">
        <f t="shared" si="18"/>
        <v>0</v>
      </c>
      <c r="T40" s="15">
        <f t="shared" si="10"/>
        <v>0</v>
      </c>
      <c r="U40" s="15"/>
      <c r="V40" s="15">
        <f t="shared" si="19"/>
        <v>0</v>
      </c>
      <c r="W40" s="15">
        <f t="shared" si="19"/>
        <v>0</v>
      </c>
      <c r="X40" s="15">
        <f t="shared" si="19"/>
        <v>0</v>
      </c>
      <c r="Y40" s="15"/>
      <c r="Z40" s="15">
        <f t="shared" si="20"/>
        <v>0</v>
      </c>
      <c r="AA40" s="15">
        <f t="shared" si="20"/>
        <v>0</v>
      </c>
      <c r="AB40" s="15"/>
      <c r="AC40" s="15">
        <f t="shared" si="4"/>
        <v>0</v>
      </c>
      <c r="AD40" s="15"/>
      <c r="AE40" s="15">
        <f t="shared" si="21"/>
        <v>0</v>
      </c>
      <c r="AF40" s="15">
        <f t="shared" si="21"/>
        <v>0</v>
      </c>
      <c r="AG40" s="15">
        <f t="shared" si="21"/>
        <v>0</v>
      </c>
      <c r="AH40" s="15"/>
      <c r="AI40" s="15">
        <f t="shared" si="22"/>
        <v>0</v>
      </c>
      <c r="AJ40" s="15">
        <f t="shared" si="22"/>
        <v>0</v>
      </c>
      <c r="AK40" s="15">
        <f t="shared" si="22"/>
        <v>0</v>
      </c>
      <c r="AL40" s="15">
        <f t="shared" si="22"/>
        <v>0</v>
      </c>
      <c r="AM40" s="15">
        <f t="shared" si="22"/>
        <v>0</v>
      </c>
      <c r="AN40" s="15">
        <f t="shared" si="22"/>
        <v>0</v>
      </c>
      <c r="AO40" s="15">
        <f t="shared" si="22"/>
        <v>0</v>
      </c>
      <c r="AP40" s="15">
        <f t="shared" si="22"/>
        <v>0</v>
      </c>
      <c r="AQ40" s="15">
        <f t="shared" si="22"/>
        <v>0</v>
      </c>
      <c r="AR40" s="15">
        <f t="shared" si="22"/>
        <v>0</v>
      </c>
      <c r="AS40" s="15">
        <f t="shared" si="22"/>
        <v>0</v>
      </c>
      <c r="AT40" s="15">
        <f t="shared" si="22"/>
        <v>0</v>
      </c>
      <c r="AU40" s="15">
        <f t="shared" si="22"/>
        <v>0</v>
      </c>
      <c r="AV40" s="15">
        <f t="shared" si="22"/>
        <v>0</v>
      </c>
      <c r="AW40" s="15">
        <f t="shared" si="22"/>
        <v>0</v>
      </c>
      <c r="AX40" s="15">
        <f t="shared" si="17"/>
        <v>0</v>
      </c>
      <c r="AY40" s="5"/>
      <c r="BB40" s="52" t="str">
        <f t="shared" si="11"/>
        <v/>
      </c>
      <c r="BC40" s="36" t="str">
        <f t="shared" si="7"/>
        <v/>
      </c>
      <c r="BD40" s="36"/>
      <c r="BE40" s="36" t="str">
        <f t="shared" si="8"/>
        <v/>
      </c>
      <c r="BF40" s="66" t="str">
        <f>IF(C40="","",IF($C$4="","",VLOOKUP($C$4,'Chart of Accounts'!$A:$B,2,FALSE)))</f>
        <v/>
      </c>
      <c r="BG40" s="55" t="str">
        <f>IF(C40="","",VLOOKUP(C:C,'Chart of Accounts'!$A:$B,2,FALSE))</f>
        <v/>
      </c>
      <c r="BH40" s="36" t="str">
        <f t="shared" si="12"/>
        <v/>
      </c>
      <c r="BI40" s="54">
        <f t="shared" si="13"/>
        <v>0</v>
      </c>
      <c r="BJ40" s="56">
        <f t="shared" si="14"/>
        <v>0</v>
      </c>
    </row>
    <row r="41" spans="1:62" x14ac:dyDescent="0.25">
      <c r="A41" s="1" t="s">
        <v>52</v>
      </c>
      <c r="B41" s="28"/>
      <c r="I41" s="5"/>
      <c r="J41" s="5"/>
      <c r="K41" s="30">
        <f t="shared" si="9"/>
        <v>10500</v>
      </c>
      <c r="L41" s="15"/>
      <c r="M41" s="7">
        <f t="shared" si="0"/>
        <v>0</v>
      </c>
      <c r="N41" s="15"/>
      <c r="O41" s="15">
        <f t="shared" si="15"/>
        <v>0</v>
      </c>
      <c r="P41" s="15"/>
      <c r="Q41" s="15">
        <f t="shared" si="18"/>
        <v>0</v>
      </c>
      <c r="R41" s="15">
        <f t="shared" si="18"/>
        <v>0</v>
      </c>
      <c r="T41" s="15">
        <f t="shared" si="10"/>
        <v>0</v>
      </c>
      <c r="U41" s="15"/>
      <c r="V41" s="15">
        <f t="shared" si="19"/>
        <v>0</v>
      </c>
      <c r="W41" s="15">
        <f t="shared" si="19"/>
        <v>0</v>
      </c>
      <c r="X41" s="15">
        <f t="shared" si="19"/>
        <v>0</v>
      </c>
      <c r="Y41" s="15"/>
      <c r="Z41" s="15">
        <f t="shared" si="20"/>
        <v>0</v>
      </c>
      <c r="AA41" s="15">
        <f t="shared" si="20"/>
        <v>0</v>
      </c>
      <c r="AB41" s="15"/>
      <c r="AC41" s="15">
        <f t="shared" si="4"/>
        <v>0</v>
      </c>
      <c r="AD41" s="15"/>
      <c r="AE41" s="15">
        <f t="shared" si="21"/>
        <v>0</v>
      </c>
      <c r="AF41" s="15">
        <f t="shared" si="21"/>
        <v>0</v>
      </c>
      <c r="AG41" s="15">
        <f t="shared" si="21"/>
        <v>0</v>
      </c>
      <c r="AH41" s="15"/>
      <c r="AI41" s="15">
        <f t="shared" si="22"/>
        <v>0</v>
      </c>
      <c r="AJ41" s="15">
        <f t="shared" si="22"/>
        <v>0</v>
      </c>
      <c r="AK41" s="15">
        <f t="shared" si="22"/>
        <v>0</v>
      </c>
      <c r="AL41" s="15">
        <f t="shared" si="22"/>
        <v>0</v>
      </c>
      <c r="AM41" s="15">
        <f t="shared" si="22"/>
        <v>0</v>
      </c>
      <c r="AN41" s="15">
        <f t="shared" si="22"/>
        <v>0</v>
      </c>
      <c r="AO41" s="15">
        <f t="shared" si="22"/>
        <v>0</v>
      </c>
      <c r="AP41" s="15">
        <f t="shared" si="22"/>
        <v>0</v>
      </c>
      <c r="AQ41" s="15">
        <f t="shared" si="22"/>
        <v>0</v>
      </c>
      <c r="AR41" s="15">
        <f t="shared" si="22"/>
        <v>0</v>
      </c>
      <c r="AS41" s="15">
        <f t="shared" si="22"/>
        <v>0</v>
      </c>
      <c r="AT41" s="15">
        <f t="shared" si="22"/>
        <v>0</v>
      </c>
      <c r="AU41" s="15">
        <f t="shared" si="22"/>
        <v>0</v>
      </c>
      <c r="AV41" s="15">
        <f t="shared" si="22"/>
        <v>0</v>
      </c>
      <c r="AW41" s="15">
        <f t="shared" si="22"/>
        <v>0</v>
      </c>
      <c r="AX41" s="15">
        <f t="shared" si="17"/>
        <v>0</v>
      </c>
      <c r="AY41" s="5"/>
      <c r="BB41" s="52" t="str">
        <f t="shared" si="11"/>
        <v/>
      </c>
      <c r="BC41" s="36" t="str">
        <f t="shared" si="7"/>
        <v/>
      </c>
      <c r="BD41" s="36"/>
      <c r="BE41" s="36" t="str">
        <f t="shared" si="8"/>
        <v/>
      </c>
      <c r="BF41" s="66" t="str">
        <f>IF(C41="","",IF($C$4="","",VLOOKUP($C$4,'Chart of Accounts'!$A:$B,2,FALSE)))</f>
        <v/>
      </c>
      <c r="BG41" s="55" t="str">
        <f>IF(C41="","",VLOOKUP(C:C,'Chart of Accounts'!$A:$B,2,FALSE))</f>
        <v/>
      </c>
      <c r="BH41" s="36" t="str">
        <f t="shared" si="12"/>
        <v/>
      </c>
      <c r="BI41" s="54">
        <f t="shared" si="13"/>
        <v>0</v>
      </c>
      <c r="BJ41" s="56">
        <f t="shared" si="14"/>
        <v>0</v>
      </c>
    </row>
    <row r="42" spans="1:62" x14ac:dyDescent="0.25">
      <c r="A42" s="1" t="s">
        <v>53</v>
      </c>
      <c r="B42" s="28"/>
      <c r="I42" s="5"/>
      <c r="J42" s="5"/>
      <c r="K42" s="30">
        <f t="shared" si="9"/>
        <v>10500</v>
      </c>
      <c r="L42" s="15"/>
      <c r="M42" s="7">
        <f t="shared" si="0"/>
        <v>0</v>
      </c>
      <c r="N42" s="15"/>
      <c r="O42" s="15">
        <f t="shared" si="15"/>
        <v>0</v>
      </c>
      <c r="P42" s="15"/>
      <c r="Q42" s="15">
        <f t="shared" si="18"/>
        <v>0</v>
      </c>
      <c r="R42" s="15">
        <f t="shared" si="18"/>
        <v>0</v>
      </c>
      <c r="T42" s="15">
        <f t="shared" si="10"/>
        <v>0</v>
      </c>
      <c r="U42" s="15"/>
      <c r="V42" s="15">
        <f t="shared" si="19"/>
        <v>0</v>
      </c>
      <c r="W42" s="15">
        <f t="shared" si="19"/>
        <v>0</v>
      </c>
      <c r="X42" s="15">
        <f t="shared" si="19"/>
        <v>0</v>
      </c>
      <c r="Y42" s="15"/>
      <c r="Z42" s="15">
        <f t="shared" si="20"/>
        <v>0</v>
      </c>
      <c r="AA42" s="15">
        <f t="shared" si="20"/>
        <v>0</v>
      </c>
      <c r="AB42" s="15"/>
      <c r="AC42" s="15">
        <f t="shared" si="4"/>
        <v>0</v>
      </c>
      <c r="AD42" s="15"/>
      <c r="AE42" s="15">
        <f t="shared" si="21"/>
        <v>0</v>
      </c>
      <c r="AF42" s="15">
        <f t="shared" si="21"/>
        <v>0</v>
      </c>
      <c r="AG42" s="15">
        <f t="shared" si="21"/>
        <v>0</v>
      </c>
      <c r="AH42" s="15"/>
      <c r="AI42" s="15">
        <f t="shared" si="22"/>
        <v>0</v>
      </c>
      <c r="AJ42" s="15">
        <f t="shared" si="22"/>
        <v>0</v>
      </c>
      <c r="AK42" s="15">
        <f t="shared" si="22"/>
        <v>0</v>
      </c>
      <c r="AL42" s="15">
        <f t="shared" si="22"/>
        <v>0</v>
      </c>
      <c r="AM42" s="15">
        <f t="shared" si="22"/>
        <v>0</v>
      </c>
      <c r="AN42" s="15">
        <f t="shared" si="22"/>
        <v>0</v>
      </c>
      <c r="AO42" s="15">
        <f t="shared" si="22"/>
        <v>0</v>
      </c>
      <c r="AP42" s="15">
        <f t="shared" si="22"/>
        <v>0</v>
      </c>
      <c r="AQ42" s="15">
        <f t="shared" si="22"/>
        <v>0</v>
      </c>
      <c r="AR42" s="15">
        <f t="shared" si="22"/>
        <v>0</v>
      </c>
      <c r="AS42" s="15">
        <f t="shared" si="22"/>
        <v>0</v>
      </c>
      <c r="AT42" s="15">
        <f t="shared" si="22"/>
        <v>0</v>
      </c>
      <c r="AU42" s="15">
        <f t="shared" si="22"/>
        <v>0</v>
      </c>
      <c r="AV42" s="15">
        <f t="shared" si="22"/>
        <v>0</v>
      </c>
      <c r="AW42" s="15">
        <f t="shared" si="22"/>
        <v>0</v>
      </c>
      <c r="AX42" s="15">
        <f t="shared" si="17"/>
        <v>0</v>
      </c>
      <c r="AY42" s="5"/>
      <c r="BB42" s="52" t="str">
        <f t="shared" si="11"/>
        <v/>
      </c>
      <c r="BC42" s="36" t="str">
        <f t="shared" si="7"/>
        <v/>
      </c>
      <c r="BD42" s="36"/>
      <c r="BE42" s="36" t="str">
        <f t="shared" si="8"/>
        <v/>
      </c>
      <c r="BF42" s="66" t="str">
        <f>IF(C42="","",IF($C$4="","",VLOOKUP($C$4,'Chart of Accounts'!$A:$B,2,FALSE)))</f>
        <v/>
      </c>
      <c r="BG42" s="55" t="str">
        <f>IF(C42="","",VLOOKUP(C:C,'Chart of Accounts'!$A:$B,2,FALSE))</f>
        <v/>
      </c>
      <c r="BH42" s="36" t="str">
        <f t="shared" si="12"/>
        <v/>
      </c>
      <c r="BI42" s="54">
        <f t="shared" si="13"/>
        <v>0</v>
      </c>
      <c r="BJ42" s="56">
        <f t="shared" si="14"/>
        <v>0</v>
      </c>
    </row>
    <row r="43" spans="1:62" x14ac:dyDescent="0.25">
      <c r="A43" s="1" t="s">
        <v>54</v>
      </c>
      <c r="B43" s="28"/>
      <c r="I43" s="5"/>
      <c r="J43" s="5"/>
      <c r="K43" s="30">
        <f t="shared" si="9"/>
        <v>10500</v>
      </c>
      <c r="L43" s="15"/>
      <c r="M43" s="7">
        <f t="shared" si="0"/>
        <v>0</v>
      </c>
      <c r="N43" s="15"/>
      <c r="O43" s="15">
        <f t="shared" si="15"/>
        <v>0</v>
      </c>
      <c r="P43" s="15"/>
      <c r="Q43" s="15">
        <f t="shared" si="18"/>
        <v>0</v>
      </c>
      <c r="R43" s="15">
        <f t="shared" si="18"/>
        <v>0</v>
      </c>
      <c r="T43" s="15">
        <f t="shared" si="10"/>
        <v>0</v>
      </c>
      <c r="U43" s="15"/>
      <c r="V43" s="15">
        <f t="shared" si="19"/>
        <v>0</v>
      </c>
      <c r="W43" s="15">
        <f t="shared" si="19"/>
        <v>0</v>
      </c>
      <c r="X43" s="15">
        <f t="shared" si="19"/>
        <v>0</v>
      </c>
      <c r="Y43" s="15"/>
      <c r="Z43" s="15">
        <f t="shared" si="20"/>
        <v>0</v>
      </c>
      <c r="AA43" s="15">
        <f t="shared" si="20"/>
        <v>0</v>
      </c>
      <c r="AB43" s="15"/>
      <c r="AC43" s="15">
        <f t="shared" si="4"/>
        <v>0</v>
      </c>
      <c r="AD43" s="15"/>
      <c r="AE43" s="15">
        <f t="shared" si="21"/>
        <v>0</v>
      </c>
      <c r="AF43" s="15">
        <f t="shared" si="21"/>
        <v>0</v>
      </c>
      <c r="AG43" s="15">
        <f t="shared" si="21"/>
        <v>0</v>
      </c>
      <c r="AH43" s="15"/>
      <c r="AI43" s="15">
        <f t="shared" si="22"/>
        <v>0</v>
      </c>
      <c r="AJ43" s="15">
        <f t="shared" si="22"/>
        <v>0</v>
      </c>
      <c r="AK43" s="15">
        <f t="shared" si="22"/>
        <v>0</v>
      </c>
      <c r="AL43" s="15">
        <f t="shared" si="22"/>
        <v>0</v>
      </c>
      <c r="AM43" s="15">
        <f t="shared" si="22"/>
        <v>0</v>
      </c>
      <c r="AN43" s="15">
        <f t="shared" si="22"/>
        <v>0</v>
      </c>
      <c r="AO43" s="15">
        <f t="shared" si="22"/>
        <v>0</v>
      </c>
      <c r="AP43" s="15">
        <f t="shared" si="22"/>
        <v>0</v>
      </c>
      <c r="AQ43" s="15">
        <f t="shared" si="22"/>
        <v>0</v>
      </c>
      <c r="AR43" s="15">
        <f t="shared" si="22"/>
        <v>0</v>
      </c>
      <c r="AS43" s="15">
        <f t="shared" si="22"/>
        <v>0</v>
      </c>
      <c r="AT43" s="15">
        <f t="shared" si="22"/>
        <v>0</v>
      </c>
      <c r="AU43" s="15">
        <f t="shared" si="22"/>
        <v>0</v>
      </c>
      <c r="AV43" s="15">
        <f t="shared" si="22"/>
        <v>0</v>
      </c>
      <c r="AW43" s="15">
        <f t="shared" si="22"/>
        <v>0</v>
      </c>
      <c r="AX43" s="15">
        <f t="shared" si="17"/>
        <v>0</v>
      </c>
      <c r="AY43" s="5"/>
      <c r="BB43" s="52" t="str">
        <f t="shared" si="11"/>
        <v/>
      </c>
      <c r="BC43" s="36" t="str">
        <f t="shared" si="7"/>
        <v/>
      </c>
      <c r="BD43" s="36"/>
      <c r="BE43" s="36" t="str">
        <f t="shared" si="8"/>
        <v/>
      </c>
      <c r="BF43" s="66" t="str">
        <f>IF(C43="","",IF($C$4="","",VLOOKUP($C$4,'Chart of Accounts'!$A:$B,2,FALSE)))</f>
        <v/>
      </c>
      <c r="BG43" s="55" t="str">
        <f>IF(C43="","",VLOOKUP(C:C,'Chart of Accounts'!$A:$B,2,FALSE))</f>
        <v/>
      </c>
      <c r="BH43" s="36" t="str">
        <f t="shared" si="12"/>
        <v/>
      </c>
      <c r="BI43" s="54">
        <f t="shared" si="13"/>
        <v>0</v>
      </c>
      <c r="BJ43" s="56">
        <f t="shared" si="14"/>
        <v>0</v>
      </c>
    </row>
    <row r="44" spans="1:62" x14ac:dyDescent="0.25">
      <c r="A44" s="1" t="s">
        <v>55</v>
      </c>
      <c r="B44" s="28"/>
      <c r="I44" s="5"/>
      <c r="J44" s="5"/>
      <c r="K44" s="30">
        <f t="shared" si="9"/>
        <v>10500</v>
      </c>
      <c r="L44" s="15"/>
      <c r="M44" s="7">
        <f t="shared" ref="M44:M75" si="23">SUM(I44:J44)-SUM(N44:AY44)</f>
        <v>0</v>
      </c>
      <c r="N44" s="15"/>
      <c r="O44" s="15">
        <f t="shared" si="15"/>
        <v>0</v>
      </c>
      <c r="P44" s="15"/>
      <c r="Q44" s="15">
        <f t="shared" si="18"/>
        <v>0</v>
      </c>
      <c r="R44" s="15">
        <f t="shared" si="18"/>
        <v>0</v>
      </c>
      <c r="T44" s="15">
        <f t="shared" si="10"/>
        <v>0</v>
      </c>
      <c r="U44" s="15"/>
      <c r="V44" s="15">
        <f t="shared" si="19"/>
        <v>0</v>
      </c>
      <c r="W44" s="15">
        <f t="shared" si="19"/>
        <v>0</v>
      </c>
      <c r="X44" s="15">
        <f t="shared" si="19"/>
        <v>0</v>
      </c>
      <c r="Y44" s="15"/>
      <c r="Z44" s="15">
        <f t="shared" si="20"/>
        <v>0</v>
      </c>
      <c r="AA44" s="15">
        <f t="shared" si="20"/>
        <v>0</v>
      </c>
      <c r="AB44" s="15"/>
      <c r="AC44" s="15">
        <f t="shared" si="4"/>
        <v>0</v>
      </c>
      <c r="AD44" s="15"/>
      <c r="AE44" s="15">
        <f t="shared" si="21"/>
        <v>0</v>
      </c>
      <c r="AF44" s="15">
        <f t="shared" si="21"/>
        <v>0</v>
      </c>
      <c r="AG44" s="15">
        <f t="shared" si="21"/>
        <v>0</v>
      </c>
      <c r="AH44" s="15"/>
      <c r="AI44" s="15">
        <f t="shared" si="22"/>
        <v>0</v>
      </c>
      <c r="AJ44" s="15">
        <f t="shared" si="22"/>
        <v>0</v>
      </c>
      <c r="AK44" s="15">
        <f t="shared" si="22"/>
        <v>0</v>
      </c>
      <c r="AL44" s="15">
        <f t="shared" si="22"/>
        <v>0</v>
      </c>
      <c r="AM44" s="15">
        <f t="shared" si="22"/>
        <v>0</v>
      </c>
      <c r="AN44" s="15">
        <f t="shared" si="22"/>
        <v>0</v>
      </c>
      <c r="AO44" s="15">
        <f t="shared" si="22"/>
        <v>0</v>
      </c>
      <c r="AP44" s="15">
        <f t="shared" si="22"/>
        <v>0</v>
      </c>
      <c r="AQ44" s="15">
        <f t="shared" si="22"/>
        <v>0</v>
      </c>
      <c r="AR44" s="15">
        <f t="shared" si="22"/>
        <v>0</v>
      </c>
      <c r="AS44" s="15">
        <f t="shared" si="22"/>
        <v>0</v>
      </c>
      <c r="AT44" s="15">
        <f t="shared" si="22"/>
        <v>0</v>
      </c>
      <c r="AU44" s="15">
        <f t="shared" si="22"/>
        <v>0</v>
      </c>
      <c r="AV44" s="15">
        <f t="shared" si="22"/>
        <v>0</v>
      </c>
      <c r="AW44" s="15">
        <f t="shared" si="22"/>
        <v>0</v>
      </c>
      <c r="AX44" s="15">
        <f t="shared" si="17"/>
        <v>0</v>
      </c>
      <c r="AY44" s="5"/>
      <c r="BB44" s="52" t="str">
        <f t="shared" si="11"/>
        <v/>
      </c>
      <c r="BC44" s="36" t="str">
        <f t="shared" si="7"/>
        <v/>
      </c>
      <c r="BD44" s="36"/>
      <c r="BE44" s="36" t="str">
        <f t="shared" si="8"/>
        <v/>
      </c>
      <c r="BF44" s="66" t="str">
        <f>IF(C44="","",IF($C$4="","",VLOOKUP($C$4,'Chart of Accounts'!$A:$B,2,FALSE)))</f>
        <v/>
      </c>
      <c r="BG44" s="55" t="str">
        <f>IF(C44="","",VLOOKUP(C:C,'Chart of Accounts'!$A:$B,2,FALSE))</f>
        <v/>
      </c>
      <c r="BH44" s="36" t="str">
        <f t="shared" si="12"/>
        <v/>
      </c>
      <c r="BI44" s="54">
        <f t="shared" si="13"/>
        <v>0</v>
      </c>
      <c r="BJ44" s="56">
        <f t="shared" si="14"/>
        <v>0</v>
      </c>
    </row>
    <row r="45" spans="1:62" x14ac:dyDescent="0.25">
      <c r="A45" s="1" t="s">
        <v>56</v>
      </c>
      <c r="B45" s="28"/>
      <c r="I45" s="5"/>
      <c r="J45" s="5"/>
      <c r="K45" s="30">
        <f t="shared" si="9"/>
        <v>10500</v>
      </c>
      <c r="L45" s="15"/>
      <c r="M45" s="7">
        <f t="shared" si="23"/>
        <v>0</v>
      </c>
      <c r="N45" s="15"/>
      <c r="O45" s="15">
        <f t="shared" si="15"/>
        <v>0</v>
      </c>
      <c r="P45" s="15"/>
      <c r="Q45" s="15">
        <f t="shared" si="18"/>
        <v>0</v>
      </c>
      <c r="R45" s="15">
        <f t="shared" si="18"/>
        <v>0</v>
      </c>
      <c r="T45" s="15">
        <f t="shared" si="10"/>
        <v>0</v>
      </c>
      <c r="U45" s="15"/>
      <c r="V45" s="15">
        <f t="shared" si="19"/>
        <v>0</v>
      </c>
      <c r="W45" s="15">
        <f t="shared" si="19"/>
        <v>0</v>
      </c>
      <c r="X45" s="15">
        <f t="shared" si="19"/>
        <v>0</v>
      </c>
      <c r="Y45" s="15"/>
      <c r="Z45" s="15">
        <f t="shared" si="20"/>
        <v>0</v>
      </c>
      <c r="AA45" s="15">
        <f t="shared" si="20"/>
        <v>0</v>
      </c>
      <c r="AB45" s="15"/>
      <c r="AC45" s="15">
        <f t="shared" si="4"/>
        <v>0</v>
      </c>
      <c r="AD45" s="15"/>
      <c r="AE45" s="15">
        <f t="shared" si="21"/>
        <v>0</v>
      </c>
      <c r="AF45" s="15">
        <f t="shared" si="21"/>
        <v>0</v>
      </c>
      <c r="AG45" s="15">
        <f t="shared" si="21"/>
        <v>0</v>
      </c>
      <c r="AH45" s="15"/>
      <c r="AI45" s="15">
        <f t="shared" si="22"/>
        <v>0</v>
      </c>
      <c r="AJ45" s="15">
        <f t="shared" si="22"/>
        <v>0</v>
      </c>
      <c r="AK45" s="15">
        <f t="shared" si="22"/>
        <v>0</v>
      </c>
      <c r="AL45" s="15">
        <f t="shared" si="22"/>
        <v>0</v>
      </c>
      <c r="AM45" s="15">
        <f t="shared" si="22"/>
        <v>0</v>
      </c>
      <c r="AN45" s="15">
        <f t="shared" si="22"/>
        <v>0</v>
      </c>
      <c r="AO45" s="15">
        <f t="shared" si="22"/>
        <v>0</v>
      </c>
      <c r="AP45" s="15">
        <f t="shared" si="22"/>
        <v>0</v>
      </c>
      <c r="AQ45" s="15">
        <f t="shared" si="22"/>
        <v>0</v>
      </c>
      <c r="AR45" s="15">
        <f t="shared" si="22"/>
        <v>0</v>
      </c>
      <c r="AS45" s="15">
        <f t="shared" si="22"/>
        <v>0</v>
      </c>
      <c r="AT45" s="15">
        <f t="shared" si="22"/>
        <v>0</v>
      </c>
      <c r="AU45" s="15">
        <f t="shared" si="22"/>
        <v>0</v>
      </c>
      <c r="AV45" s="15">
        <f t="shared" si="22"/>
        <v>0</v>
      </c>
      <c r="AW45" s="15">
        <f t="shared" si="22"/>
        <v>0</v>
      </c>
      <c r="AX45" s="15">
        <f t="shared" si="17"/>
        <v>0</v>
      </c>
      <c r="AY45" s="5"/>
      <c r="BB45" s="52" t="str">
        <f t="shared" si="11"/>
        <v/>
      </c>
      <c r="BC45" s="36" t="str">
        <f t="shared" si="7"/>
        <v/>
      </c>
      <c r="BD45" s="36"/>
      <c r="BE45" s="36" t="str">
        <f t="shared" si="8"/>
        <v/>
      </c>
      <c r="BF45" s="66" t="str">
        <f>IF(C45="","",IF($C$4="","",VLOOKUP($C$4,'Chart of Accounts'!$A:$B,2,FALSE)))</f>
        <v/>
      </c>
      <c r="BG45" s="55" t="str">
        <f>IF(C45="","",VLOOKUP(C:C,'Chart of Accounts'!$A:$B,2,FALSE))</f>
        <v/>
      </c>
      <c r="BH45" s="36" t="str">
        <f t="shared" si="12"/>
        <v/>
      </c>
      <c r="BI45" s="54">
        <f t="shared" si="13"/>
        <v>0</v>
      </c>
      <c r="BJ45" s="56">
        <f t="shared" si="14"/>
        <v>0</v>
      </c>
    </row>
    <row r="46" spans="1:62" x14ac:dyDescent="0.25">
      <c r="A46" s="1" t="s">
        <v>57</v>
      </c>
      <c r="B46" s="28"/>
      <c r="I46" s="5"/>
      <c r="J46" s="5"/>
      <c r="K46" s="30">
        <f t="shared" si="9"/>
        <v>10500</v>
      </c>
      <c r="L46" s="15"/>
      <c r="M46" s="7">
        <f t="shared" si="23"/>
        <v>0</v>
      </c>
      <c r="N46" s="15"/>
      <c r="O46" s="15">
        <f t="shared" si="15"/>
        <v>0</v>
      </c>
      <c r="P46" s="15"/>
      <c r="Q46" s="15">
        <f t="shared" si="18"/>
        <v>0</v>
      </c>
      <c r="R46" s="15">
        <f t="shared" si="18"/>
        <v>0</v>
      </c>
      <c r="T46" s="15">
        <f t="shared" si="10"/>
        <v>0</v>
      </c>
      <c r="U46" s="15"/>
      <c r="V46" s="15">
        <f t="shared" si="19"/>
        <v>0</v>
      </c>
      <c r="W46" s="15">
        <f t="shared" si="19"/>
        <v>0</v>
      </c>
      <c r="X46" s="15">
        <f t="shared" si="19"/>
        <v>0</v>
      </c>
      <c r="Y46" s="15"/>
      <c r="Z46" s="15">
        <f t="shared" si="20"/>
        <v>0</v>
      </c>
      <c r="AA46" s="15">
        <f t="shared" si="20"/>
        <v>0</v>
      </c>
      <c r="AB46" s="15"/>
      <c r="AC46" s="15">
        <f t="shared" si="4"/>
        <v>0</v>
      </c>
      <c r="AD46" s="15"/>
      <c r="AE46" s="15">
        <f t="shared" si="21"/>
        <v>0</v>
      </c>
      <c r="AF46" s="15">
        <f t="shared" si="21"/>
        <v>0</v>
      </c>
      <c r="AG46" s="15">
        <f t="shared" si="21"/>
        <v>0</v>
      </c>
      <c r="AH46" s="15"/>
      <c r="AI46" s="15">
        <f t="shared" si="22"/>
        <v>0</v>
      </c>
      <c r="AJ46" s="15">
        <f t="shared" si="22"/>
        <v>0</v>
      </c>
      <c r="AK46" s="15">
        <f t="shared" si="22"/>
        <v>0</v>
      </c>
      <c r="AL46" s="15">
        <f t="shared" si="22"/>
        <v>0</v>
      </c>
      <c r="AM46" s="15">
        <f t="shared" si="22"/>
        <v>0</v>
      </c>
      <c r="AN46" s="15">
        <f t="shared" si="22"/>
        <v>0</v>
      </c>
      <c r="AO46" s="15">
        <f t="shared" si="22"/>
        <v>0</v>
      </c>
      <c r="AP46" s="15">
        <f t="shared" si="22"/>
        <v>0</v>
      </c>
      <c r="AQ46" s="15">
        <f t="shared" si="22"/>
        <v>0</v>
      </c>
      <c r="AR46" s="15">
        <f t="shared" si="22"/>
        <v>0</v>
      </c>
      <c r="AS46" s="15">
        <f t="shared" si="22"/>
        <v>0</v>
      </c>
      <c r="AT46" s="15">
        <f t="shared" si="22"/>
        <v>0</v>
      </c>
      <c r="AU46" s="15">
        <f t="shared" si="22"/>
        <v>0</v>
      </c>
      <c r="AV46" s="15">
        <f t="shared" si="22"/>
        <v>0</v>
      </c>
      <c r="AW46" s="15">
        <f t="shared" si="22"/>
        <v>0</v>
      </c>
      <c r="AX46" s="15">
        <f t="shared" si="17"/>
        <v>0</v>
      </c>
      <c r="AY46" s="5"/>
      <c r="BB46" s="52" t="str">
        <f t="shared" si="11"/>
        <v/>
      </c>
      <c r="BC46" s="36" t="str">
        <f t="shared" si="7"/>
        <v/>
      </c>
      <c r="BD46" s="36"/>
      <c r="BE46" s="36" t="str">
        <f t="shared" si="8"/>
        <v/>
      </c>
      <c r="BF46" s="66" t="str">
        <f>IF(C46="","",IF($C$4="","",VLOOKUP($C$4,'Chart of Accounts'!$A:$B,2,FALSE)))</f>
        <v/>
      </c>
      <c r="BG46" s="55" t="str">
        <f>IF(C46="","",VLOOKUP(C:C,'Chart of Accounts'!$A:$B,2,FALSE))</f>
        <v/>
      </c>
      <c r="BH46" s="36" t="str">
        <f t="shared" si="12"/>
        <v/>
      </c>
      <c r="BI46" s="54">
        <f t="shared" si="13"/>
        <v>0</v>
      </c>
      <c r="BJ46" s="56">
        <f t="shared" si="14"/>
        <v>0</v>
      </c>
    </row>
    <row r="47" spans="1:62" x14ac:dyDescent="0.25">
      <c r="A47" s="1" t="s">
        <v>58</v>
      </c>
      <c r="B47" s="28"/>
      <c r="I47" s="5"/>
      <c r="J47" s="5"/>
      <c r="K47" s="30">
        <f t="shared" si="9"/>
        <v>10500</v>
      </c>
      <c r="L47" s="15"/>
      <c r="M47" s="7">
        <f t="shared" si="23"/>
        <v>0</v>
      </c>
      <c r="N47" s="15"/>
      <c r="O47" s="15">
        <f t="shared" si="15"/>
        <v>0</v>
      </c>
      <c r="P47" s="15"/>
      <c r="Q47" s="15">
        <f t="shared" si="18"/>
        <v>0</v>
      </c>
      <c r="R47" s="15">
        <f t="shared" si="18"/>
        <v>0</v>
      </c>
      <c r="T47" s="15">
        <f t="shared" si="10"/>
        <v>0</v>
      </c>
      <c r="U47" s="15"/>
      <c r="V47" s="15">
        <f t="shared" si="19"/>
        <v>0</v>
      </c>
      <c r="W47" s="15">
        <f t="shared" si="19"/>
        <v>0</v>
      </c>
      <c r="X47" s="15">
        <f t="shared" si="19"/>
        <v>0</v>
      </c>
      <c r="Y47" s="15"/>
      <c r="Z47" s="15">
        <f t="shared" si="20"/>
        <v>0</v>
      </c>
      <c r="AA47" s="15">
        <f t="shared" si="20"/>
        <v>0</v>
      </c>
      <c r="AB47" s="15"/>
      <c r="AC47" s="15">
        <f t="shared" si="4"/>
        <v>0</v>
      </c>
      <c r="AD47" s="15"/>
      <c r="AE47" s="15">
        <f t="shared" si="21"/>
        <v>0</v>
      </c>
      <c r="AF47" s="15">
        <f t="shared" si="21"/>
        <v>0</v>
      </c>
      <c r="AG47" s="15">
        <f t="shared" si="21"/>
        <v>0</v>
      </c>
      <c r="AH47" s="15"/>
      <c r="AI47" s="15">
        <f t="shared" ref="AI47:AW56" si="24">IF($C47=AI$9,$I47+$J47,0)</f>
        <v>0</v>
      </c>
      <c r="AJ47" s="15">
        <f t="shared" si="24"/>
        <v>0</v>
      </c>
      <c r="AK47" s="15">
        <f t="shared" si="24"/>
        <v>0</v>
      </c>
      <c r="AL47" s="15">
        <f t="shared" si="24"/>
        <v>0</v>
      </c>
      <c r="AM47" s="15">
        <f t="shared" si="24"/>
        <v>0</v>
      </c>
      <c r="AN47" s="15">
        <f t="shared" si="24"/>
        <v>0</v>
      </c>
      <c r="AO47" s="15">
        <f t="shared" si="24"/>
        <v>0</v>
      </c>
      <c r="AP47" s="15">
        <f t="shared" si="24"/>
        <v>0</v>
      </c>
      <c r="AQ47" s="15">
        <f t="shared" si="24"/>
        <v>0</v>
      </c>
      <c r="AR47" s="15">
        <f t="shared" si="24"/>
        <v>0</v>
      </c>
      <c r="AS47" s="15">
        <f t="shared" si="24"/>
        <v>0</v>
      </c>
      <c r="AT47" s="15">
        <f t="shared" si="24"/>
        <v>0</v>
      </c>
      <c r="AU47" s="15">
        <f t="shared" si="24"/>
        <v>0</v>
      </c>
      <c r="AV47" s="15">
        <f t="shared" si="24"/>
        <v>0</v>
      </c>
      <c r="AW47" s="15">
        <f t="shared" si="24"/>
        <v>0</v>
      </c>
      <c r="AX47" s="15">
        <f t="shared" si="17"/>
        <v>0</v>
      </c>
      <c r="AY47" s="5"/>
      <c r="BB47" s="52" t="str">
        <f t="shared" si="11"/>
        <v/>
      </c>
      <c r="BC47" s="36" t="str">
        <f t="shared" si="7"/>
        <v/>
      </c>
      <c r="BD47" s="36"/>
      <c r="BE47" s="36" t="str">
        <f t="shared" si="8"/>
        <v/>
      </c>
      <c r="BF47" s="66" t="str">
        <f>IF(C47="","",IF($C$4="","",VLOOKUP($C$4,'Chart of Accounts'!$A:$B,2,FALSE)))</f>
        <v/>
      </c>
      <c r="BG47" s="55" t="str">
        <f>IF(C47="","",VLOOKUP(C:C,'Chart of Accounts'!$A:$B,2,FALSE))</f>
        <v/>
      </c>
      <c r="BH47" s="36" t="str">
        <f t="shared" si="12"/>
        <v/>
      </c>
      <c r="BI47" s="54">
        <f t="shared" si="13"/>
        <v>0</v>
      </c>
      <c r="BJ47" s="56">
        <f t="shared" si="14"/>
        <v>0</v>
      </c>
    </row>
    <row r="48" spans="1:62" x14ac:dyDescent="0.25">
      <c r="A48" s="1" t="s">
        <v>59</v>
      </c>
      <c r="B48" s="28"/>
      <c r="I48" s="5"/>
      <c r="J48" s="5"/>
      <c r="K48" s="30">
        <f t="shared" si="9"/>
        <v>10500</v>
      </c>
      <c r="L48" s="15"/>
      <c r="M48" s="7">
        <f t="shared" si="23"/>
        <v>0</v>
      </c>
      <c r="N48" s="15"/>
      <c r="O48" s="15">
        <f t="shared" si="15"/>
        <v>0</v>
      </c>
      <c r="P48" s="15"/>
      <c r="Q48" s="15">
        <f t="shared" si="18"/>
        <v>0</v>
      </c>
      <c r="R48" s="15">
        <f t="shared" si="18"/>
        <v>0</v>
      </c>
      <c r="T48" s="15">
        <f t="shared" si="10"/>
        <v>0</v>
      </c>
      <c r="U48" s="15"/>
      <c r="V48" s="15">
        <f t="shared" si="19"/>
        <v>0</v>
      </c>
      <c r="W48" s="15">
        <f t="shared" si="19"/>
        <v>0</v>
      </c>
      <c r="X48" s="15">
        <f t="shared" si="19"/>
        <v>0</v>
      </c>
      <c r="Y48" s="15"/>
      <c r="Z48" s="15">
        <f t="shared" si="20"/>
        <v>0</v>
      </c>
      <c r="AA48" s="15">
        <f t="shared" si="20"/>
        <v>0</v>
      </c>
      <c r="AB48" s="15"/>
      <c r="AC48" s="15">
        <f t="shared" si="4"/>
        <v>0</v>
      </c>
      <c r="AD48" s="15"/>
      <c r="AE48" s="15">
        <f t="shared" si="21"/>
        <v>0</v>
      </c>
      <c r="AF48" s="15">
        <f t="shared" si="21"/>
        <v>0</v>
      </c>
      <c r="AG48" s="15">
        <f t="shared" si="21"/>
        <v>0</v>
      </c>
      <c r="AH48" s="15"/>
      <c r="AI48" s="15">
        <f t="shared" si="24"/>
        <v>0</v>
      </c>
      <c r="AJ48" s="15">
        <f t="shared" si="24"/>
        <v>0</v>
      </c>
      <c r="AK48" s="15">
        <f t="shared" si="24"/>
        <v>0</v>
      </c>
      <c r="AL48" s="15">
        <f t="shared" si="24"/>
        <v>0</v>
      </c>
      <c r="AM48" s="15">
        <f t="shared" si="24"/>
        <v>0</v>
      </c>
      <c r="AN48" s="15">
        <f t="shared" si="24"/>
        <v>0</v>
      </c>
      <c r="AO48" s="15">
        <f t="shared" si="24"/>
        <v>0</v>
      </c>
      <c r="AP48" s="15">
        <f t="shared" si="24"/>
        <v>0</v>
      </c>
      <c r="AQ48" s="15">
        <f t="shared" si="24"/>
        <v>0</v>
      </c>
      <c r="AR48" s="15">
        <f t="shared" si="24"/>
        <v>0</v>
      </c>
      <c r="AS48" s="15">
        <f t="shared" si="24"/>
        <v>0</v>
      </c>
      <c r="AT48" s="15">
        <f t="shared" si="24"/>
        <v>0</v>
      </c>
      <c r="AU48" s="15">
        <f t="shared" si="24"/>
        <v>0</v>
      </c>
      <c r="AV48" s="15">
        <f t="shared" si="24"/>
        <v>0</v>
      </c>
      <c r="AW48" s="15">
        <f t="shared" si="24"/>
        <v>0</v>
      </c>
      <c r="AX48" s="15">
        <f t="shared" si="17"/>
        <v>0</v>
      </c>
      <c r="AY48" s="5"/>
      <c r="BB48" s="52" t="str">
        <f t="shared" si="11"/>
        <v/>
      </c>
      <c r="BC48" s="36" t="str">
        <f t="shared" si="7"/>
        <v/>
      </c>
      <c r="BD48" s="36"/>
      <c r="BE48" s="36" t="str">
        <f t="shared" si="8"/>
        <v/>
      </c>
      <c r="BF48" s="66" t="str">
        <f>IF(C48="","",IF($C$4="","",VLOOKUP($C$4,'Chart of Accounts'!$A:$B,2,FALSE)))</f>
        <v/>
      </c>
      <c r="BG48" s="55" t="str">
        <f>IF(C48="","",VLOOKUP(C:C,'Chart of Accounts'!$A:$B,2,FALSE))</f>
        <v/>
      </c>
      <c r="BH48" s="36" t="str">
        <f t="shared" si="12"/>
        <v/>
      </c>
      <c r="BI48" s="54">
        <f t="shared" si="13"/>
        <v>0</v>
      </c>
      <c r="BJ48" s="56">
        <f t="shared" si="14"/>
        <v>0</v>
      </c>
    </row>
    <row r="49" spans="1:62" x14ac:dyDescent="0.25">
      <c r="A49" s="1" t="s">
        <v>60</v>
      </c>
      <c r="B49" s="28"/>
      <c r="I49" s="5"/>
      <c r="J49" s="5"/>
      <c r="K49" s="30">
        <f t="shared" si="9"/>
        <v>10500</v>
      </c>
      <c r="L49" s="15"/>
      <c r="M49" s="7">
        <f t="shared" si="23"/>
        <v>0</v>
      </c>
      <c r="N49" s="15"/>
      <c r="O49" s="15">
        <f t="shared" si="15"/>
        <v>0</v>
      </c>
      <c r="P49" s="15"/>
      <c r="Q49" s="15">
        <f t="shared" si="18"/>
        <v>0</v>
      </c>
      <c r="R49" s="15">
        <f t="shared" si="18"/>
        <v>0</v>
      </c>
      <c r="T49" s="15">
        <f t="shared" si="10"/>
        <v>0</v>
      </c>
      <c r="U49" s="15"/>
      <c r="V49" s="15">
        <f t="shared" si="19"/>
        <v>0</v>
      </c>
      <c r="W49" s="15">
        <f t="shared" si="19"/>
        <v>0</v>
      </c>
      <c r="X49" s="15">
        <f t="shared" si="19"/>
        <v>0</v>
      </c>
      <c r="Y49" s="15"/>
      <c r="Z49" s="15">
        <f t="shared" si="20"/>
        <v>0</v>
      </c>
      <c r="AA49" s="15">
        <f t="shared" si="20"/>
        <v>0</v>
      </c>
      <c r="AB49" s="15"/>
      <c r="AC49" s="15">
        <f t="shared" si="4"/>
        <v>0</v>
      </c>
      <c r="AD49" s="15"/>
      <c r="AE49" s="15">
        <f t="shared" si="21"/>
        <v>0</v>
      </c>
      <c r="AF49" s="15">
        <f t="shared" si="21"/>
        <v>0</v>
      </c>
      <c r="AG49" s="15">
        <f t="shared" si="21"/>
        <v>0</v>
      </c>
      <c r="AH49" s="15"/>
      <c r="AI49" s="15">
        <f t="shared" si="24"/>
        <v>0</v>
      </c>
      <c r="AJ49" s="15">
        <f t="shared" si="24"/>
        <v>0</v>
      </c>
      <c r="AK49" s="15">
        <f t="shared" si="24"/>
        <v>0</v>
      </c>
      <c r="AL49" s="15">
        <f t="shared" si="24"/>
        <v>0</v>
      </c>
      <c r="AM49" s="15">
        <f t="shared" si="24"/>
        <v>0</v>
      </c>
      <c r="AN49" s="15">
        <f t="shared" si="24"/>
        <v>0</v>
      </c>
      <c r="AO49" s="15">
        <f t="shared" si="24"/>
        <v>0</v>
      </c>
      <c r="AP49" s="15">
        <f t="shared" si="24"/>
        <v>0</v>
      </c>
      <c r="AQ49" s="15">
        <f t="shared" si="24"/>
        <v>0</v>
      </c>
      <c r="AR49" s="15">
        <f t="shared" si="24"/>
        <v>0</v>
      </c>
      <c r="AS49" s="15">
        <f t="shared" si="24"/>
        <v>0</v>
      </c>
      <c r="AT49" s="15">
        <f t="shared" si="24"/>
        <v>0</v>
      </c>
      <c r="AU49" s="15">
        <f t="shared" si="24"/>
        <v>0</v>
      </c>
      <c r="AV49" s="15">
        <f t="shared" si="24"/>
        <v>0</v>
      </c>
      <c r="AW49" s="15">
        <f t="shared" si="24"/>
        <v>0</v>
      </c>
      <c r="AX49" s="15">
        <f t="shared" si="17"/>
        <v>0</v>
      </c>
      <c r="AY49" s="5"/>
      <c r="BB49" s="52" t="str">
        <f t="shared" si="11"/>
        <v/>
      </c>
      <c r="BC49" s="36" t="str">
        <f t="shared" si="7"/>
        <v/>
      </c>
      <c r="BD49" s="36"/>
      <c r="BE49" s="36" t="str">
        <f t="shared" si="8"/>
        <v/>
      </c>
      <c r="BF49" s="66" t="str">
        <f>IF(C49="","",IF($C$4="","",VLOOKUP($C$4,'Chart of Accounts'!$A:$B,2,FALSE)))</f>
        <v/>
      </c>
      <c r="BG49" s="55" t="str">
        <f>IF(C49="","",VLOOKUP(C:C,'Chart of Accounts'!$A:$B,2,FALSE))</f>
        <v/>
      </c>
      <c r="BH49" s="36" t="str">
        <f t="shared" si="12"/>
        <v/>
      </c>
      <c r="BI49" s="54">
        <f t="shared" si="13"/>
        <v>0</v>
      </c>
      <c r="BJ49" s="56">
        <f t="shared" si="14"/>
        <v>0</v>
      </c>
    </row>
    <row r="50" spans="1:62" x14ac:dyDescent="0.25">
      <c r="A50" s="1" t="s">
        <v>61</v>
      </c>
      <c r="B50" s="28"/>
      <c r="I50" s="5"/>
      <c r="J50" s="5"/>
      <c r="K50" s="30">
        <f t="shared" si="9"/>
        <v>10500</v>
      </c>
      <c r="L50" s="15"/>
      <c r="M50" s="7">
        <f t="shared" si="23"/>
        <v>0</v>
      </c>
      <c r="N50" s="15"/>
      <c r="O50" s="15">
        <f t="shared" si="15"/>
        <v>0</v>
      </c>
      <c r="P50" s="15"/>
      <c r="Q50" s="15">
        <f t="shared" si="18"/>
        <v>0</v>
      </c>
      <c r="R50" s="15">
        <f t="shared" si="18"/>
        <v>0</v>
      </c>
      <c r="T50" s="15">
        <f t="shared" si="10"/>
        <v>0</v>
      </c>
      <c r="U50" s="15"/>
      <c r="V50" s="15">
        <f t="shared" si="19"/>
        <v>0</v>
      </c>
      <c r="W50" s="15">
        <f t="shared" si="19"/>
        <v>0</v>
      </c>
      <c r="X50" s="15">
        <f t="shared" si="19"/>
        <v>0</v>
      </c>
      <c r="Y50" s="15"/>
      <c r="Z50" s="15">
        <f t="shared" si="20"/>
        <v>0</v>
      </c>
      <c r="AA50" s="15">
        <f t="shared" si="20"/>
        <v>0</v>
      </c>
      <c r="AB50" s="15"/>
      <c r="AC50" s="15">
        <f t="shared" si="4"/>
        <v>0</v>
      </c>
      <c r="AD50" s="15"/>
      <c r="AE50" s="15">
        <f t="shared" si="21"/>
        <v>0</v>
      </c>
      <c r="AF50" s="15">
        <f t="shared" si="21"/>
        <v>0</v>
      </c>
      <c r="AG50" s="15">
        <f t="shared" si="21"/>
        <v>0</v>
      </c>
      <c r="AH50" s="15"/>
      <c r="AI50" s="15">
        <f t="shared" si="24"/>
        <v>0</v>
      </c>
      <c r="AJ50" s="15">
        <f t="shared" si="24"/>
        <v>0</v>
      </c>
      <c r="AK50" s="15">
        <f t="shared" si="24"/>
        <v>0</v>
      </c>
      <c r="AL50" s="15">
        <f t="shared" si="24"/>
        <v>0</v>
      </c>
      <c r="AM50" s="15">
        <f t="shared" si="24"/>
        <v>0</v>
      </c>
      <c r="AN50" s="15">
        <f t="shared" si="24"/>
        <v>0</v>
      </c>
      <c r="AO50" s="15">
        <f t="shared" si="24"/>
        <v>0</v>
      </c>
      <c r="AP50" s="15">
        <f t="shared" si="24"/>
        <v>0</v>
      </c>
      <c r="AQ50" s="15">
        <f t="shared" si="24"/>
        <v>0</v>
      </c>
      <c r="AR50" s="15">
        <f t="shared" si="24"/>
        <v>0</v>
      </c>
      <c r="AS50" s="15">
        <f t="shared" si="24"/>
        <v>0</v>
      </c>
      <c r="AT50" s="15">
        <f t="shared" si="24"/>
        <v>0</v>
      </c>
      <c r="AU50" s="15">
        <f t="shared" si="24"/>
        <v>0</v>
      </c>
      <c r="AV50" s="15">
        <f t="shared" si="24"/>
        <v>0</v>
      </c>
      <c r="AW50" s="15">
        <f t="shared" si="24"/>
        <v>0</v>
      </c>
      <c r="AX50" s="15">
        <f t="shared" si="17"/>
        <v>0</v>
      </c>
      <c r="AY50" s="5"/>
      <c r="BB50" s="52" t="str">
        <f t="shared" si="11"/>
        <v/>
      </c>
      <c r="BC50" s="36" t="str">
        <f t="shared" si="7"/>
        <v/>
      </c>
      <c r="BD50" s="36"/>
      <c r="BE50" s="36" t="str">
        <f t="shared" si="8"/>
        <v/>
      </c>
      <c r="BF50" s="66" t="str">
        <f>IF(C50="","",IF($C$4="","",VLOOKUP($C$4,'Chart of Accounts'!$A:$B,2,FALSE)))</f>
        <v/>
      </c>
      <c r="BG50" s="55" t="str">
        <f>IF(C50="","",VLOOKUP(C:C,'Chart of Accounts'!$A:$B,2,FALSE))</f>
        <v/>
      </c>
      <c r="BH50" s="36" t="str">
        <f t="shared" si="12"/>
        <v/>
      </c>
      <c r="BI50" s="54">
        <f t="shared" si="13"/>
        <v>0</v>
      </c>
      <c r="BJ50" s="56">
        <f t="shared" si="14"/>
        <v>0</v>
      </c>
    </row>
    <row r="51" spans="1:62" x14ac:dyDescent="0.25">
      <c r="A51" s="1" t="s">
        <v>62</v>
      </c>
      <c r="B51" s="28"/>
      <c r="I51" s="5"/>
      <c r="J51" s="5"/>
      <c r="K51" s="30">
        <f t="shared" si="9"/>
        <v>10500</v>
      </c>
      <c r="L51" s="15"/>
      <c r="M51" s="7">
        <f t="shared" si="23"/>
        <v>0</v>
      </c>
      <c r="N51" s="15"/>
      <c r="O51" s="15">
        <f t="shared" si="15"/>
        <v>0</v>
      </c>
      <c r="P51" s="15"/>
      <c r="Q51" s="15">
        <f t="shared" si="18"/>
        <v>0</v>
      </c>
      <c r="R51" s="15">
        <f t="shared" si="18"/>
        <v>0</v>
      </c>
      <c r="T51" s="15">
        <f t="shared" si="10"/>
        <v>0</v>
      </c>
      <c r="U51" s="15"/>
      <c r="V51" s="15">
        <f t="shared" si="19"/>
        <v>0</v>
      </c>
      <c r="W51" s="15">
        <f t="shared" si="19"/>
        <v>0</v>
      </c>
      <c r="X51" s="15">
        <f t="shared" si="19"/>
        <v>0</v>
      </c>
      <c r="Y51" s="15"/>
      <c r="Z51" s="15">
        <f t="shared" si="20"/>
        <v>0</v>
      </c>
      <c r="AA51" s="15">
        <f t="shared" si="20"/>
        <v>0</v>
      </c>
      <c r="AB51" s="15"/>
      <c r="AC51" s="15">
        <f t="shared" si="4"/>
        <v>0</v>
      </c>
      <c r="AD51" s="15"/>
      <c r="AE51" s="15">
        <f t="shared" si="21"/>
        <v>0</v>
      </c>
      <c r="AF51" s="15">
        <f t="shared" si="21"/>
        <v>0</v>
      </c>
      <c r="AG51" s="15">
        <f t="shared" si="21"/>
        <v>0</v>
      </c>
      <c r="AH51" s="15"/>
      <c r="AI51" s="15">
        <f t="shared" si="24"/>
        <v>0</v>
      </c>
      <c r="AJ51" s="15">
        <f t="shared" si="24"/>
        <v>0</v>
      </c>
      <c r="AK51" s="15">
        <f t="shared" si="24"/>
        <v>0</v>
      </c>
      <c r="AL51" s="15">
        <f t="shared" si="24"/>
        <v>0</v>
      </c>
      <c r="AM51" s="15">
        <f t="shared" si="24"/>
        <v>0</v>
      </c>
      <c r="AN51" s="15">
        <f t="shared" si="24"/>
        <v>0</v>
      </c>
      <c r="AO51" s="15">
        <f t="shared" si="24"/>
        <v>0</v>
      </c>
      <c r="AP51" s="15">
        <f t="shared" si="24"/>
        <v>0</v>
      </c>
      <c r="AQ51" s="15">
        <f t="shared" si="24"/>
        <v>0</v>
      </c>
      <c r="AR51" s="15">
        <f t="shared" si="24"/>
        <v>0</v>
      </c>
      <c r="AS51" s="15">
        <f t="shared" si="24"/>
        <v>0</v>
      </c>
      <c r="AT51" s="15">
        <f t="shared" si="24"/>
        <v>0</v>
      </c>
      <c r="AU51" s="15">
        <f t="shared" si="24"/>
        <v>0</v>
      </c>
      <c r="AV51" s="15">
        <f t="shared" si="24"/>
        <v>0</v>
      </c>
      <c r="AW51" s="15">
        <f t="shared" si="24"/>
        <v>0</v>
      </c>
      <c r="AX51" s="15">
        <f t="shared" si="17"/>
        <v>0</v>
      </c>
      <c r="AY51" s="5"/>
      <c r="BB51" s="52" t="str">
        <f t="shared" si="11"/>
        <v/>
      </c>
      <c r="BC51" s="36" t="str">
        <f t="shared" si="7"/>
        <v/>
      </c>
      <c r="BD51" s="36"/>
      <c r="BE51" s="36" t="str">
        <f t="shared" si="8"/>
        <v/>
      </c>
      <c r="BF51" s="66" t="str">
        <f>IF(C51="","",IF($C$4="","",VLOOKUP($C$4,'Chart of Accounts'!$A:$B,2,FALSE)))</f>
        <v/>
      </c>
      <c r="BG51" s="55" t="str">
        <f>IF(C51="","",VLOOKUP(C:C,'Chart of Accounts'!$A:$B,2,FALSE))</f>
        <v/>
      </c>
      <c r="BH51" s="36" t="str">
        <f t="shared" si="12"/>
        <v/>
      </c>
      <c r="BI51" s="54">
        <f t="shared" si="13"/>
        <v>0</v>
      </c>
      <c r="BJ51" s="56">
        <f t="shared" si="14"/>
        <v>0</v>
      </c>
    </row>
    <row r="52" spans="1:62" x14ac:dyDescent="0.25">
      <c r="A52" s="1" t="s">
        <v>63</v>
      </c>
      <c r="B52" s="28"/>
      <c r="I52" s="5"/>
      <c r="J52" s="5"/>
      <c r="K52" s="30">
        <f t="shared" si="9"/>
        <v>10500</v>
      </c>
      <c r="L52" s="15"/>
      <c r="M52" s="7">
        <f t="shared" si="23"/>
        <v>0</v>
      </c>
      <c r="N52" s="15"/>
      <c r="O52" s="15">
        <f t="shared" si="15"/>
        <v>0</v>
      </c>
      <c r="P52" s="15"/>
      <c r="Q52" s="15">
        <f t="shared" ref="Q52:R71" si="25">IF($C52=Q$9,$I52+$J52,0)</f>
        <v>0</v>
      </c>
      <c r="R52" s="15">
        <f t="shared" si="25"/>
        <v>0</v>
      </c>
      <c r="T52" s="15">
        <f t="shared" si="10"/>
        <v>0</v>
      </c>
      <c r="U52" s="15"/>
      <c r="V52" s="15">
        <f t="shared" ref="V52:X71" si="26">IF($C52=V$9,$I52+$J52,0)</f>
        <v>0</v>
      </c>
      <c r="W52" s="15">
        <f t="shared" si="26"/>
        <v>0</v>
      </c>
      <c r="X52" s="15">
        <f t="shared" si="26"/>
        <v>0</v>
      </c>
      <c r="Y52" s="15"/>
      <c r="Z52" s="15">
        <f t="shared" ref="Z52:AA71" si="27">IF($C52=Z$9,$I52+$J52,0)</f>
        <v>0</v>
      </c>
      <c r="AA52" s="15">
        <f t="shared" si="27"/>
        <v>0</v>
      </c>
      <c r="AB52" s="15"/>
      <c r="AC52" s="15">
        <f t="shared" si="4"/>
        <v>0</v>
      </c>
      <c r="AD52" s="15"/>
      <c r="AE52" s="15">
        <f t="shared" ref="AE52:AG71" si="28">IF($C52=AE$9,$I52+$J52,0)</f>
        <v>0</v>
      </c>
      <c r="AF52" s="15">
        <f t="shared" si="28"/>
        <v>0</v>
      </c>
      <c r="AG52" s="15">
        <f t="shared" si="28"/>
        <v>0</v>
      </c>
      <c r="AH52" s="15"/>
      <c r="AI52" s="15">
        <f t="shared" si="24"/>
        <v>0</v>
      </c>
      <c r="AJ52" s="15">
        <f t="shared" si="24"/>
        <v>0</v>
      </c>
      <c r="AK52" s="15">
        <f t="shared" si="24"/>
        <v>0</v>
      </c>
      <c r="AL52" s="15">
        <f t="shared" si="24"/>
        <v>0</v>
      </c>
      <c r="AM52" s="15">
        <f t="shared" si="24"/>
        <v>0</v>
      </c>
      <c r="AN52" s="15">
        <f t="shared" si="24"/>
        <v>0</v>
      </c>
      <c r="AO52" s="15">
        <f t="shared" si="24"/>
        <v>0</v>
      </c>
      <c r="AP52" s="15">
        <f t="shared" si="24"/>
        <v>0</v>
      </c>
      <c r="AQ52" s="15">
        <f t="shared" si="24"/>
        <v>0</v>
      </c>
      <c r="AR52" s="15">
        <f t="shared" si="24"/>
        <v>0</v>
      </c>
      <c r="AS52" s="15">
        <f t="shared" si="24"/>
        <v>0</v>
      </c>
      <c r="AT52" s="15">
        <f t="shared" si="24"/>
        <v>0</v>
      </c>
      <c r="AU52" s="15">
        <f t="shared" si="24"/>
        <v>0</v>
      </c>
      <c r="AV52" s="15">
        <f t="shared" si="24"/>
        <v>0</v>
      </c>
      <c r="AW52" s="15">
        <f t="shared" si="24"/>
        <v>0</v>
      </c>
      <c r="AX52" s="15">
        <f t="shared" si="17"/>
        <v>0</v>
      </c>
      <c r="BB52" s="52" t="str">
        <f t="shared" si="11"/>
        <v/>
      </c>
      <c r="BC52" s="36" t="str">
        <f t="shared" si="7"/>
        <v/>
      </c>
      <c r="BD52" s="36"/>
      <c r="BE52" s="36" t="str">
        <f t="shared" si="8"/>
        <v/>
      </c>
      <c r="BF52" s="66" t="str">
        <f>IF(C52="","",IF($C$4="","",VLOOKUP($C$4,'Chart of Accounts'!$A:$B,2,FALSE)))</f>
        <v/>
      </c>
      <c r="BG52" s="55" t="str">
        <f>IF(C52="","",VLOOKUP(C:C,'Chart of Accounts'!$A:$B,2,FALSE))</f>
        <v/>
      </c>
      <c r="BH52" s="36" t="str">
        <f t="shared" si="12"/>
        <v/>
      </c>
      <c r="BI52" s="54">
        <f t="shared" si="13"/>
        <v>0</v>
      </c>
      <c r="BJ52" s="56">
        <f t="shared" si="14"/>
        <v>0</v>
      </c>
    </row>
    <row r="53" spans="1:62" x14ac:dyDescent="0.25">
      <c r="A53" s="1" t="s">
        <v>64</v>
      </c>
      <c r="B53" s="28"/>
      <c r="I53" s="5"/>
      <c r="J53" s="5"/>
      <c r="K53" s="30">
        <f t="shared" si="9"/>
        <v>10500</v>
      </c>
      <c r="L53" s="15"/>
      <c r="M53" s="7">
        <f t="shared" si="23"/>
        <v>0</v>
      </c>
      <c r="N53" s="15"/>
      <c r="O53" s="15">
        <f t="shared" si="15"/>
        <v>0</v>
      </c>
      <c r="P53" s="15"/>
      <c r="Q53" s="15">
        <f t="shared" si="25"/>
        <v>0</v>
      </c>
      <c r="R53" s="15">
        <f t="shared" si="25"/>
        <v>0</v>
      </c>
      <c r="T53" s="15">
        <f t="shared" si="10"/>
        <v>0</v>
      </c>
      <c r="U53" s="15"/>
      <c r="V53" s="15">
        <f t="shared" si="26"/>
        <v>0</v>
      </c>
      <c r="W53" s="15">
        <f t="shared" si="26"/>
        <v>0</v>
      </c>
      <c r="X53" s="15">
        <f t="shared" si="26"/>
        <v>0</v>
      </c>
      <c r="Y53" s="15"/>
      <c r="Z53" s="15">
        <f t="shared" si="27"/>
        <v>0</v>
      </c>
      <c r="AA53" s="15">
        <f t="shared" si="27"/>
        <v>0</v>
      </c>
      <c r="AB53" s="15"/>
      <c r="AC53" s="15">
        <f t="shared" si="4"/>
        <v>0</v>
      </c>
      <c r="AD53" s="15"/>
      <c r="AE53" s="15">
        <f t="shared" si="28"/>
        <v>0</v>
      </c>
      <c r="AF53" s="15">
        <f t="shared" si="28"/>
        <v>0</v>
      </c>
      <c r="AG53" s="15">
        <f t="shared" si="28"/>
        <v>0</v>
      </c>
      <c r="AH53" s="15"/>
      <c r="AI53" s="15">
        <f t="shared" si="24"/>
        <v>0</v>
      </c>
      <c r="AJ53" s="15">
        <f t="shared" si="24"/>
        <v>0</v>
      </c>
      <c r="AK53" s="15">
        <f t="shared" si="24"/>
        <v>0</v>
      </c>
      <c r="AL53" s="15">
        <f t="shared" si="24"/>
        <v>0</v>
      </c>
      <c r="AM53" s="15">
        <f t="shared" si="24"/>
        <v>0</v>
      </c>
      <c r="AN53" s="15">
        <f t="shared" si="24"/>
        <v>0</v>
      </c>
      <c r="AO53" s="15">
        <f t="shared" si="24"/>
        <v>0</v>
      </c>
      <c r="AP53" s="15">
        <f t="shared" si="24"/>
        <v>0</v>
      </c>
      <c r="AQ53" s="15">
        <f t="shared" si="24"/>
        <v>0</v>
      </c>
      <c r="AR53" s="15">
        <f t="shared" si="24"/>
        <v>0</v>
      </c>
      <c r="AS53" s="15">
        <f t="shared" si="24"/>
        <v>0</v>
      </c>
      <c r="AT53" s="15">
        <f t="shared" si="24"/>
        <v>0</v>
      </c>
      <c r="AU53" s="15">
        <f t="shared" si="24"/>
        <v>0</v>
      </c>
      <c r="AV53" s="15">
        <f t="shared" si="24"/>
        <v>0</v>
      </c>
      <c r="AW53" s="15">
        <f t="shared" si="24"/>
        <v>0</v>
      </c>
      <c r="AX53" s="15">
        <f t="shared" si="17"/>
        <v>0</v>
      </c>
      <c r="AY53" s="5"/>
      <c r="BB53" s="52" t="str">
        <f t="shared" si="11"/>
        <v/>
      </c>
      <c r="BC53" s="36" t="str">
        <f t="shared" si="7"/>
        <v/>
      </c>
      <c r="BD53" s="36"/>
      <c r="BE53" s="36" t="str">
        <f t="shared" si="8"/>
        <v/>
      </c>
      <c r="BF53" s="66" t="str">
        <f>IF(C53="","",IF($C$4="","",VLOOKUP($C$4,'Chart of Accounts'!$A:$B,2,FALSE)))</f>
        <v/>
      </c>
      <c r="BG53" s="55" t="str">
        <f>IF(C53="","",VLOOKUP(C:C,'Chart of Accounts'!$A:$B,2,FALSE))</f>
        <v/>
      </c>
      <c r="BH53" s="36" t="str">
        <f t="shared" si="12"/>
        <v/>
      </c>
      <c r="BI53" s="54">
        <f t="shared" si="13"/>
        <v>0</v>
      </c>
      <c r="BJ53" s="56">
        <f t="shared" si="14"/>
        <v>0</v>
      </c>
    </row>
    <row r="54" spans="1:62" x14ac:dyDescent="0.25">
      <c r="A54" s="1" t="s">
        <v>65</v>
      </c>
      <c r="B54" s="28"/>
      <c r="I54" s="5"/>
      <c r="J54" s="5"/>
      <c r="K54" s="30">
        <f t="shared" si="9"/>
        <v>10500</v>
      </c>
      <c r="L54" s="15"/>
      <c r="M54" s="7">
        <f t="shared" si="23"/>
        <v>0</v>
      </c>
      <c r="N54" s="15"/>
      <c r="O54" s="15">
        <f t="shared" si="15"/>
        <v>0</v>
      </c>
      <c r="P54" s="15"/>
      <c r="Q54" s="15">
        <f t="shared" si="25"/>
        <v>0</v>
      </c>
      <c r="R54" s="15">
        <f t="shared" si="25"/>
        <v>0</v>
      </c>
      <c r="T54" s="15">
        <f t="shared" si="10"/>
        <v>0</v>
      </c>
      <c r="U54" s="15"/>
      <c r="V54" s="15">
        <f t="shared" si="26"/>
        <v>0</v>
      </c>
      <c r="W54" s="15">
        <f t="shared" si="26"/>
        <v>0</v>
      </c>
      <c r="X54" s="15">
        <f t="shared" si="26"/>
        <v>0</v>
      </c>
      <c r="Y54" s="15"/>
      <c r="Z54" s="15">
        <f t="shared" si="27"/>
        <v>0</v>
      </c>
      <c r="AA54" s="15">
        <f t="shared" si="27"/>
        <v>0</v>
      </c>
      <c r="AB54" s="15"/>
      <c r="AC54" s="15">
        <f t="shared" si="4"/>
        <v>0</v>
      </c>
      <c r="AD54" s="15"/>
      <c r="AE54" s="15">
        <f t="shared" si="28"/>
        <v>0</v>
      </c>
      <c r="AF54" s="15">
        <f t="shared" si="28"/>
        <v>0</v>
      </c>
      <c r="AG54" s="15">
        <f t="shared" si="28"/>
        <v>0</v>
      </c>
      <c r="AH54" s="15"/>
      <c r="AI54" s="15">
        <f t="shared" si="24"/>
        <v>0</v>
      </c>
      <c r="AJ54" s="15">
        <f t="shared" si="24"/>
        <v>0</v>
      </c>
      <c r="AK54" s="15">
        <f t="shared" si="24"/>
        <v>0</v>
      </c>
      <c r="AL54" s="15">
        <f t="shared" si="24"/>
        <v>0</v>
      </c>
      <c r="AM54" s="15">
        <f t="shared" si="24"/>
        <v>0</v>
      </c>
      <c r="AN54" s="15">
        <f t="shared" si="24"/>
        <v>0</v>
      </c>
      <c r="AO54" s="15">
        <f t="shared" si="24"/>
        <v>0</v>
      </c>
      <c r="AP54" s="15">
        <f t="shared" si="24"/>
        <v>0</v>
      </c>
      <c r="AQ54" s="15">
        <f t="shared" si="24"/>
        <v>0</v>
      </c>
      <c r="AR54" s="15">
        <f t="shared" si="24"/>
        <v>0</v>
      </c>
      <c r="AS54" s="15">
        <f t="shared" si="24"/>
        <v>0</v>
      </c>
      <c r="AT54" s="15">
        <f t="shared" si="24"/>
        <v>0</v>
      </c>
      <c r="AU54" s="15">
        <f t="shared" si="24"/>
        <v>0</v>
      </c>
      <c r="AV54" s="15">
        <f t="shared" si="24"/>
        <v>0</v>
      </c>
      <c r="AW54" s="15">
        <f t="shared" si="24"/>
        <v>0</v>
      </c>
      <c r="AX54" s="15">
        <f t="shared" si="17"/>
        <v>0</v>
      </c>
      <c r="AY54" s="5"/>
      <c r="BB54" s="52" t="str">
        <f t="shared" si="11"/>
        <v/>
      </c>
      <c r="BC54" s="36" t="str">
        <f t="shared" si="7"/>
        <v/>
      </c>
      <c r="BD54" s="36"/>
      <c r="BE54" s="36" t="str">
        <f t="shared" si="8"/>
        <v/>
      </c>
      <c r="BF54" s="66" t="str">
        <f>IF(C54="","",IF($C$4="","",VLOOKUP($C$4,'Chart of Accounts'!$A:$B,2,FALSE)))</f>
        <v/>
      </c>
      <c r="BG54" s="55" t="str">
        <f>IF(C54="","",VLOOKUP(C:C,'Chart of Accounts'!$A:$B,2,FALSE))</f>
        <v/>
      </c>
      <c r="BH54" s="36" t="str">
        <f t="shared" si="12"/>
        <v/>
      </c>
      <c r="BI54" s="54">
        <f t="shared" si="13"/>
        <v>0</v>
      </c>
      <c r="BJ54" s="56">
        <f t="shared" si="14"/>
        <v>0</v>
      </c>
    </row>
    <row r="55" spans="1:62" x14ac:dyDescent="0.25">
      <c r="A55" s="1" t="s">
        <v>66</v>
      </c>
      <c r="B55" s="28"/>
      <c r="I55" s="5"/>
      <c r="J55" s="5"/>
      <c r="K55" s="30">
        <f t="shared" si="9"/>
        <v>10500</v>
      </c>
      <c r="L55" s="15"/>
      <c r="M55" s="7">
        <f t="shared" si="23"/>
        <v>0</v>
      </c>
      <c r="N55" s="15"/>
      <c r="O55" s="15">
        <f t="shared" si="15"/>
        <v>0</v>
      </c>
      <c r="P55" s="15"/>
      <c r="Q55" s="15">
        <f t="shared" si="25"/>
        <v>0</v>
      </c>
      <c r="R55" s="15">
        <f t="shared" si="25"/>
        <v>0</v>
      </c>
      <c r="T55" s="15">
        <f t="shared" si="10"/>
        <v>0</v>
      </c>
      <c r="U55" s="15"/>
      <c r="V55" s="15">
        <f t="shared" si="26"/>
        <v>0</v>
      </c>
      <c r="W55" s="15">
        <f t="shared" si="26"/>
        <v>0</v>
      </c>
      <c r="X55" s="15">
        <f t="shared" si="26"/>
        <v>0</v>
      </c>
      <c r="Y55" s="15"/>
      <c r="Z55" s="15">
        <f t="shared" si="27"/>
        <v>0</v>
      </c>
      <c r="AA55" s="15">
        <f t="shared" si="27"/>
        <v>0</v>
      </c>
      <c r="AB55" s="15"/>
      <c r="AC55" s="15">
        <f t="shared" si="4"/>
        <v>0</v>
      </c>
      <c r="AD55" s="15"/>
      <c r="AE55" s="15">
        <f t="shared" si="28"/>
        <v>0</v>
      </c>
      <c r="AF55" s="15">
        <f t="shared" si="28"/>
        <v>0</v>
      </c>
      <c r="AG55" s="15">
        <f t="shared" si="28"/>
        <v>0</v>
      </c>
      <c r="AH55" s="15"/>
      <c r="AI55" s="15">
        <f t="shared" si="24"/>
        <v>0</v>
      </c>
      <c r="AJ55" s="15">
        <f t="shared" si="24"/>
        <v>0</v>
      </c>
      <c r="AK55" s="15">
        <f t="shared" si="24"/>
        <v>0</v>
      </c>
      <c r="AL55" s="15">
        <f t="shared" si="24"/>
        <v>0</v>
      </c>
      <c r="AM55" s="15">
        <f t="shared" si="24"/>
        <v>0</v>
      </c>
      <c r="AN55" s="15">
        <f t="shared" si="24"/>
        <v>0</v>
      </c>
      <c r="AO55" s="15">
        <f t="shared" si="24"/>
        <v>0</v>
      </c>
      <c r="AP55" s="15">
        <f t="shared" si="24"/>
        <v>0</v>
      </c>
      <c r="AQ55" s="15">
        <f t="shared" si="24"/>
        <v>0</v>
      </c>
      <c r="AR55" s="15">
        <f t="shared" si="24"/>
        <v>0</v>
      </c>
      <c r="AS55" s="15">
        <f t="shared" si="24"/>
        <v>0</v>
      </c>
      <c r="AT55" s="15">
        <f t="shared" si="24"/>
        <v>0</v>
      </c>
      <c r="AU55" s="15">
        <f t="shared" si="24"/>
        <v>0</v>
      </c>
      <c r="AV55" s="15">
        <f t="shared" si="24"/>
        <v>0</v>
      </c>
      <c r="AW55" s="15">
        <f t="shared" si="24"/>
        <v>0</v>
      </c>
      <c r="AX55" s="15">
        <f t="shared" si="17"/>
        <v>0</v>
      </c>
      <c r="AY55" s="5"/>
      <c r="BB55" s="52" t="str">
        <f t="shared" si="11"/>
        <v/>
      </c>
      <c r="BC55" s="36" t="str">
        <f t="shared" si="7"/>
        <v/>
      </c>
      <c r="BD55" s="36"/>
      <c r="BE55" s="36" t="str">
        <f t="shared" si="8"/>
        <v/>
      </c>
      <c r="BF55" s="66" t="str">
        <f>IF(C55="","",IF($C$4="","",VLOOKUP($C$4,'Chart of Accounts'!$A:$B,2,FALSE)))</f>
        <v/>
      </c>
      <c r="BG55" s="55" t="str">
        <f>IF(C55="","",VLOOKUP(C:C,'Chart of Accounts'!$A:$B,2,FALSE))</f>
        <v/>
      </c>
      <c r="BH55" s="36" t="str">
        <f t="shared" si="12"/>
        <v/>
      </c>
      <c r="BI55" s="54">
        <f t="shared" si="13"/>
        <v>0</v>
      </c>
      <c r="BJ55" s="56">
        <f t="shared" si="14"/>
        <v>0</v>
      </c>
    </row>
    <row r="56" spans="1:62" x14ac:dyDescent="0.25">
      <c r="A56" s="1" t="s">
        <v>67</v>
      </c>
      <c r="B56" s="28"/>
      <c r="I56" s="5"/>
      <c r="J56" s="5"/>
      <c r="K56" s="30">
        <f t="shared" si="9"/>
        <v>10500</v>
      </c>
      <c r="L56" s="15"/>
      <c r="M56" s="7">
        <f t="shared" si="23"/>
        <v>0</v>
      </c>
      <c r="N56" s="15"/>
      <c r="O56" s="15">
        <f t="shared" si="15"/>
        <v>0</v>
      </c>
      <c r="P56" s="15"/>
      <c r="Q56" s="15">
        <f t="shared" si="25"/>
        <v>0</v>
      </c>
      <c r="R56" s="15">
        <f t="shared" si="25"/>
        <v>0</v>
      </c>
      <c r="T56" s="15">
        <f t="shared" si="10"/>
        <v>0</v>
      </c>
      <c r="U56" s="15"/>
      <c r="V56" s="15">
        <f t="shared" si="26"/>
        <v>0</v>
      </c>
      <c r="W56" s="15">
        <f t="shared" si="26"/>
        <v>0</v>
      </c>
      <c r="X56" s="15">
        <f t="shared" si="26"/>
        <v>0</v>
      </c>
      <c r="Y56" s="15"/>
      <c r="Z56" s="15">
        <f t="shared" si="27"/>
        <v>0</v>
      </c>
      <c r="AA56" s="15">
        <f t="shared" si="27"/>
        <v>0</v>
      </c>
      <c r="AB56" s="15"/>
      <c r="AC56" s="15">
        <f t="shared" si="4"/>
        <v>0</v>
      </c>
      <c r="AD56" s="15"/>
      <c r="AE56" s="15">
        <f t="shared" si="28"/>
        <v>0</v>
      </c>
      <c r="AF56" s="15">
        <f t="shared" si="28"/>
        <v>0</v>
      </c>
      <c r="AG56" s="15">
        <f t="shared" si="28"/>
        <v>0</v>
      </c>
      <c r="AH56" s="15"/>
      <c r="AI56" s="15">
        <f t="shared" si="24"/>
        <v>0</v>
      </c>
      <c r="AJ56" s="15">
        <f t="shared" si="24"/>
        <v>0</v>
      </c>
      <c r="AK56" s="15">
        <f t="shared" si="24"/>
        <v>0</v>
      </c>
      <c r="AL56" s="15">
        <f t="shared" si="24"/>
        <v>0</v>
      </c>
      <c r="AM56" s="15">
        <f t="shared" si="24"/>
        <v>0</v>
      </c>
      <c r="AN56" s="15">
        <f t="shared" si="24"/>
        <v>0</v>
      </c>
      <c r="AO56" s="15">
        <f t="shared" si="24"/>
        <v>0</v>
      </c>
      <c r="AP56" s="15">
        <f t="shared" si="24"/>
        <v>0</v>
      </c>
      <c r="AQ56" s="15">
        <f t="shared" si="24"/>
        <v>0</v>
      </c>
      <c r="AR56" s="15">
        <f t="shared" si="24"/>
        <v>0</v>
      </c>
      <c r="AS56" s="15">
        <f t="shared" si="24"/>
        <v>0</v>
      </c>
      <c r="AT56" s="15">
        <f t="shared" si="24"/>
        <v>0</v>
      </c>
      <c r="AU56" s="15">
        <f t="shared" si="24"/>
        <v>0</v>
      </c>
      <c r="AV56" s="15">
        <f t="shared" si="24"/>
        <v>0</v>
      </c>
      <c r="AW56" s="15">
        <f t="shared" si="24"/>
        <v>0</v>
      </c>
      <c r="AX56" s="15">
        <f t="shared" si="17"/>
        <v>0</v>
      </c>
      <c r="AY56" s="5"/>
      <c r="BB56" s="52" t="str">
        <f t="shared" si="11"/>
        <v/>
      </c>
      <c r="BC56" s="36" t="str">
        <f t="shared" si="7"/>
        <v/>
      </c>
      <c r="BD56" s="36"/>
      <c r="BE56" s="36" t="str">
        <f t="shared" si="8"/>
        <v/>
      </c>
      <c r="BF56" s="66" t="str">
        <f>IF(C56="","",IF($C$4="","",VLOOKUP($C$4,'Chart of Accounts'!$A:$B,2,FALSE)))</f>
        <v/>
      </c>
      <c r="BG56" s="55" t="str">
        <f>IF(C56="","",VLOOKUP(C:C,'Chart of Accounts'!$A:$B,2,FALSE))</f>
        <v/>
      </c>
      <c r="BH56" s="36" t="str">
        <f t="shared" si="12"/>
        <v/>
      </c>
      <c r="BI56" s="54">
        <f t="shared" si="13"/>
        <v>0</v>
      </c>
      <c r="BJ56" s="56">
        <f t="shared" si="14"/>
        <v>0</v>
      </c>
    </row>
    <row r="57" spans="1:62" x14ac:dyDescent="0.25">
      <c r="A57" s="1" t="s">
        <v>68</v>
      </c>
      <c r="B57" s="28"/>
      <c r="I57" s="5"/>
      <c r="J57" s="5"/>
      <c r="K57" s="30">
        <f t="shared" si="9"/>
        <v>10500</v>
      </c>
      <c r="L57" s="15"/>
      <c r="M57" s="7">
        <f t="shared" si="23"/>
        <v>0</v>
      </c>
      <c r="N57" s="15"/>
      <c r="O57" s="15">
        <f t="shared" si="15"/>
        <v>0</v>
      </c>
      <c r="P57" s="15"/>
      <c r="Q57" s="15">
        <f t="shared" si="25"/>
        <v>0</v>
      </c>
      <c r="R57" s="15">
        <f t="shared" si="25"/>
        <v>0</v>
      </c>
      <c r="T57" s="15">
        <f t="shared" si="10"/>
        <v>0</v>
      </c>
      <c r="U57" s="15"/>
      <c r="V57" s="15">
        <f t="shared" si="26"/>
        <v>0</v>
      </c>
      <c r="W57" s="15">
        <f t="shared" si="26"/>
        <v>0</v>
      </c>
      <c r="X57" s="15">
        <f t="shared" si="26"/>
        <v>0</v>
      </c>
      <c r="Y57" s="15"/>
      <c r="Z57" s="15">
        <f t="shared" si="27"/>
        <v>0</v>
      </c>
      <c r="AA57" s="15">
        <f t="shared" si="27"/>
        <v>0</v>
      </c>
      <c r="AB57" s="15"/>
      <c r="AC57" s="15">
        <f t="shared" si="4"/>
        <v>0</v>
      </c>
      <c r="AD57" s="15"/>
      <c r="AE57" s="15">
        <f t="shared" si="28"/>
        <v>0</v>
      </c>
      <c r="AF57" s="15">
        <f t="shared" si="28"/>
        <v>0</v>
      </c>
      <c r="AG57" s="15">
        <f t="shared" si="28"/>
        <v>0</v>
      </c>
      <c r="AH57" s="15"/>
      <c r="AI57" s="15">
        <f t="shared" ref="AI57:AW66" si="29">IF($C57=AI$9,$I57+$J57,0)</f>
        <v>0</v>
      </c>
      <c r="AJ57" s="15">
        <f t="shared" si="29"/>
        <v>0</v>
      </c>
      <c r="AK57" s="15">
        <f t="shared" si="29"/>
        <v>0</v>
      </c>
      <c r="AL57" s="15">
        <f t="shared" si="29"/>
        <v>0</v>
      </c>
      <c r="AM57" s="15">
        <f t="shared" si="29"/>
        <v>0</v>
      </c>
      <c r="AN57" s="15">
        <f t="shared" si="29"/>
        <v>0</v>
      </c>
      <c r="AO57" s="15">
        <f t="shared" si="29"/>
        <v>0</v>
      </c>
      <c r="AP57" s="15">
        <f t="shared" si="29"/>
        <v>0</v>
      </c>
      <c r="AQ57" s="15">
        <f t="shared" si="29"/>
        <v>0</v>
      </c>
      <c r="AR57" s="15">
        <f t="shared" si="29"/>
        <v>0</v>
      </c>
      <c r="AS57" s="15">
        <f t="shared" si="29"/>
        <v>0</v>
      </c>
      <c r="AT57" s="15">
        <f t="shared" si="29"/>
        <v>0</v>
      </c>
      <c r="AU57" s="15">
        <f t="shared" si="29"/>
        <v>0</v>
      </c>
      <c r="AV57" s="15">
        <f t="shared" si="29"/>
        <v>0</v>
      </c>
      <c r="AW57" s="15">
        <f t="shared" si="29"/>
        <v>0</v>
      </c>
      <c r="AX57" s="15">
        <f t="shared" si="17"/>
        <v>0</v>
      </c>
      <c r="AY57" s="5"/>
      <c r="BB57" s="52" t="str">
        <f t="shared" si="11"/>
        <v/>
      </c>
      <c r="BC57" s="36" t="str">
        <f t="shared" si="7"/>
        <v/>
      </c>
      <c r="BD57" s="36"/>
      <c r="BE57" s="36" t="str">
        <f t="shared" si="8"/>
        <v/>
      </c>
      <c r="BF57" s="66" t="str">
        <f>IF(C57="","",IF($C$4="","",VLOOKUP($C$4,'Chart of Accounts'!$A:$B,2,FALSE)))</f>
        <v/>
      </c>
      <c r="BG57" s="55" t="str">
        <f>IF(C57="","",VLOOKUP(C:C,'Chart of Accounts'!$A:$B,2,FALSE))</f>
        <v/>
      </c>
      <c r="BH57" s="36" t="str">
        <f t="shared" si="12"/>
        <v/>
      </c>
      <c r="BI57" s="54">
        <f t="shared" si="13"/>
        <v>0</v>
      </c>
      <c r="BJ57" s="56">
        <f t="shared" si="14"/>
        <v>0</v>
      </c>
    </row>
    <row r="58" spans="1:62" x14ac:dyDescent="0.25">
      <c r="A58" s="1" t="s">
        <v>69</v>
      </c>
      <c r="B58" s="28"/>
      <c r="I58" s="5"/>
      <c r="J58" s="5"/>
      <c r="K58" s="30">
        <f t="shared" si="9"/>
        <v>10500</v>
      </c>
      <c r="L58" s="15"/>
      <c r="M58" s="7">
        <f t="shared" si="23"/>
        <v>0</v>
      </c>
      <c r="N58" s="15"/>
      <c r="O58" s="15">
        <f t="shared" si="15"/>
        <v>0</v>
      </c>
      <c r="P58" s="15"/>
      <c r="Q58" s="15">
        <f t="shared" si="25"/>
        <v>0</v>
      </c>
      <c r="R58" s="15">
        <f t="shared" si="25"/>
        <v>0</v>
      </c>
      <c r="T58" s="15">
        <f t="shared" si="10"/>
        <v>0</v>
      </c>
      <c r="U58" s="15"/>
      <c r="V58" s="15">
        <f t="shared" si="26"/>
        <v>0</v>
      </c>
      <c r="W58" s="15">
        <f t="shared" si="26"/>
        <v>0</v>
      </c>
      <c r="X58" s="15">
        <f t="shared" si="26"/>
        <v>0</v>
      </c>
      <c r="Y58" s="15"/>
      <c r="Z58" s="15">
        <f t="shared" si="27"/>
        <v>0</v>
      </c>
      <c r="AA58" s="15">
        <f t="shared" si="27"/>
        <v>0</v>
      </c>
      <c r="AB58" s="15"/>
      <c r="AC58" s="15">
        <f t="shared" si="4"/>
        <v>0</v>
      </c>
      <c r="AD58" s="15"/>
      <c r="AE58" s="15">
        <f t="shared" si="28"/>
        <v>0</v>
      </c>
      <c r="AF58" s="15">
        <f t="shared" si="28"/>
        <v>0</v>
      </c>
      <c r="AG58" s="15">
        <f t="shared" si="28"/>
        <v>0</v>
      </c>
      <c r="AH58" s="15"/>
      <c r="AI58" s="15">
        <f t="shared" si="29"/>
        <v>0</v>
      </c>
      <c r="AJ58" s="15">
        <f t="shared" si="29"/>
        <v>0</v>
      </c>
      <c r="AK58" s="15">
        <f t="shared" si="29"/>
        <v>0</v>
      </c>
      <c r="AL58" s="15">
        <f t="shared" si="29"/>
        <v>0</v>
      </c>
      <c r="AM58" s="15">
        <f t="shared" si="29"/>
        <v>0</v>
      </c>
      <c r="AN58" s="15">
        <f t="shared" si="29"/>
        <v>0</v>
      </c>
      <c r="AO58" s="15">
        <f t="shared" si="29"/>
        <v>0</v>
      </c>
      <c r="AP58" s="15">
        <f t="shared" si="29"/>
        <v>0</v>
      </c>
      <c r="AQ58" s="15">
        <f t="shared" si="29"/>
        <v>0</v>
      </c>
      <c r="AR58" s="15">
        <f t="shared" si="29"/>
        <v>0</v>
      </c>
      <c r="AS58" s="15">
        <f t="shared" si="29"/>
        <v>0</v>
      </c>
      <c r="AT58" s="15">
        <f t="shared" si="29"/>
        <v>0</v>
      </c>
      <c r="AU58" s="15">
        <f t="shared" si="29"/>
        <v>0</v>
      </c>
      <c r="AV58" s="15">
        <f t="shared" si="29"/>
        <v>0</v>
      </c>
      <c r="AW58" s="15">
        <f t="shared" si="29"/>
        <v>0</v>
      </c>
      <c r="AX58" s="15">
        <f t="shared" si="17"/>
        <v>0</v>
      </c>
      <c r="AY58" s="5"/>
      <c r="BB58" s="52" t="str">
        <f t="shared" si="11"/>
        <v/>
      </c>
      <c r="BC58" s="36" t="str">
        <f t="shared" si="7"/>
        <v/>
      </c>
      <c r="BD58" s="36"/>
      <c r="BE58" s="36" t="str">
        <f t="shared" si="8"/>
        <v/>
      </c>
      <c r="BF58" s="66" t="str">
        <f>IF(C58="","",IF($C$4="","",VLOOKUP($C$4,'Chart of Accounts'!$A:$B,2,FALSE)))</f>
        <v/>
      </c>
      <c r="BG58" s="55" t="str">
        <f>IF(C58="","",VLOOKUP(C:C,'Chart of Accounts'!$A:$B,2,FALSE))</f>
        <v/>
      </c>
      <c r="BH58" s="36" t="str">
        <f t="shared" si="12"/>
        <v/>
      </c>
      <c r="BI58" s="54">
        <f t="shared" si="13"/>
        <v>0</v>
      </c>
      <c r="BJ58" s="56">
        <f t="shared" si="14"/>
        <v>0</v>
      </c>
    </row>
    <row r="59" spans="1:62" x14ac:dyDescent="0.25">
      <c r="A59" s="1" t="s">
        <v>70</v>
      </c>
      <c r="B59" s="28"/>
      <c r="I59" s="5"/>
      <c r="J59" s="5"/>
      <c r="K59" s="30">
        <f t="shared" si="9"/>
        <v>10500</v>
      </c>
      <c r="L59" s="15"/>
      <c r="M59" s="7">
        <f t="shared" si="23"/>
        <v>0</v>
      </c>
      <c r="N59" s="15"/>
      <c r="O59" s="15">
        <f t="shared" si="15"/>
        <v>0</v>
      </c>
      <c r="P59" s="15"/>
      <c r="Q59" s="15">
        <f t="shared" si="25"/>
        <v>0</v>
      </c>
      <c r="R59" s="15">
        <f t="shared" si="25"/>
        <v>0</v>
      </c>
      <c r="T59" s="15">
        <f t="shared" si="10"/>
        <v>0</v>
      </c>
      <c r="U59" s="15"/>
      <c r="V59" s="15">
        <f t="shared" si="26"/>
        <v>0</v>
      </c>
      <c r="W59" s="15">
        <f t="shared" si="26"/>
        <v>0</v>
      </c>
      <c r="X59" s="15">
        <f t="shared" si="26"/>
        <v>0</v>
      </c>
      <c r="Y59" s="15"/>
      <c r="Z59" s="15">
        <f t="shared" si="27"/>
        <v>0</v>
      </c>
      <c r="AA59" s="15">
        <f t="shared" si="27"/>
        <v>0</v>
      </c>
      <c r="AB59" s="15"/>
      <c r="AC59" s="15">
        <f t="shared" si="4"/>
        <v>0</v>
      </c>
      <c r="AD59" s="15"/>
      <c r="AE59" s="15">
        <f t="shared" si="28"/>
        <v>0</v>
      </c>
      <c r="AF59" s="15">
        <f t="shared" si="28"/>
        <v>0</v>
      </c>
      <c r="AG59" s="15">
        <f t="shared" si="28"/>
        <v>0</v>
      </c>
      <c r="AH59" s="15"/>
      <c r="AI59" s="15">
        <f t="shared" si="29"/>
        <v>0</v>
      </c>
      <c r="AJ59" s="15">
        <f t="shared" si="29"/>
        <v>0</v>
      </c>
      <c r="AK59" s="15">
        <f t="shared" si="29"/>
        <v>0</v>
      </c>
      <c r="AL59" s="15">
        <f t="shared" si="29"/>
        <v>0</v>
      </c>
      <c r="AM59" s="15">
        <f t="shared" si="29"/>
        <v>0</v>
      </c>
      <c r="AN59" s="15">
        <f t="shared" si="29"/>
        <v>0</v>
      </c>
      <c r="AO59" s="15">
        <f t="shared" si="29"/>
        <v>0</v>
      </c>
      <c r="AP59" s="15">
        <f t="shared" si="29"/>
        <v>0</v>
      </c>
      <c r="AQ59" s="15">
        <f t="shared" si="29"/>
        <v>0</v>
      </c>
      <c r="AR59" s="15">
        <f t="shared" si="29"/>
        <v>0</v>
      </c>
      <c r="AS59" s="15">
        <f t="shared" si="29"/>
        <v>0</v>
      </c>
      <c r="AT59" s="15">
        <f t="shared" si="29"/>
        <v>0</v>
      </c>
      <c r="AU59" s="15">
        <f t="shared" si="29"/>
        <v>0</v>
      </c>
      <c r="AV59" s="15">
        <f t="shared" si="29"/>
        <v>0</v>
      </c>
      <c r="AW59" s="15">
        <f t="shared" si="29"/>
        <v>0</v>
      </c>
      <c r="AX59" s="15">
        <f t="shared" si="17"/>
        <v>0</v>
      </c>
      <c r="AY59" s="5"/>
      <c r="BB59" s="52" t="str">
        <f t="shared" si="11"/>
        <v/>
      </c>
      <c r="BC59" s="36" t="str">
        <f t="shared" si="7"/>
        <v/>
      </c>
      <c r="BD59" s="36"/>
      <c r="BE59" s="36" t="str">
        <f t="shared" si="8"/>
        <v/>
      </c>
      <c r="BF59" s="66" t="str">
        <f>IF(C59="","",IF($C$4="","",VLOOKUP($C$4,'Chart of Accounts'!$A:$B,2,FALSE)))</f>
        <v/>
      </c>
      <c r="BG59" s="55" t="str">
        <f>IF(C59="","",VLOOKUP(C:C,'Chart of Accounts'!$A:$B,2,FALSE))</f>
        <v/>
      </c>
      <c r="BH59" s="36" t="str">
        <f t="shared" si="12"/>
        <v/>
      </c>
      <c r="BI59" s="54">
        <f t="shared" si="13"/>
        <v>0</v>
      </c>
      <c r="BJ59" s="56">
        <f t="shared" si="14"/>
        <v>0</v>
      </c>
    </row>
    <row r="60" spans="1:62" x14ac:dyDescent="0.25">
      <c r="A60" s="1" t="s">
        <v>71</v>
      </c>
      <c r="B60" s="28"/>
      <c r="I60" s="5"/>
      <c r="J60" s="5"/>
      <c r="K60" s="30">
        <f t="shared" si="9"/>
        <v>10500</v>
      </c>
      <c r="L60" s="15"/>
      <c r="M60" s="7">
        <f t="shared" si="23"/>
        <v>0</v>
      </c>
      <c r="N60" s="15"/>
      <c r="O60" s="15">
        <f t="shared" si="15"/>
        <v>0</v>
      </c>
      <c r="P60" s="15"/>
      <c r="Q60" s="15">
        <f t="shared" si="25"/>
        <v>0</v>
      </c>
      <c r="R60" s="15">
        <f t="shared" si="25"/>
        <v>0</v>
      </c>
      <c r="T60" s="15">
        <f t="shared" si="10"/>
        <v>0</v>
      </c>
      <c r="U60" s="15"/>
      <c r="V60" s="15">
        <f t="shared" si="26"/>
        <v>0</v>
      </c>
      <c r="W60" s="15">
        <f t="shared" si="26"/>
        <v>0</v>
      </c>
      <c r="X60" s="15">
        <f t="shared" si="26"/>
        <v>0</v>
      </c>
      <c r="Y60" s="15"/>
      <c r="Z60" s="15">
        <f t="shared" si="27"/>
        <v>0</v>
      </c>
      <c r="AA60" s="15">
        <f t="shared" si="27"/>
        <v>0</v>
      </c>
      <c r="AB60" s="15"/>
      <c r="AC60" s="15">
        <f t="shared" si="4"/>
        <v>0</v>
      </c>
      <c r="AD60" s="15"/>
      <c r="AE60" s="15">
        <f t="shared" si="28"/>
        <v>0</v>
      </c>
      <c r="AF60" s="15">
        <f t="shared" si="28"/>
        <v>0</v>
      </c>
      <c r="AG60" s="15">
        <f t="shared" si="28"/>
        <v>0</v>
      </c>
      <c r="AH60" s="15"/>
      <c r="AI60" s="15">
        <f t="shared" si="29"/>
        <v>0</v>
      </c>
      <c r="AJ60" s="15">
        <f t="shared" si="29"/>
        <v>0</v>
      </c>
      <c r="AK60" s="15">
        <f t="shared" si="29"/>
        <v>0</v>
      </c>
      <c r="AL60" s="15">
        <f t="shared" si="29"/>
        <v>0</v>
      </c>
      <c r="AM60" s="15">
        <f t="shared" si="29"/>
        <v>0</v>
      </c>
      <c r="AN60" s="15">
        <f t="shared" si="29"/>
        <v>0</v>
      </c>
      <c r="AO60" s="15">
        <f t="shared" si="29"/>
        <v>0</v>
      </c>
      <c r="AP60" s="15">
        <f t="shared" si="29"/>
        <v>0</v>
      </c>
      <c r="AQ60" s="15">
        <f t="shared" si="29"/>
        <v>0</v>
      </c>
      <c r="AR60" s="15">
        <f t="shared" si="29"/>
        <v>0</v>
      </c>
      <c r="AS60" s="15">
        <f t="shared" si="29"/>
        <v>0</v>
      </c>
      <c r="AT60" s="15">
        <f t="shared" si="29"/>
        <v>0</v>
      </c>
      <c r="AU60" s="15">
        <f t="shared" si="29"/>
        <v>0</v>
      </c>
      <c r="AV60" s="15">
        <f t="shared" si="29"/>
        <v>0</v>
      </c>
      <c r="AW60" s="15">
        <f t="shared" si="29"/>
        <v>0</v>
      </c>
      <c r="AX60" s="15">
        <f t="shared" si="17"/>
        <v>0</v>
      </c>
      <c r="AY60" s="5"/>
      <c r="BB60" s="52" t="str">
        <f t="shared" si="11"/>
        <v/>
      </c>
      <c r="BC60" s="36" t="str">
        <f t="shared" si="7"/>
        <v/>
      </c>
      <c r="BD60" s="36"/>
      <c r="BE60" s="36" t="str">
        <f t="shared" si="8"/>
        <v/>
      </c>
      <c r="BF60" s="66" t="str">
        <f>IF(C60="","",IF($C$4="","",VLOOKUP($C$4,'Chart of Accounts'!$A:$B,2,FALSE)))</f>
        <v/>
      </c>
      <c r="BG60" s="55" t="str">
        <f>IF(C60="","",VLOOKUP(C:C,'Chart of Accounts'!$A:$B,2,FALSE))</f>
        <v/>
      </c>
      <c r="BH60" s="36" t="str">
        <f t="shared" si="12"/>
        <v/>
      </c>
      <c r="BI60" s="54">
        <f t="shared" si="13"/>
        <v>0</v>
      </c>
      <c r="BJ60" s="56">
        <f t="shared" si="14"/>
        <v>0</v>
      </c>
    </row>
    <row r="61" spans="1:62" x14ac:dyDescent="0.25">
      <c r="A61" s="1" t="s">
        <v>72</v>
      </c>
      <c r="B61" s="28"/>
      <c r="I61" s="5"/>
      <c r="J61" s="5"/>
      <c r="K61" s="30">
        <f t="shared" si="9"/>
        <v>10500</v>
      </c>
      <c r="L61" s="15"/>
      <c r="M61" s="7">
        <f t="shared" si="23"/>
        <v>0</v>
      </c>
      <c r="N61" s="15"/>
      <c r="O61" s="15">
        <f t="shared" si="15"/>
        <v>0</v>
      </c>
      <c r="P61" s="15"/>
      <c r="Q61" s="15">
        <f t="shared" si="25"/>
        <v>0</v>
      </c>
      <c r="R61" s="15">
        <f t="shared" si="25"/>
        <v>0</v>
      </c>
      <c r="T61" s="15">
        <f t="shared" si="10"/>
        <v>0</v>
      </c>
      <c r="U61" s="15"/>
      <c r="V61" s="15">
        <f t="shared" si="26"/>
        <v>0</v>
      </c>
      <c r="W61" s="15">
        <f t="shared" si="26"/>
        <v>0</v>
      </c>
      <c r="X61" s="15">
        <f t="shared" si="26"/>
        <v>0</v>
      </c>
      <c r="Y61" s="15"/>
      <c r="Z61" s="15">
        <f t="shared" si="27"/>
        <v>0</v>
      </c>
      <c r="AA61" s="15">
        <f t="shared" si="27"/>
        <v>0</v>
      </c>
      <c r="AB61" s="15"/>
      <c r="AC61" s="15">
        <f t="shared" si="4"/>
        <v>0</v>
      </c>
      <c r="AD61" s="15"/>
      <c r="AE61" s="15">
        <f t="shared" si="28"/>
        <v>0</v>
      </c>
      <c r="AF61" s="15">
        <f t="shared" si="28"/>
        <v>0</v>
      </c>
      <c r="AG61" s="15">
        <f t="shared" si="28"/>
        <v>0</v>
      </c>
      <c r="AH61" s="15"/>
      <c r="AI61" s="15">
        <f t="shared" si="29"/>
        <v>0</v>
      </c>
      <c r="AJ61" s="15">
        <f t="shared" si="29"/>
        <v>0</v>
      </c>
      <c r="AK61" s="15">
        <f t="shared" si="29"/>
        <v>0</v>
      </c>
      <c r="AL61" s="15">
        <f t="shared" si="29"/>
        <v>0</v>
      </c>
      <c r="AM61" s="15">
        <f t="shared" si="29"/>
        <v>0</v>
      </c>
      <c r="AN61" s="15">
        <f t="shared" si="29"/>
        <v>0</v>
      </c>
      <c r="AO61" s="15">
        <f t="shared" si="29"/>
        <v>0</v>
      </c>
      <c r="AP61" s="15">
        <f t="shared" si="29"/>
        <v>0</v>
      </c>
      <c r="AQ61" s="15">
        <f t="shared" si="29"/>
        <v>0</v>
      </c>
      <c r="AR61" s="15">
        <f t="shared" si="29"/>
        <v>0</v>
      </c>
      <c r="AS61" s="15">
        <f t="shared" si="29"/>
        <v>0</v>
      </c>
      <c r="AT61" s="15">
        <f t="shared" si="29"/>
        <v>0</v>
      </c>
      <c r="AU61" s="15">
        <f t="shared" si="29"/>
        <v>0</v>
      </c>
      <c r="AV61" s="15">
        <f t="shared" si="29"/>
        <v>0</v>
      </c>
      <c r="AW61" s="15">
        <f t="shared" si="29"/>
        <v>0</v>
      </c>
      <c r="AX61" s="15">
        <f t="shared" si="17"/>
        <v>0</v>
      </c>
      <c r="AY61" s="5"/>
      <c r="BB61" s="52" t="str">
        <f t="shared" si="11"/>
        <v/>
      </c>
      <c r="BC61" s="36" t="str">
        <f t="shared" si="7"/>
        <v/>
      </c>
      <c r="BD61" s="36"/>
      <c r="BE61" s="36" t="str">
        <f t="shared" si="8"/>
        <v/>
      </c>
      <c r="BF61" s="66" t="str">
        <f>IF(C61="","",IF($C$4="","",VLOOKUP($C$4,'Chart of Accounts'!$A:$B,2,FALSE)))</f>
        <v/>
      </c>
      <c r="BG61" s="55" t="str">
        <f>IF(C61="","",VLOOKUP(C:C,'Chart of Accounts'!$A:$B,2,FALSE))</f>
        <v/>
      </c>
      <c r="BH61" s="36" t="str">
        <f t="shared" si="12"/>
        <v/>
      </c>
      <c r="BI61" s="54">
        <f t="shared" si="13"/>
        <v>0</v>
      </c>
      <c r="BJ61" s="56">
        <f t="shared" si="14"/>
        <v>0</v>
      </c>
    </row>
    <row r="62" spans="1:62" x14ac:dyDescent="0.25">
      <c r="A62" s="1" t="s">
        <v>73</v>
      </c>
      <c r="B62" s="28"/>
      <c r="I62" s="5"/>
      <c r="J62" s="5"/>
      <c r="K62" s="30">
        <f t="shared" si="9"/>
        <v>10500</v>
      </c>
      <c r="L62" s="15"/>
      <c r="M62" s="7">
        <f t="shared" si="23"/>
        <v>0</v>
      </c>
      <c r="N62" s="15"/>
      <c r="O62" s="15">
        <f t="shared" si="15"/>
        <v>0</v>
      </c>
      <c r="P62" s="15"/>
      <c r="Q62" s="15">
        <f t="shared" si="25"/>
        <v>0</v>
      </c>
      <c r="R62" s="15">
        <f t="shared" si="25"/>
        <v>0</v>
      </c>
      <c r="T62" s="15">
        <f t="shared" si="10"/>
        <v>0</v>
      </c>
      <c r="U62" s="15"/>
      <c r="V62" s="15">
        <f t="shared" si="26"/>
        <v>0</v>
      </c>
      <c r="W62" s="15">
        <f t="shared" si="26"/>
        <v>0</v>
      </c>
      <c r="X62" s="15">
        <f t="shared" si="26"/>
        <v>0</v>
      </c>
      <c r="Y62" s="15"/>
      <c r="Z62" s="15">
        <f t="shared" si="27"/>
        <v>0</v>
      </c>
      <c r="AA62" s="15">
        <f t="shared" si="27"/>
        <v>0</v>
      </c>
      <c r="AB62" s="15"/>
      <c r="AC62" s="15">
        <f t="shared" si="4"/>
        <v>0</v>
      </c>
      <c r="AD62" s="15"/>
      <c r="AE62" s="15">
        <f t="shared" si="28"/>
        <v>0</v>
      </c>
      <c r="AF62" s="15">
        <f t="shared" si="28"/>
        <v>0</v>
      </c>
      <c r="AG62" s="15">
        <f t="shared" si="28"/>
        <v>0</v>
      </c>
      <c r="AH62" s="15"/>
      <c r="AI62" s="15">
        <f t="shared" si="29"/>
        <v>0</v>
      </c>
      <c r="AJ62" s="15">
        <f t="shared" si="29"/>
        <v>0</v>
      </c>
      <c r="AK62" s="15">
        <f t="shared" si="29"/>
        <v>0</v>
      </c>
      <c r="AL62" s="15">
        <f t="shared" si="29"/>
        <v>0</v>
      </c>
      <c r="AM62" s="15">
        <f t="shared" si="29"/>
        <v>0</v>
      </c>
      <c r="AN62" s="15">
        <f t="shared" si="29"/>
        <v>0</v>
      </c>
      <c r="AO62" s="15">
        <f t="shared" si="29"/>
        <v>0</v>
      </c>
      <c r="AP62" s="15">
        <f t="shared" si="29"/>
        <v>0</v>
      </c>
      <c r="AQ62" s="15">
        <f t="shared" si="29"/>
        <v>0</v>
      </c>
      <c r="AR62" s="15">
        <f t="shared" si="29"/>
        <v>0</v>
      </c>
      <c r="AS62" s="15">
        <f t="shared" si="29"/>
        <v>0</v>
      </c>
      <c r="AT62" s="15">
        <f t="shared" si="29"/>
        <v>0</v>
      </c>
      <c r="AU62" s="15">
        <f t="shared" si="29"/>
        <v>0</v>
      </c>
      <c r="AV62" s="15">
        <f t="shared" si="29"/>
        <v>0</v>
      </c>
      <c r="AW62" s="15">
        <f t="shared" si="29"/>
        <v>0</v>
      </c>
      <c r="AX62" s="15">
        <f t="shared" si="17"/>
        <v>0</v>
      </c>
      <c r="BB62" s="52" t="str">
        <f t="shared" si="11"/>
        <v/>
      </c>
      <c r="BC62" s="36" t="str">
        <f t="shared" si="7"/>
        <v/>
      </c>
      <c r="BD62" s="36"/>
      <c r="BE62" s="36" t="str">
        <f t="shared" si="8"/>
        <v/>
      </c>
      <c r="BF62" s="66" t="str">
        <f>IF(C62="","",IF($C$4="","",VLOOKUP($C$4,'Chart of Accounts'!$A:$B,2,FALSE)))</f>
        <v/>
      </c>
      <c r="BG62" s="55" t="str">
        <f>IF(C62="","",VLOOKUP(C:C,'Chart of Accounts'!$A:$B,2,FALSE))</f>
        <v/>
      </c>
      <c r="BH62" s="36" t="str">
        <f t="shared" si="12"/>
        <v/>
      </c>
      <c r="BI62" s="54">
        <f t="shared" si="13"/>
        <v>0</v>
      </c>
      <c r="BJ62" s="56">
        <f t="shared" si="14"/>
        <v>0</v>
      </c>
    </row>
    <row r="63" spans="1:62" x14ac:dyDescent="0.25">
      <c r="A63" s="1" t="s">
        <v>74</v>
      </c>
      <c r="B63" s="28"/>
      <c r="I63" s="5"/>
      <c r="J63" s="5"/>
      <c r="K63" s="30">
        <f t="shared" si="9"/>
        <v>10500</v>
      </c>
      <c r="L63" s="15"/>
      <c r="M63" s="7">
        <f t="shared" si="23"/>
        <v>0</v>
      </c>
      <c r="N63" s="15"/>
      <c r="O63" s="15">
        <f t="shared" si="15"/>
        <v>0</v>
      </c>
      <c r="P63" s="15"/>
      <c r="Q63" s="15">
        <f t="shared" si="25"/>
        <v>0</v>
      </c>
      <c r="R63" s="15">
        <f t="shared" si="25"/>
        <v>0</v>
      </c>
      <c r="T63" s="15">
        <f t="shared" si="10"/>
        <v>0</v>
      </c>
      <c r="U63" s="15"/>
      <c r="V63" s="15">
        <f t="shared" si="26"/>
        <v>0</v>
      </c>
      <c r="W63" s="15">
        <f t="shared" si="26"/>
        <v>0</v>
      </c>
      <c r="X63" s="15">
        <f t="shared" si="26"/>
        <v>0</v>
      </c>
      <c r="Y63" s="15"/>
      <c r="Z63" s="15">
        <f t="shared" si="27"/>
        <v>0</v>
      </c>
      <c r="AA63" s="15">
        <f t="shared" si="27"/>
        <v>0</v>
      </c>
      <c r="AB63" s="15"/>
      <c r="AC63" s="15">
        <f t="shared" si="4"/>
        <v>0</v>
      </c>
      <c r="AD63" s="15"/>
      <c r="AE63" s="15">
        <f t="shared" si="28"/>
        <v>0</v>
      </c>
      <c r="AF63" s="15">
        <f t="shared" si="28"/>
        <v>0</v>
      </c>
      <c r="AG63" s="15">
        <f t="shared" si="28"/>
        <v>0</v>
      </c>
      <c r="AH63" s="15"/>
      <c r="AI63" s="15">
        <f t="shared" si="29"/>
        <v>0</v>
      </c>
      <c r="AJ63" s="15">
        <f t="shared" si="29"/>
        <v>0</v>
      </c>
      <c r="AK63" s="15">
        <f t="shared" si="29"/>
        <v>0</v>
      </c>
      <c r="AL63" s="15">
        <f t="shared" si="29"/>
        <v>0</v>
      </c>
      <c r="AM63" s="15">
        <f t="shared" si="29"/>
        <v>0</v>
      </c>
      <c r="AN63" s="15">
        <f t="shared" si="29"/>
        <v>0</v>
      </c>
      <c r="AO63" s="15">
        <f t="shared" si="29"/>
        <v>0</v>
      </c>
      <c r="AP63" s="15">
        <f t="shared" si="29"/>
        <v>0</v>
      </c>
      <c r="AQ63" s="15">
        <f t="shared" si="29"/>
        <v>0</v>
      </c>
      <c r="AR63" s="15">
        <f t="shared" si="29"/>
        <v>0</v>
      </c>
      <c r="AS63" s="15">
        <f t="shared" si="29"/>
        <v>0</v>
      </c>
      <c r="AT63" s="15">
        <f t="shared" si="29"/>
        <v>0</v>
      </c>
      <c r="AU63" s="15">
        <f t="shared" si="29"/>
        <v>0</v>
      </c>
      <c r="AV63" s="15">
        <f t="shared" si="29"/>
        <v>0</v>
      </c>
      <c r="AW63" s="15">
        <f t="shared" si="29"/>
        <v>0</v>
      </c>
      <c r="AX63" s="15">
        <f t="shared" si="17"/>
        <v>0</v>
      </c>
      <c r="BB63" s="52" t="str">
        <f t="shared" si="11"/>
        <v/>
      </c>
      <c r="BC63" s="36" t="str">
        <f t="shared" si="7"/>
        <v/>
      </c>
      <c r="BD63" s="36"/>
      <c r="BE63" s="36" t="str">
        <f t="shared" si="8"/>
        <v/>
      </c>
      <c r="BF63" s="66" t="str">
        <f>IF(C63="","",IF($C$4="","",VLOOKUP($C$4,'Chart of Accounts'!$A:$B,2,FALSE)))</f>
        <v/>
      </c>
      <c r="BG63" s="55" t="str">
        <f>IF(C63="","",VLOOKUP(C:C,'Chart of Accounts'!$A:$B,2,FALSE))</f>
        <v/>
      </c>
      <c r="BH63" s="36" t="str">
        <f t="shared" si="12"/>
        <v/>
      </c>
      <c r="BI63" s="54">
        <f t="shared" si="13"/>
        <v>0</v>
      </c>
      <c r="BJ63" s="56">
        <f t="shared" si="14"/>
        <v>0</v>
      </c>
    </row>
    <row r="64" spans="1:62" x14ac:dyDescent="0.25">
      <c r="A64" s="1" t="s">
        <v>75</v>
      </c>
      <c r="B64" s="28"/>
      <c r="I64" s="5"/>
      <c r="J64" s="5"/>
      <c r="K64" s="30">
        <f t="shared" si="9"/>
        <v>10500</v>
      </c>
      <c r="L64" s="15"/>
      <c r="M64" s="7">
        <f t="shared" si="23"/>
        <v>0</v>
      </c>
      <c r="N64" s="15"/>
      <c r="O64" s="15">
        <f t="shared" si="15"/>
        <v>0</v>
      </c>
      <c r="P64" s="15"/>
      <c r="Q64" s="15">
        <f t="shared" si="25"/>
        <v>0</v>
      </c>
      <c r="R64" s="15">
        <f t="shared" si="25"/>
        <v>0</v>
      </c>
      <c r="T64" s="15">
        <f t="shared" si="10"/>
        <v>0</v>
      </c>
      <c r="U64" s="15"/>
      <c r="V64" s="15">
        <f t="shared" si="26"/>
        <v>0</v>
      </c>
      <c r="W64" s="15">
        <f t="shared" si="26"/>
        <v>0</v>
      </c>
      <c r="X64" s="15">
        <f t="shared" si="26"/>
        <v>0</v>
      </c>
      <c r="Y64" s="15"/>
      <c r="Z64" s="15">
        <f t="shared" si="27"/>
        <v>0</v>
      </c>
      <c r="AA64" s="15">
        <f t="shared" si="27"/>
        <v>0</v>
      </c>
      <c r="AB64" s="15"/>
      <c r="AC64" s="15">
        <f t="shared" si="4"/>
        <v>0</v>
      </c>
      <c r="AD64" s="15"/>
      <c r="AE64" s="15">
        <f t="shared" si="28"/>
        <v>0</v>
      </c>
      <c r="AF64" s="15">
        <f t="shared" si="28"/>
        <v>0</v>
      </c>
      <c r="AG64" s="15">
        <f t="shared" si="28"/>
        <v>0</v>
      </c>
      <c r="AH64" s="15"/>
      <c r="AI64" s="15">
        <f t="shared" si="29"/>
        <v>0</v>
      </c>
      <c r="AJ64" s="15">
        <f t="shared" si="29"/>
        <v>0</v>
      </c>
      <c r="AK64" s="15">
        <f t="shared" si="29"/>
        <v>0</v>
      </c>
      <c r="AL64" s="15">
        <f t="shared" si="29"/>
        <v>0</v>
      </c>
      <c r="AM64" s="15">
        <f t="shared" si="29"/>
        <v>0</v>
      </c>
      <c r="AN64" s="15">
        <f t="shared" si="29"/>
        <v>0</v>
      </c>
      <c r="AO64" s="15">
        <f t="shared" si="29"/>
        <v>0</v>
      </c>
      <c r="AP64" s="15">
        <f t="shared" si="29"/>
        <v>0</v>
      </c>
      <c r="AQ64" s="15">
        <f t="shared" si="29"/>
        <v>0</v>
      </c>
      <c r="AR64" s="15">
        <f t="shared" si="29"/>
        <v>0</v>
      </c>
      <c r="AS64" s="15">
        <f t="shared" si="29"/>
        <v>0</v>
      </c>
      <c r="AT64" s="15">
        <f t="shared" si="29"/>
        <v>0</v>
      </c>
      <c r="AU64" s="15">
        <f t="shared" si="29"/>
        <v>0</v>
      </c>
      <c r="AV64" s="15">
        <f t="shared" si="29"/>
        <v>0</v>
      </c>
      <c r="AW64" s="15">
        <f t="shared" si="29"/>
        <v>0</v>
      </c>
      <c r="AX64" s="15">
        <f t="shared" si="17"/>
        <v>0</v>
      </c>
      <c r="BB64" s="52" t="str">
        <f t="shared" si="11"/>
        <v/>
      </c>
      <c r="BC64" s="36" t="str">
        <f t="shared" si="7"/>
        <v/>
      </c>
      <c r="BD64" s="36"/>
      <c r="BE64" s="36" t="str">
        <f t="shared" si="8"/>
        <v/>
      </c>
      <c r="BF64" s="66" t="str">
        <f>IF(C64="","",IF($C$4="","",VLOOKUP($C$4,'Chart of Accounts'!$A:$B,2,FALSE)))</f>
        <v/>
      </c>
      <c r="BG64" s="55" t="str">
        <f>IF(C64="","",VLOOKUP(C:C,'Chart of Accounts'!$A:$B,2,FALSE))</f>
        <v/>
      </c>
      <c r="BH64" s="36" t="str">
        <f t="shared" si="12"/>
        <v/>
      </c>
      <c r="BI64" s="54">
        <f t="shared" si="13"/>
        <v>0</v>
      </c>
      <c r="BJ64" s="56">
        <f t="shared" si="14"/>
        <v>0</v>
      </c>
    </row>
    <row r="65" spans="1:62" x14ac:dyDescent="0.25">
      <c r="A65" s="1" t="s">
        <v>76</v>
      </c>
      <c r="B65" s="28"/>
      <c r="I65" s="5"/>
      <c r="J65" s="5"/>
      <c r="K65" s="30">
        <f t="shared" si="9"/>
        <v>10500</v>
      </c>
      <c r="L65" s="15"/>
      <c r="M65" s="7">
        <f t="shared" si="23"/>
        <v>0</v>
      </c>
      <c r="N65" s="15"/>
      <c r="O65" s="15">
        <f t="shared" si="15"/>
        <v>0</v>
      </c>
      <c r="P65" s="15"/>
      <c r="Q65" s="15">
        <f t="shared" si="25"/>
        <v>0</v>
      </c>
      <c r="R65" s="15">
        <f t="shared" si="25"/>
        <v>0</v>
      </c>
      <c r="T65" s="15">
        <f t="shared" si="10"/>
        <v>0</v>
      </c>
      <c r="U65" s="15"/>
      <c r="V65" s="15">
        <f t="shared" si="26"/>
        <v>0</v>
      </c>
      <c r="W65" s="15">
        <f t="shared" si="26"/>
        <v>0</v>
      </c>
      <c r="X65" s="15">
        <f t="shared" si="26"/>
        <v>0</v>
      </c>
      <c r="Y65" s="15"/>
      <c r="Z65" s="15">
        <f t="shared" si="27"/>
        <v>0</v>
      </c>
      <c r="AA65" s="15">
        <f t="shared" si="27"/>
        <v>0</v>
      </c>
      <c r="AB65" s="15"/>
      <c r="AC65" s="15">
        <f t="shared" si="4"/>
        <v>0</v>
      </c>
      <c r="AD65" s="15"/>
      <c r="AE65" s="15">
        <f t="shared" si="28"/>
        <v>0</v>
      </c>
      <c r="AF65" s="15">
        <f t="shared" si="28"/>
        <v>0</v>
      </c>
      <c r="AG65" s="15">
        <f t="shared" si="28"/>
        <v>0</v>
      </c>
      <c r="AH65" s="15"/>
      <c r="AI65" s="15">
        <f t="shared" si="29"/>
        <v>0</v>
      </c>
      <c r="AJ65" s="15">
        <f t="shared" si="29"/>
        <v>0</v>
      </c>
      <c r="AK65" s="15">
        <f t="shared" si="29"/>
        <v>0</v>
      </c>
      <c r="AL65" s="15">
        <f t="shared" si="29"/>
        <v>0</v>
      </c>
      <c r="AM65" s="15">
        <f t="shared" si="29"/>
        <v>0</v>
      </c>
      <c r="AN65" s="15">
        <f t="shared" si="29"/>
        <v>0</v>
      </c>
      <c r="AO65" s="15">
        <f t="shared" si="29"/>
        <v>0</v>
      </c>
      <c r="AP65" s="15">
        <f t="shared" si="29"/>
        <v>0</v>
      </c>
      <c r="AQ65" s="15">
        <f t="shared" si="29"/>
        <v>0</v>
      </c>
      <c r="AR65" s="15">
        <f t="shared" si="29"/>
        <v>0</v>
      </c>
      <c r="AS65" s="15">
        <f t="shared" si="29"/>
        <v>0</v>
      </c>
      <c r="AT65" s="15">
        <f t="shared" si="29"/>
        <v>0</v>
      </c>
      <c r="AU65" s="15">
        <f t="shared" si="29"/>
        <v>0</v>
      </c>
      <c r="AV65" s="15">
        <f t="shared" si="29"/>
        <v>0</v>
      </c>
      <c r="AW65" s="15">
        <f t="shared" si="29"/>
        <v>0</v>
      </c>
      <c r="AX65" s="15">
        <f t="shared" si="17"/>
        <v>0</v>
      </c>
      <c r="BB65" s="52" t="str">
        <f t="shared" si="11"/>
        <v/>
      </c>
      <c r="BC65" s="36" t="str">
        <f t="shared" si="7"/>
        <v/>
      </c>
      <c r="BD65" s="36"/>
      <c r="BE65" s="36" t="str">
        <f t="shared" si="8"/>
        <v/>
      </c>
      <c r="BF65" s="66" t="str">
        <f>IF(C65="","",IF($C$4="","",VLOOKUP($C$4,'Chart of Accounts'!$A:$B,2,FALSE)))</f>
        <v/>
      </c>
      <c r="BG65" s="55" t="str">
        <f>IF(C65="","",VLOOKUP(C:C,'Chart of Accounts'!$A:$B,2,FALSE))</f>
        <v/>
      </c>
      <c r="BH65" s="36" t="str">
        <f t="shared" si="12"/>
        <v/>
      </c>
      <c r="BI65" s="54">
        <f t="shared" si="13"/>
        <v>0</v>
      </c>
      <c r="BJ65" s="56">
        <f t="shared" si="14"/>
        <v>0</v>
      </c>
    </row>
    <row r="66" spans="1:62" x14ac:dyDescent="0.25">
      <c r="A66" s="1" t="s">
        <v>77</v>
      </c>
      <c r="B66" s="28"/>
      <c r="I66" s="5"/>
      <c r="J66" s="5"/>
      <c r="K66" s="30">
        <f t="shared" si="9"/>
        <v>10500</v>
      </c>
      <c r="L66" s="15"/>
      <c r="M66" s="7">
        <f t="shared" si="23"/>
        <v>0</v>
      </c>
      <c r="N66" s="15"/>
      <c r="O66" s="15">
        <f t="shared" si="15"/>
        <v>0</v>
      </c>
      <c r="P66" s="15"/>
      <c r="Q66" s="15">
        <f t="shared" si="25"/>
        <v>0</v>
      </c>
      <c r="R66" s="15">
        <f t="shared" si="25"/>
        <v>0</v>
      </c>
      <c r="T66" s="15">
        <f t="shared" si="10"/>
        <v>0</v>
      </c>
      <c r="U66" s="15"/>
      <c r="V66" s="15">
        <f t="shared" si="26"/>
        <v>0</v>
      </c>
      <c r="W66" s="15">
        <f t="shared" si="26"/>
        <v>0</v>
      </c>
      <c r="X66" s="15">
        <f t="shared" si="26"/>
        <v>0</v>
      </c>
      <c r="Y66" s="15"/>
      <c r="Z66" s="15">
        <f t="shared" si="27"/>
        <v>0</v>
      </c>
      <c r="AA66" s="15">
        <f t="shared" si="27"/>
        <v>0</v>
      </c>
      <c r="AB66" s="15"/>
      <c r="AC66" s="15">
        <f t="shared" si="4"/>
        <v>0</v>
      </c>
      <c r="AD66" s="15"/>
      <c r="AE66" s="15">
        <f t="shared" si="28"/>
        <v>0</v>
      </c>
      <c r="AF66" s="15">
        <f t="shared" si="28"/>
        <v>0</v>
      </c>
      <c r="AG66" s="15">
        <f t="shared" si="28"/>
        <v>0</v>
      </c>
      <c r="AH66" s="15"/>
      <c r="AI66" s="15">
        <f t="shared" si="29"/>
        <v>0</v>
      </c>
      <c r="AJ66" s="15">
        <f t="shared" si="29"/>
        <v>0</v>
      </c>
      <c r="AK66" s="15">
        <f t="shared" si="29"/>
        <v>0</v>
      </c>
      <c r="AL66" s="15">
        <f t="shared" si="29"/>
        <v>0</v>
      </c>
      <c r="AM66" s="15">
        <f t="shared" si="29"/>
        <v>0</v>
      </c>
      <c r="AN66" s="15">
        <f t="shared" si="29"/>
        <v>0</v>
      </c>
      <c r="AO66" s="15">
        <f t="shared" si="29"/>
        <v>0</v>
      </c>
      <c r="AP66" s="15">
        <f t="shared" si="29"/>
        <v>0</v>
      </c>
      <c r="AQ66" s="15">
        <f t="shared" si="29"/>
        <v>0</v>
      </c>
      <c r="AR66" s="15">
        <f t="shared" si="29"/>
        <v>0</v>
      </c>
      <c r="AS66" s="15">
        <f t="shared" si="29"/>
        <v>0</v>
      </c>
      <c r="AT66" s="15">
        <f t="shared" si="29"/>
        <v>0</v>
      </c>
      <c r="AU66" s="15">
        <f t="shared" si="29"/>
        <v>0</v>
      </c>
      <c r="AV66" s="15">
        <f t="shared" si="29"/>
        <v>0</v>
      </c>
      <c r="AW66" s="15">
        <f t="shared" si="29"/>
        <v>0</v>
      </c>
      <c r="AX66" s="15">
        <f t="shared" si="17"/>
        <v>0</v>
      </c>
      <c r="BB66" s="52" t="str">
        <f t="shared" si="11"/>
        <v/>
      </c>
      <c r="BC66" s="36" t="str">
        <f t="shared" si="7"/>
        <v/>
      </c>
      <c r="BD66" s="36"/>
      <c r="BE66" s="36" t="str">
        <f t="shared" si="8"/>
        <v/>
      </c>
      <c r="BF66" s="66" t="str">
        <f>IF(C66="","",IF($C$4="","",VLOOKUP($C$4,'Chart of Accounts'!$A:$B,2,FALSE)))</f>
        <v/>
      </c>
      <c r="BG66" s="55" t="str">
        <f>IF(C66="","",VLOOKUP(C:C,'Chart of Accounts'!$A:$B,2,FALSE))</f>
        <v/>
      </c>
      <c r="BH66" s="36" t="str">
        <f t="shared" si="12"/>
        <v/>
      </c>
      <c r="BI66" s="54">
        <f t="shared" si="13"/>
        <v>0</v>
      </c>
      <c r="BJ66" s="56">
        <f t="shared" si="14"/>
        <v>0</v>
      </c>
    </row>
    <row r="67" spans="1:62" x14ac:dyDescent="0.25">
      <c r="A67" s="1" t="s">
        <v>78</v>
      </c>
      <c r="B67" s="28"/>
      <c r="I67" s="5"/>
      <c r="J67" s="5"/>
      <c r="K67" s="30">
        <f t="shared" si="9"/>
        <v>10500</v>
      </c>
      <c r="L67" s="15"/>
      <c r="M67" s="7">
        <f t="shared" si="23"/>
        <v>0</v>
      </c>
      <c r="N67" s="15"/>
      <c r="O67" s="15">
        <f t="shared" si="15"/>
        <v>0</v>
      </c>
      <c r="P67" s="15"/>
      <c r="Q67" s="15">
        <f t="shared" si="25"/>
        <v>0</v>
      </c>
      <c r="R67" s="15">
        <f t="shared" si="25"/>
        <v>0</v>
      </c>
      <c r="T67" s="15">
        <f t="shared" si="10"/>
        <v>0</v>
      </c>
      <c r="U67" s="15"/>
      <c r="V67" s="15">
        <f t="shared" si="26"/>
        <v>0</v>
      </c>
      <c r="W67" s="15">
        <f t="shared" si="26"/>
        <v>0</v>
      </c>
      <c r="X67" s="15">
        <f t="shared" si="26"/>
        <v>0</v>
      </c>
      <c r="Y67" s="15"/>
      <c r="Z67" s="15">
        <f t="shared" si="27"/>
        <v>0</v>
      </c>
      <c r="AA67" s="15">
        <f t="shared" si="27"/>
        <v>0</v>
      </c>
      <c r="AB67" s="15"/>
      <c r="AC67" s="15">
        <f t="shared" si="4"/>
        <v>0</v>
      </c>
      <c r="AD67" s="15"/>
      <c r="AE67" s="15">
        <f t="shared" si="28"/>
        <v>0</v>
      </c>
      <c r="AF67" s="15">
        <f t="shared" si="28"/>
        <v>0</v>
      </c>
      <c r="AG67" s="15">
        <f t="shared" si="28"/>
        <v>0</v>
      </c>
      <c r="AH67" s="15"/>
      <c r="AI67" s="15">
        <f t="shared" ref="AI67:AW76" si="30">IF($C67=AI$9,$I67+$J67,0)</f>
        <v>0</v>
      </c>
      <c r="AJ67" s="15">
        <f t="shared" si="30"/>
        <v>0</v>
      </c>
      <c r="AK67" s="15">
        <f t="shared" si="30"/>
        <v>0</v>
      </c>
      <c r="AL67" s="15">
        <f t="shared" si="30"/>
        <v>0</v>
      </c>
      <c r="AM67" s="15">
        <f t="shared" si="30"/>
        <v>0</v>
      </c>
      <c r="AN67" s="15">
        <f t="shared" si="30"/>
        <v>0</v>
      </c>
      <c r="AO67" s="15">
        <f t="shared" si="30"/>
        <v>0</v>
      </c>
      <c r="AP67" s="15">
        <f t="shared" si="30"/>
        <v>0</v>
      </c>
      <c r="AQ67" s="15">
        <f t="shared" si="30"/>
        <v>0</v>
      </c>
      <c r="AR67" s="15">
        <f t="shared" si="30"/>
        <v>0</v>
      </c>
      <c r="AS67" s="15">
        <f t="shared" si="30"/>
        <v>0</v>
      </c>
      <c r="AT67" s="15">
        <f t="shared" si="30"/>
        <v>0</v>
      </c>
      <c r="AU67" s="15">
        <f t="shared" si="30"/>
        <v>0</v>
      </c>
      <c r="AV67" s="15">
        <f t="shared" si="30"/>
        <v>0</v>
      </c>
      <c r="AW67" s="15">
        <f t="shared" si="30"/>
        <v>0</v>
      </c>
      <c r="AX67" s="15">
        <f t="shared" si="17"/>
        <v>0</v>
      </c>
      <c r="BB67" s="52" t="str">
        <f t="shared" si="11"/>
        <v/>
      </c>
      <c r="BC67" s="36" t="str">
        <f t="shared" si="7"/>
        <v/>
      </c>
      <c r="BD67" s="36"/>
      <c r="BE67" s="36" t="str">
        <f t="shared" si="8"/>
        <v/>
      </c>
      <c r="BF67" s="66" t="str">
        <f>IF(C67="","",IF($C$4="","",VLOOKUP($C$4,'Chart of Accounts'!$A:$B,2,FALSE)))</f>
        <v/>
      </c>
      <c r="BG67" s="55" t="str">
        <f>IF(C67="","",VLOOKUP(C:C,'Chart of Accounts'!$A:$B,2,FALSE))</f>
        <v/>
      </c>
      <c r="BH67" s="36" t="str">
        <f t="shared" si="12"/>
        <v/>
      </c>
      <c r="BI67" s="54">
        <f t="shared" si="13"/>
        <v>0</v>
      </c>
      <c r="BJ67" s="56">
        <f t="shared" si="14"/>
        <v>0</v>
      </c>
    </row>
    <row r="68" spans="1:62" x14ac:dyDescent="0.25">
      <c r="A68" s="1" t="s">
        <v>79</v>
      </c>
      <c r="B68" s="28"/>
      <c r="I68" s="5"/>
      <c r="J68" s="5"/>
      <c r="K68" s="30">
        <f t="shared" si="9"/>
        <v>10500</v>
      </c>
      <c r="L68" s="15"/>
      <c r="M68" s="7">
        <f t="shared" si="23"/>
        <v>0</v>
      </c>
      <c r="N68" s="15"/>
      <c r="O68" s="15">
        <f t="shared" si="15"/>
        <v>0</v>
      </c>
      <c r="P68" s="15"/>
      <c r="Q68" s="15">
        <f t="shared" si="25"/>
        <v>0</v>
      </c>
      <c r="R68" s="15">
        <f t="shared" si="25"/>
        <v>0</v>
      </c>
      <c r="T68" s="15">
        <f t="shared" si="10"/>
        <v>0</v>
      </c>
      <c r="U68" s="15"/>
      <c r="V68" s="15">
        <f t="shared" si="26"/>
        <v>0</v>
      </c>
      <c r="W68" s="15">
        <f t="shared" si="26"/>
        <v>0</v>
      </c>
      <c r="X68" s="15">
        <f t="shared" si="26"/>
        <v>0</v>
      </c>
      <c r="Y68" s="15"/>
      <c r="Z68" s="15">
        <f t="shared" si="27"/>
        <v>0</v>
      </c>
      <c r="AA68" s="15">
        <f t="shared" si="27"/>
        <v>0</v>
      </c>
      <c r="AB68" s="15"/>
      <c r="AC68" s="15">
        <f t="shared" si="4"/>
        <v>0</v>
      </c>
      <c r="AD68" s="15"/>
      <c r="AE68" s="15">
        <f t="shared" si="28"/>
        <v>0</v>
      </c>
      <c r="AF68" s="15">
        <f t="shared" si="28"/>
        <v>0</v>
      </c>
      <c r="AG68" s="15">
        <f t="shared" si="28"/>
        <v>0</v>
      </c>
      <c r="AH68" s="15"/>
      <c r="AI68" s="15">
        <f t="shared" si="30"/>
        <v>0</v>
      </c>
      <c r="AJ68" s="15">
        <f t="shared" si="30"/>
        <v>0</v>
      </c>
      <c r="AK68" s="15">
        <f t="shared" si="30"/>
        <v>0</v>
      </c>
      <c r="AL68" s="15">
        <f t="shared" si="30"/>
        <v>0</v>
      </c>
      <c r="AM68" s="15">
        <f t="shared" si="30"/>
        <v>0</v>
      </c>
      <c r="AN68" s="15">
        <f t="shared" si="30"/>
        <v>0</v>
      </c>
      <c r="AO68" s="15">
        <f t="shared" si="30"/>
        <v>0</v>
      </c>
      <c r="AP68" s="15">
        <f t="shared" si="30"/>
        <v>0</v>
      </c>
      <c r="AQ68" s="15">
        <f t="shared" si="30"/>
        <v>0</v>
      </c>
      <c r="AR68" s="15">
        <f t="shared" si="30"/>
        <v>0</v>
      </c>
      <c r="AS68" s="15">
        <f t="shared" si="30"/>
        <v>0</v>
      </c>
      <c r="AT68" s="15">
        <f t="shared" si="30"/>
        <v>0</v>
      </c>
      <c r="AU68" s="15">
        <f t="shared" si="30"/>
        <v>0</v>
      </c>
      <c r="AV68" s="15">
        <f t="shared" si="30"/>
        <v>0</v>
      </c>
      <c r="AW68" s="15">
        <f t="shared" si="30"/>
        <v>0</v>
      </c>
      <c r="AX68" s="15">
        <f t="shared" si="17"/>
        <v>0</v>
      </c>
      <c r="BB68" s="52" t="str">
        <f t="shared" si="11"/>
        <v/>
      </c>
      <c r="BC68" s="36" t="str">
        <f t="shared" si="7"/>
        <v/>
      </c>
      <c r="BD68" s="36"/>
      <c r="BE68" s="36" t="str">
        <f t="shared" si="8"/>
        <v/>
      </c>
      <c r="BF68" s="66" t="str">
        <f>IF(C68="","",IF($C$4="","",VLOOKUP($C$4,'Chart of Accounts'!$A:$B,2,FALSE)))</f>
        <v/>
      </c>
      <c r="BG68" s="55" t="str">
        <f>IF(C68="","",VLOOKUP(C:C,'Chart of Accounts'!$A:$B,2,FALSE))</f>
        <v/>
      </c>
      <c r="BH68" s="36" t="str">
        <f t="shared" si="12"/>
        <v/>
      </c>
      <c r="BI68" s="54">
        <f t="shared" si="13"/>
        <v>0</v>
      </c>
      <c r="BJ68" s="56">
        <f t="shared" si="14"/>
        <v>0</v>
      </c>
    </row>
    <row r="69" spans="1:62" x14ac:dyDescent="0.25">
      <c r="A69" s="1" t="s">
        <v>80</v>
      </c>
      <c r="B69" s="28"/>
      <c r="I69" s="5"/>
      <c r="J69" s="5"/>
      <c r="K69" s="30">
        <f t="shared" si="9"/>
        <v>10500</v>
      </c>
      <c r="L69" s="15"/>
      <c r="M69" s="7">
        <f t="shared" si="23"/>
        <v>0</v>
      </c>
      <c r="N69" s="15"/>
      <c r="O69" s="15">
        <f t="shared" si="15"/>
        <v>0</v>
      </c>
      <c r="P69" s="15"/>
      <c r="Q69" s="15">
        <f t="shared" si="25"/>
        <v>0</v>
      </c>
      <c r="R69" s="15">
        <f t="shared" si="25"/>
        <v>0</v>
      </c>
      <c r="T69" s="15">
        <f t="shared" si="10"/>
        <v>0</v>
      </c>
      <c r="U69" s="15"/>
      <c r="V69" s="15">
        <f t="shared" si="26"/>
        <v>0</v>
      </c>
      <c r="W69" s="15">
        <f t="shared" si="26"/>
        <v>0</v>
      </c>
      <c r="X69" s="15">
        <f t="shared" si="26"/>
        <v>0</v>
      </c>
      <c r="Y69" s="15"/>
      <c r="Z69" s="15">
        <f t="shared" si="27"/>
        <v>0</v>
      </c>
      <c r="AA69" s="15">
        <f t="shared" si="27"/>
        <v>0</v>
      </c>
      <c r="AB69" s="15"/>
      <c r="AC69" s="15">
        <f t="shared" si="4"/>
        <v>0</v>
      </c>
      <c r="AD69" s="15"/>
      <c r="AE69" s="15">
        <f t="shared" si="28"/>
        <v>0</v>
      </c>
      <c r="AF69" s="15">
        <f t="shared" si="28"/>
        <v>0</v>
      </c>
      <c r="AG69" s="15">
        <f t="shared" si="28"/>
        <v>0</v>
      </c>
      <c r="AH69" s="15"/>
      <c r="AI69" s="15">
        <f t="shared" si="30"/>
        <v>0</v>
      </c>
      <c r="AJ69" s="15">
        <f t="shared" si="30"/>
        <v>0</v>
      </c>
      <c r="AK69" s="15">
        <f t="shared" si="30"/>
        <v>0</v>
      </c>
      <c r="AL69" s="15">
        <f t="shared" si="30"/>
        <v>0</v>
      </c>
      <c r="AM69" s="15">
        <f t="shared" si="30"/>
        <v>0</v>
      </c>
      <c r="AN69" s="15">
        <f t="shared" si="30"/>
        <v>0</v>
      </c>
      <c r="AO69" s="15">
        <f t="shared" si="30"/>
        <v>0</v>
      </c>
      <c r="AP69" s="15">
        <f t="shared" si="30"/>
        <v>0</v>
      </c>
      <c r="AQ69" s="15">
        <f t="shared" si="30"/>
        <v>0</v>
      </c>
      <c r="AR69" s="15">
        <f t="shared" si="30"/>
        <v>0</v>
      </c>
      <c r="AS69" s="15">
        <f t="shared" si="30"/>
        <v>0</v>
      </c>
      <c r="AT69" s="15">
        <f t="shared" si="30"/>
        <v>0</v>
      </c>
      <c r="AU69" s="15">
        <f t="shared" si="30"/>
        <v>0</v>
      </c>
      <c r="AV69" s="15">
        <f t="shared" si="30"/>
        <v>0</v>
      </c>
      <c r="AW69" s="15">
        <f t="shared" si="30"/>
        <v>0</v>
      </c>
      <c r="AX69" s="15">
        <f t="shared" si="17"/>
        <v>0</v>
      </c>
      <c r="BB69" s="52" t="str">
        <f t="shared" si="11"/>
        <v/>
      </c>
      <c r="BC69" s="36" t="str">
        <f t="shared" si="7"/>
        <v/>
      </c>
      <c r="BD69" s="36"/>
      <c r="BE69" s="36" t="str">
        <f t="shared" si="8"/>
        <v/>
      </c>
      <c r="BF69" s="66" t="str">
        <f>IF(C69="","",IF($C$4="","",VLOOKUP($C$4,'Chart of Accounts'!$A:$B,2,FALSE)))</f>
        <v/>
      </c>
      <c r="BG69" s="55" t="str">
        <f>IF(C69="","",VLOOKUP(C:C,'Chart of Accounts'!$A:$B,2,FALSE))</f>
        <v/>
      </c>
      <c r="BH69" s="36" t="str">
        <f t="shared" si="12"/>
        <v/>
      </c>
      <c r="BI69" s="54">
        <f t="shared" si="13"/>
        <v>0</v>
      </c>
      <c r="BJ69" s="56">
        <f t="shared" si="14"/>
        <v>0</v>
      </c>
    </row>
    <row r="70" spans="1:62" x14ac:dyDescent="0.25">
      <c r="A70" s="1" t="s">
        <v>81</v>
      </c>
      <c r="B70" s="28"/>
      <c r="I70" s="5"/>
      <c r="J70" s="5"/>
      <c r="K70" s="30">
        <f t="shared" si="9"/>
        <v>10500</v>
      </c>
      <c r="L70" s="15"/>
      <c r="M70" s="7">
        <f t="shared" si="23"/>
        <v>0</v>
      </c>
      <c r="N70" s="15"/>
      <c r="O70" s="15">
        <f t="shared" si="15"/>
        <v>0</v>
      </c>
      <c r="P70" s="15"/>
      <c r="Q70" s="15">
        <f t="shared" si="25"/>
        <v>0</v>
      </c>
      <c r="R70" s="15">
        <f t="shared" si="25"/>
        <v>0</v>
      </c>
      <c r="T70" s="15">
        <f t="shared" si="10"/>
        <v>0</v>
      </c>
      <c r="U70" s="15"/>
      <c r="V70" s="15">
        <f t="shared" si="26"/>
        <v>0</v>
      </c>
      <c r="W70" s="15">
        <f t="shared" si="26"/>
        <v>0</v>
      </c>
      <c r="X70" s="15">
        <f t="shared" si="26"/>
        <v>0</v>
      </c>
      <c r="Y70" s="15"/>
      <c r="Z70" s="15">
        <f t="shared" si="27"/>
        <v>0</v>
      </c>
      <c r="AA70" s="15">
        <f t="shared" si="27"/>
        <v>0</v>
      </c>
      <c r="AB70" s="15"/>
      <c r="AC70" s="15">
        <f t="shared" si="4"/>
        <v>0</v>
      </c>
      <c r="AD70" s="15"/>
      <c r="AE70" s="15">
        <f t="shared" si="28"/>
        <v>0</v>
      </c>
      <c r="AF70" s="15">
        <f t="shared" si="28"/>
        <v>0</v>
      </c>
      <c r="AG70" s="15">
        <f t="shared" si="28"/>
        <v>0</v>
      </c>
      <c r="AH70" s="15"/>
      <c r="AI70" s="15">
        <f t="shared" si="30"/>
        <v>0</v>
      </c>
      <c r="AJ70" s="15">
        <f t="shared" si="30"/>
        <v>0</v>
      </c>
      <c r="AK70" s="15">
        <f t="shared" si="30"/>
        <v>0</v>
      </c>
      <c r="AL70" s="15">
        <f t="shared" si="30"/>
        <v>0</v>
      </c>
      <c r="AM70" s="15">
        <f t="shared" si="30"/>
        <v>0</v>
      </c>
      <c r="AN70" s="15">
        <f t="shared" si="30"/>
        <v>0</v>
      </c>
      <c r="AO70" s="15">
        <f t="shared" si="30"/>
        <v>0</v>
      </c>
      <c r="AP70" s="15">
        <f t="shared" si="30"/>
        <v>0</v>
      </c>
      <c r="AQ70" s="15">
        <f t="shared" si="30"/>
        <v>0</v>
      </c>
      <c r="AR70" s="15">
        <f t="shared" si="30"/>
        <v>0</v>
      </c>
      <c r="AS70" s="15">
        <f t="shared" si="30"/>
        <v>0</v>
      </c>
      <c r="AT70" s="15">
        <f t="shared" si="30"/>
        <v>0</v>
      </c>
      <c r="AU70" s="15">
        <f t="shared" si="30"/>
        <v>0</v>
      </c>
      <c r="AV70" s="15">
        <f t="shared" si="30"/>
        <v>0</v>
      </c>
      <c r="AW70" s="15">
        <f t="shared" si="30"/>
        <v>0</v>
      </c>
      <c r="AX70" s="15">
        <f t="shared" si="17"/>
        <v>0</v>
      </c>
      <c r="BB70" s="52" t="str">
        <f t="shared" si="11"/>
        <v/>
      </c>
      <c r="BC70" s="36" t="str">
        <f t="shared" si="7"/>
        <v/>
      </c>
      <c r="BD70" s="36"/>
      <c r="BE70" s="36" t="str">
        <f t="shared" si="8"/>
        <v/>
      </c>
      <c r="BF70" s="66" t="str">
        <f>IF(C70="","",IF($C$4="","",VLOOKUP($C$4,'Chart of Accounts'!$A:$B,2,FALSE)))</f>
        <v/>
      </c>
      <c r="BG70" s="55" t="str">
        <f>IF(C70="","",VLOOKUP(C:C,'Chart of Accounts'!$A:$B,2,FALSE))</f>
        <v/>
      </c>
      <c r="BH70" s="36" t="str">
        <f t="shared" si="12"/>
        <v/>
      </c>
      <c r="BI70" s="54">
        <f t="shared" si="13"/>
        <v>0</v>
      </c>
      <c r="BJ70" s="56">
        <f t="shared" si="14"/>
        <v>0</v>
      </c>
    </row>
    <row r="71" spans="1:62" x14ac:dyDescent="0.25">
      <c r="A71" s="1" t="s">
        <v>82</v>
      </c>
      <c r="B71" s="28"/>
      <c r="I71" s="5"/>
      <c r="J71" s="5"/>
      <c r="K71" s="30">
        <f t="shared" si="9"/>
        <v>10500</v>
      </c>
      <c r="L71" s="15"/>
      <c r="M71" s="7">
        <f t="shared" si="23"/>
        <v>0</v>
      </c>
      <c r="N71" s="15"/>
      <c r="O71" s="15">
        <f t="shared" si="15"/>
        <v>0</v>
      </c>
      <c r="P71" s="15"/>
      <c r="Q71" s="15">
        <f t="shared" si="25"/>
        <v>0</v>
      </c>
      <c r="R71" s="15">
        <f t="shared" si="25"/>
        <v>0</v>
      </c>
      <c r="T71" s="15">
        <f t="shared" si="10"/>
        <v>0</v>
      </c>
      <c r="U71" s="15"/>
      <c r="V71" s="15">
        <f t="shared" si="26"/>
        <v>0</v>
      </c>
      <c r="W71" s="15">
        <f t="shared" si="26"/>
        <v>0</v>
      </c>
      <c r="X71" s="15">
        <f t="shared" si="26"/>
        <v>0</v>
      </c>
      <c r="Y71" s="15"/>
      <c r="Z71" s="15">
        <f t="shared" si="27"/>
        <v>0</v>
      </c>
      <c r="AA71" s="15">
        <f t="shared" si="27"/>
        <v>0</v>
      </c>
      <c r="AB71" s="15"/>
      <c r="AC71" s="15">
        <f t="shared" si="4"/>
        <v>0</v>
      </c>
      <c r="AD71" s="15"/>
      <c r="AE71" s="15">
        <f t="shared" si="28"/>
        <v>0</v>
      </c>
      <c r="AF71" s="15">
        <f t="shared" si="28"/>
        <v>0</v>
      </c>
      <c r="AG71" s="15">
        <f t="shared" si="28"/>
        <v>0</v>
      </c>
      <c r="AH71" s="15"/>
      <c r="AI71" s="15">
        <f t="shared" si="30"/>
        <v>0</v>
      </c>
      <c r="AJ71" s="15">
        <f t="shared" si="30"/>
        <v>0</v>
      </c>
      <c r="AK71" s="15">
        <f t="shared" si="30"/>
        <v>0</v>
      </c>
      <c r="AL71" s="15">
        <f t="shared" si="30"/>
        <v>0</v>
      </c>
      <c r="AM71" s="15">
        <f t="shared" si="30"/>
        <v>0</v>
      </c>
      <c r="AN71" s="15">
        <f t="shared" si="30"/>
        <v>0</v>
      </c>
      <c r="AO71" s="15">
        <f t="shared" si="30"/>
        <v>0</v>
      </c>
      <c r="AP71" s="15">
        <f t="shared" si="30"/>
        <v>0</v>
      </c>
      <c r="AQ71" s="15">
        <f t="shared" si="30"/>
        <v>0</v>
      </c>
      <c r="AR71" s="15">
        <f t="shared" si="30"/>
        <v>0</v>
      </c>
      <c r="AS71" s="15">
        <f t="shared" si="30"/>
        <v>0</v>
      </c>
      <c r="AT71" s="15">
        <f t="shared" si="30"/>
        <v>0</v>
      </c>
      <c r="AU71" s="15">
        <f t="shared" si="30"/>
        <v>0</v>
      </c>
      <c r="AV71" s="15">
        <f t="shared" si="30"/>
        <v>0</v>
      </c>
      <c r="AW71" s="15">
        <f t="shared" si="30"/>
        <v>0</v>
      </c>
      <c r="AX71" s="15">
        <f t="shared" si="17"/>
        <v>0</v>
      </c>
      <c r="BB71" s="52" t="str">
        <f t="shared" si="11"/>
        <v/>
      </c>
      <c r="BC71" s="36" t="str">
        <f t="shared" si="7"/>
        <v/>
      </c>
      <c r="BD71" s="36"/>
      <c r="BE71" s="36" t="str">
        <f t="shared" si="8"/>
        <v/>
      </c>
      <c r="BF71" s="66" t="str">
        <f>IF(C71="","",IF($C$4="","",VLOOKUP($C$4,'Chart of Accounts'!$A:$B,2,FALSE)))</f>
        <v/>
      </c>
      <c r="BG71" s="55" t="str">
        <f>IF(C71="","",VLOOKUP(C:C,'Chart of Accounts'!$A:$B,2,FALSE))</f>
        <v/>
      </c>
      <c r="BH71" s="36" t="str">
        <f t="shared" si="12"/>
        <v/>
      </c>
      <c r="BI71" s="54">
        <f t="shared" si="13"/>
        <v>0</v>
      </c>
      <c r="BJ71" s="56">
        <f t="shared" si="14"/>
        <v>0</v>
      </c>
    </row>
    <row r="72" spans="1:62" x14ac:dyDescent="0.25">
      <c r="A72" s="1" t="s">
        <v>83</v>
      </c>
      <c r="B72" s="28"/>
      <c r="I72" s="5"/>
      <c r="J72" s="5"/>
      <c r="K72" s="30">
        <f t="shared" si="9"/>
        <v>10500</v>
      </c>
      <c r="L72" s="15"/>
      <c r="M72" s="7">
        <f t="shared" si="23"/>
        <v>0</v>
      </c>
      <c r="N72" s="15"/>
      <c r="O72" s="15">
        <f t="shared" si="15"/>
        <v>0</v>
      </c>
      <c r="P72" s="15"/>
      <c r="Q72" s="15">
        <f t="shared" ref="Q72:R91" si="31">IF($C72=Q$9,$I72+$J72,0)</f>
        <v>0</v>
      </c>
      <c r="R72" s="15">
        <f t="shared" si="31"/>
        <v>0</v>
      </c>
      <c r="T72" s="15">
        <f t="shared" si="10"/>
        <v>0</v>
      </c>
      <c r="U72" s="15"/>
      <c r="V72" s="15">
        <f t="shared" ref="V72:X91" si="32">IF($C72=V$9,$I72+$J72,0)</f>
        <v>0</v>
      </c>
      <c r="W72" s="15">
        <f t="shared" si="32"/>
        <v>0</v>
      </c>
      <c r="X72" s="15">
        <f t="shared" si="32"/>
        <v>0</v>
      </c>
      <c r="Y72" s="15"/>
      <c r="Z72" s="15">
        <f t="shared" ref="Z72:AA91" si="33">IF($C72=Z$9,$I72+$J72,0)</f>
        <v>0</v>
      </c>
      <c r="AA72" s="15">
        <f t="shared" si="33"/>
        <v>0</v>
      </c>
      <c r="AB72" s="15"/>
      <c r="AC72" s="15">
        <f t="shared" si="4"/>
        <v>0</v>
      </c>
      <c r="AD72" s="15"/>
      <c r="AE72" s="15">
        <f t="shared" ref="AE72:AG91" si="34">IF($C72=AE$9,$I72+$J72,0)</f>
        <v>0</v>
      </c>
      <c r="AF72" s="15">
        <f t="shared" si="34"/>
        <v>0</v>
      </c>
      <c r="AG72" s="15">
        <f t="shared" si="34"/>
        <v>0</v>
      </c>
      <c r="AH72" s="15"/>
      <c r="AI72" s="15">
        <f t="shared" si="30"/>
        <v>0</v>
      </c>
      <c r="AJ72" s="15">
        <f t="shared" si="30"/>
        <v>0</v>
      </c>
      <c r="AK72" s="15">
        <f t="shared" si="30"/>
        <v>0</v>
      </c>
      <c r="AL72" s="15">
        <f t="shared" si="30"/>
        <v>0</v>
      </c>
      <c r="AM72" s="15">
        <f t="shared" si="30"/>
        <v>0</v>
      </c>
      <c r="AN72" s="15">
        <f t="shared" si="30"/>
        <v>0</v>
      </c>
      <c r="AO72" s="15">
        <f t="shared" si="30"/>
        <v>0</v>
      </c>
      <c r="AP72" s="15">
        <f t="shared" si="30"/>
        <v>0</v>
      </c>
      <c r="AQ72" s="15">
        <f t="shared" si="30"/>
        <v>0</v>
      </c>
      <c r="AR72" s="15">
        <f t="shared" si="30"/>
        <v>0</v>
      </c>
      <c r="AS72" s="15">
        <f t="shared" si="30"/>
        <v>0</v>
      </c>
      <c r="AT72" s="15">
        <f t="shared" si="30"/>
        <v>0</v>
      </c>
      <c r="AU72" s="15">
        <f t="shared" si="30"/>
        <v>0</v>
      </c>
      <c r="AV72" s="15">
        <f t="shared" si="30"/>
        <v>0</v>
      </c>
      <c r="AW72" s="15">
        <f t="shared" si="30"/>
        <v>0</v>
      </c>
      <c r="AX72" s="15">
        <f t="shared" si="17"/>
        <v>0</v>
      </c>
      <c r="BB72" s="52" t="str">
        <f t="shared" si="11"/>
        <v/>
      </c>
      <c r="BC72" s="36" t="str">
        <f t="shared" si="7"/>
        <v/>
      </c>
      <c r="BD72" s="36"/>
      <c r="BE72" s="36" t="str">
        <f t="shared" si="8"/>
        <v/>
      </c>
      <c r="BF72" s="66" t="str">
        <f>IF(C72="","",IF($C$4="","",VLOOKUP($C$4,'Chart of Accounts'!$A:$B,2,FALSE)))</f>
        <v/>
      </c>
      <c r="BG72" s="55" t="str">
        <f>IF(C72="","",VLOOKUP(C:C,'Chart of Accounts'!$A:$B,2,FALSE))</f>
        <v/>
      </c>
      <c r="BH72" s="36" t="str">
        <f t="shared" si="12"/>
        <v/>
      </c>
      <c r="BI72" s="54">
        <f t="shared" si="13"/>
        <v>0</v>
      </c>
      <c r="BJ72" s="56">
        <f t="shared" si="14"/>
        <v>0</v>
      </c>
    </row>
    <row r="73" spans="1:62" x14ac:dyDescent="0.25">
      <c r="A73" s="1" t="s">
        <v>84</v>
      </c>
      <c r="B73" s="28"/>
      <c r="I73" s="5"/>
      <c r="J73" s="5"/>
      <c r="K73" s="30">
        <f t="shared" si="9"/>
        <v>10500</v>
      </c>
      <c r="L73" s="15"/>
      <c r="M73" s="7">
        <f t="shared" si="23"/>
        <v>0</v>
      </c>
      <c r="N73" s="15"/>
      <c r="O73" s="15">
        <f t="shared" si="15"/>
        <v>0</v>
      </c>
      <c r="P73" s="15"/>
      <c r="Q73" s="15">
        <f t="shared" si="31"/>
        <v>0</v>
      </c>
      <c r="R73" s="15">
        <f t="shared" si="31"/>
        <v>0</v>
      </c>
      <c r="T73" s="15">
        <f t="shared" si="10"/>
        <v>0</v>
      </c>
      <c r="U73" s="15"/>
      <c r="V73" s="15">
        <f t="shared" si="32"/>
        <v>0</v>
      </c>
      <c r="W73" s="15">
        <f t="shared" si="32"/>
        <v>0</v>
      </c>
      <c r="X73" s="15">
        <f t="shared" si="32"/>
        <v>0</v>
      </c>
      <c r="Y73" s="15"/>
      <c r="Z73" s="15">
        <f t="shared" si="33"/>
        <v>0</v>
      </c>
      <c r="AA73" s="15">
        <f t="shared" si="33"/>
        <v>0</v>
      </c>
      <c r="AB73" s="15"/>
      <c r="AC73" s="15">
        <f t="shared" si="4"/>
        <v>0</v>
      </c>
      <c r="AD73" s="15"/>
      <c r="AE73" s="15">
        <f t="shared" si="34"/>
        <v>0</v>
      </c>
      <c r="AF73" s="15">
        <f t="shared" si="34"/>
        <v>0</v>
      </c>
      <c r="AG73" s="15">
        <f t="shared" si="34"/>
        <v>0</v>
      </c>
      <c r="AH73" s="15"/>
      <c r="AI73" s="15">
        <f t="shared" si="30"/>
        <v>0</v>
      </c>
      <c r="AJ73" s="15">
        <f t="shared" si="30"/>
        <v>0</v>
      </c>
      <c r="AK73" s="15">
        <f t="shared" si="30"/>
        <v>0</v>
      </c>
      <c r="AL73" s="15">
        <f t="shared" si="30"/>
        <v>0</v>
      </c>
      <c r="AM73" s="15">
        <f t="shared" si="30"/>
        <v>0</v>
      </c>
      <c r="AN73" s="15">
        <f t="shared" si="30"/>
        <v>0</v>
      </c>
      <c r="AO73" s="15">
        <f t="shared" si="30"/>
        <v>0</v>
      </c>
      <c r="AP73" s="15">
        <f t="shared" si="30"/>
        <v>0</v>
      </c>
      <c r="AQ73" s="15">
        <f t="shared" si="30"/>
        <v>0</v>
      </c>
      <c r="AR73" s="15">
        <f t="shared" si="30"/>
        <v>0</v>
      </c>
      <c r="AS73" s="15">
        <f t="shared" si="30"/>
        <v>0</v>
      </c>
      <c r="AT73" s="15">
        <f t="shared" si="30"/>
        <v>0</v>
      </c>
      <c r="AU73" s="15">
        <f t="shared" si="30"/>
        <v>0</v>
      </c>
      <c r="AV73" s="15">
        <f t="shared" si="30"/>
        <v>0</v>
      </c>
      <c r="AW73" s="15">
        <f t="shared" si="30"/>
        <v>0</v>
      </c>
      <c r="AX73" s="15">
        <f t="shared" si="17"/>
        <v>0</v>
      </c>
      <c r="BB73" s="52" t="str">
        <f t="shared" si="11"/>
        <v/>
      </c>
      <c r="BC73" s="36" t="str">
        <f t="shared" si="7"/>
        <v/>
      </c>
      <c r="BD73" s="36"/>
      <c r="BE73" s="36" t="str">
        <f t="shared" si="8"/>
        <v/>
      </c>
      <c r="BF73" s="66" t="str">
        <f>IF(C73="","",IF($C$4="","",VLOOKUP($C$4,'Chart of Accounts'!$A:$B,2,FALSE)))</f>
        <v/>
      </c>
      <c r="BG73" s="55" t="str">
        <f>IF(C73="","",VLOOKUP(C:C,'Chart of Accounts'!$A:$B,2,FALSE))</f>
        <v/>
      </c>
      <c r="BH73" s="36" t="str">
        <f t="shared" si="12"/>
        <v/>
      </c>
      <c r="BI73" s="54">
        <f t="shared" si="13"/>
        <v>0</v>
      </c>
      <c r="BJ73" s="56">
        <f t="shared" si="14"/>
        <v>0</v>
      </c>
    </row>
    <row r="74" spans="1:62" x14ac:dyDescent="0.25">
      <c r="A74" s="1" t="s">
        <v>85</v>
      </c>
      <c r="B74" s="28"/>
      <c r="I74" s="5"/>
      <c r="J74" s="5"/>
      <c r="K74" s="30">
        <f t="shared" si="9"/>
        <v>10500</v>
      </c>
      <c r="L74" s="15"/>
      <c r="M74" s="7">
        <f t="shared" si="23"/>
        <v>0</v>
      </c>
      <c r="N74" s="15"/>
      <c r="O74" s="15">
        <f t="shared" si="15"/>
        <v>0</v>
      </c>
      <c r="P74" s="15"/>
      <c r="Q74" s="15">
        <f t="shared" si="31"/>
        <v>0</v>
      </c>
      <c r="R74" s="15">
        <f t="shared" si="31"/>
        <v>0</v>
      </c>
      <c r="T74" s="15">
        <f t="shared" si="10"/>
        <v>0</v>
      </c>
      <c r="U74" s="15"/>
      <c r="V74" s="15">
        <f t="shared" si="32"/>
        <v>0</v>
      </c>
      <c r="W74" s="15">
        <f t="shared" si="32"/>
        <v>0</v>
      </c>
      <c r="X74" s="15">
        <f t="shared" si="32"/>
        <v>0</v>
      </c>
      <c r="Y74" s="15"/>
      <c r="Z74" s="15">
        <f t="shared" si="33"/>
        <v>0</v>
      </c>
      <c r="AA74" s="15">
        <f t="shared" si="33"/>
        <v>0</v>
      </c>
      <c r="AB74" s="15"/>
      <c r="AC74" s="15">
        <f t="shared" si="4"/>
        <v>0</v>
      </c>
      <c r="AD74" s="15"/>
      <c r="AE74" s="15">
        <f t="shared" si="34"/>
        <v>0</v>
      </c>
      <c r="AF74" s="15">
        <f t="shared" si="34"/>
        <v>0</v>
      </c>
      <c r="AG74" s="15">
        <f t="shared" si="34"/>
        <v>0</v>
      </c>
      <c r="AH74" s="15"/>
      <c r="AI74" s="15">
        <f t="shared" si="30"/>
        <v>0</v>
      </c>
      <c r="AJ74" s="15">
        <f t="shared" si="30"/>
        <v>0</v>
      </c>
      <c r="AK74" s="15">
        <f t="shared" si="30"/>
        <v>0</v>
      </c>
      <c r="AL74" s="15">
        <f t="shared" si="30"/>
        <v>0</v>
      </c>
      <c r="AM74" s="15">
        <f t="shared" si="30"/>
        <v>0</v>
      </c>
      <c r="AN74" s="15">
        <f t="shared" si="30"/>
        <v>0</v>
      </c>
      <c r="AO74" s="15">
        <f t="shared" si="30"/>
        <v>0</v>
      </c>
      <c r="AP74" s="15">
        <f t="shared" si="30"/>
        <v>0</v>
      </c>
      <c r="AQ74" s="15">
        <f t="shared" si="30"/>
        <v>0</v>
      </c>
      <c r="AR74" s="15">
        <f t="shared" si="30"/>
        <v>0</v>
      </c>
      <c r="AS74" s="15">
        <f t="shared" si="30"/>
        <v>0</v>
      </c>
      <c r="AT74" s="15">
        <f t="shared" si="30"/>
        <v>0</v>
      </c>
      <c r="AU74" s="15">
        <f t="shared" si="30"/>
        <v>0</v>
      </c>
      <c r="AV74" s="15">
        <f t="shared" si="30"/>
        <v>0</v>
      </c>
      <c r="AW74" s="15">
        <f t="shared" si="30"/>
        <v>0</v>
      </c>
      <c r="AX74" s="15">
        <f t="shared" si="17"/>
        <v>0</v>
      </c>
      <c r="BB74" s="52" t="str">
        <f t="shared" si="11"/>
        <v/>
      </c>
      <c r="BC74" s="36" t="str">
        <f t="shared" si="7"/>
        <v/>
      </c>
      <c r="BD74" s="36"/>
      <c r="BE74" s="36" t="str">
        <f t="shared" si="8"/>
        <v/>
      </c>
      <c r="BF74" s="66" t="str">
        <f>IF(C74="","",IF($C$4="","",VLOOKUP($C$4,'Chart of Accounts'!$A:$B,2,FALSE)))</f>
        <v/>
      </c>
      <c r="BG74" s="55" t="str">
        <f>IF(C74="","",VLOOKUP(C:C,'Chart of Accounts'!$A:$B,2,FALSE))</f>
        <v/>
      </c>
      <c r="BH74" s="36" t="str">
        <f t="shared" si="12"/>
        <v/>
      </c>
      <c r="BI74" s="54">
        <f t="shared" si="13"/>
        <v>0</v>
      </c>
      <c r="BJ74" s="56">
        <f t="shared" si="14"/>
        <v>0</v>
      </c>
    </row>
    <row r="75" spans="1:62" x14ac:dyDescent="0.25">
      <c r="A75" s="1" t="s">
        <v>86</v>
      </c>
      <c r="B75" s="28"/>
      <c r="I75" s="5"/>
      <c r="J75" s="5"/>
      <c r="K75" s="30">
        <f t="shared" si="9"/>
        <v>10500</v>
      </c>
      <c r="L75" s="15"/>
      <c r="M75" s="7">
        <f t="shared" si="23"/>
        <v>0</v>
      </c>
      <c r="N75" s="15"/>
      <c r="O75" s="15">
        <f t="shared" si="15"/>
        <v>0</v>
      </c>
      <c r="P75" s="15"/>
      <c r="Q75" s="15">
        <f t="shared" si="31"/>
        <v>0</v>
      </c>
      <c r="R75" s="15">
        <f t="shared" si="31"/>
        <v>0</v>
      </c>
      <c r="T75" s="15">
        <f t="shared" si="10"/>
        <v>0</v>
      </c>
      <c r="U75" s="15"/>
      <c r="V75" s="15">
        <f t="shared" si="32"/>
        <v>0</v>
      </c>
      <c r="W75" s="15">
        <f t="shared" si="32"/>
        <v>0</v>
      </c>
      <c r="X75" s="15">
        <f t="shared" si="32"/>
        <v>0</v>
      </c>
      <c r="Y75" s="15"/>
      <c r="Z75" s="15">
        <f t="shared" si="33"/>
        <v>0</v>
      </c>
      <c r="AA75" s="15">
        <f t="shared" si="33"/>
        <v>0</v>
      </c>
      <c r="AB75" s="15"/>
      <c r="AC75" s="15">
        <f t="shared" si="4"/>
        <v>0</v>
      </c>
      <c r="AD75" s="15"/>
      <c r="AE75" s="15">
        <f t="shared" si="34"/>
        <v>0</v>
      </c>
      <c r="AF75" s="15">
        <f t="shared" si="34"/>
        <v>0</v>
      </c>
      <c r="AG75" s="15">
        <f t="shared" si="34"/>
        <v>0</v>
      </c>
      <c r="AH75" s="15"/>
      <c r="AI75" s="15">
        <f t="shared" si="30"/>
        <v>0</v>
      </c>
      <c r="AJ75" s="15">
        <f t="shared" si="30"/>
        <v>0</v>
      </c>
      <c r="AK75" s="15">
        <f t="shared" si="30"/>
        <v>0</v>
      </c>
      <c r="AL75" s="15">
        <f t="shared" si="30"/>
        <v>0</v>
      </c>
      <c r="AM75" s="15">
        <f t="shared" si="30"/>
        <v>0</v>
      </c>
      <c r="AN75" s="15">
        <f t="shared" si="30"/>
        <v>0</v>
      </c>
      <c r="AO75" s="15">
        <f t="shared" si="30"/>
        <v>0</v>
      </c>
      <c r="AP75" s="15">
        <f t="shared" si="30"/>
        <v>0</v>
      </c>
      <c r="AQ75" s="15">
        <f t="shared" si="30"/>
        <v>0</v>
      </c>
      <c r="AR75" s="15">
        <f t="shared" si="30"/>
        <v>0</v>
      </c>
      <c r="AS75" s="15">
        <f t="shared" si="30"/>
        <v>0</v>
      </c>
      <c r="AT75" s="15">
        <f t="shared" si="30"/>
        <v>0</v>
      </c>
      <c r="AU75" s="15">
        <f t="shared" si="30"/>
        <v>0</v>
      </c>
      <c r="AV75" s="15">
        <f t="shared" si="30"/>
        <v>0</v>
      </c>
      <c r="AW75" s="15">
        <f t="shared" si="30"/>
        <v>0</v>
      </c>
      <c r="AX75" s="15">
        <f t="shared" si="17"/>
        <v>0</v>
      </c>
      <c r="BB75" s="52" t="str">
        <f t="shared" si="11"/>
        <v/>
      </c>
      <c r="BC75" s="36" t="str">
        <f t="shared" si="7"/>
        <v/>
      </c>
      <c r="BD75" s="36"/>
      <c r="BE75" s="36" t="str">
        <f t="shared" si="8"/>
        <v/>
      </c>
      <c r="BF75" s="66" t="str">
        <f>IF(C75="","",IF($C$4="","",VLOOKUP($C$4,'Chart of Accounts'!$A:$B,2,FALSE)))</f>
        <v/>
      </c>
      <c r="BG75" s="55" t="str">
        <f>IF(C75="","",VLOOKUP(C:C,'Chart of Accounts'!$A:$B,2,FALSE))</f>
        <v/>
      </c>
      <c r="BH75" s="36" t="str">
        <f t="shared" si="12"/>
        <v/>
      </c>
      <c r="BI75" s="54">
        <f t="shared" si="13"/>
        <v>0</v>
      </c>
      <c r="BJ75" s="56">
        <f t="shared" si="14"/>
        <v>0</v>
      </c>
    </row>
    <row r="76" spans="1:62" x14ac:dyDescent="0.25">
      <c r="A76" s="1" t="s">
        <v>87</v>
      </c>
      <c r="B76" s="28"/>
      <c r="I76" s="5"/>
      <c r="J76" s="5"/>
      <c r="K76" s="30">
        <f t="shared" si="9"/>
        <v>10500</v>
      </c>
      <c r="L76" s="15"/>
      <c r="M76" s="7">
        <f t="shared" ref="M76:M102" si="35">SUM(I76:J76)-SUM(N76:AY76)</f>
        <v>0</v>
      </c>
      <c r="N76" s="15"/>
      <c r="O76" s="15">
        <f t="shared" si="15"/>
        <v>0</v>
      </c>
      <c r="P76" s="15"/>
      <c r="Q76" s="15">
        <f t="shared" si="31"/>
        <v>0</v>
      </c>
      <c r="R76" s="15">
        <f t="shared" si="31"/>
        <v>0</v>
      </c>
      <c r="T76" s="15">
        <f t="shared" ref="T76:T102" si="36">IF($C76=T$9,$I76+$J76,0)</f>
        <v>0</v>
      </c>
      <c r="U76" s="15"/>
      <c r="V76" s="15">
        <f t="shared" si="32"/>
        <v>0</v>
      </c>
      <c r="W76" s="15">
        <f t="shared" si="32"/>
        <v>0</v>
      </c>
      <c r="X76" s="15">
        <f t="shared" si="32"/>
        <v>0</v>
      </c>
      <c r="Y76" s="15"/>
      <c r="Z76" s="15">
        <f t="shared" si="33"/>
        <v>0</v>
      </c>
      <c r="AA76" s="15">
        <f t="shared" si="33"/>
        <v>0</v>
      </c>
      <c r="AB76" s="15"/>
      <c r="AC76" s="15">
        <f t="shared" ref="AC76:AC102" si="37">IF($C76=AC$9,$I76+$J76,0)</f>
        <v>0</v>
      </c>
      <c r="AD76" s="15"/>
      <c r="AE76" s="15">
        <f t="shared" si="34"/>
        <v>0</v>
      </c>
      <c r="AF76" s="15">
        <f t="shared" si="34"/>
        <v>0</v>
      </c>
      <c r="AG76" s="15">
        <f t="shared" si="34"/>
        <v>0</v>
      </c>
      <c r="AH76" s="15"/>
      <c r="AI76" s="15">
        <f t="shared" si="30"/>
        <v>0</v>
      </c>
      <c r="AJ76" s="15">
        <f t="shared" si="30"/>
        <v>0</v>
      </c>
      <c r="AK76" s="15">
        <f t="shared" si="30"/>
        <v>0</v>
      </c>
      <c r="AL76" s="15">
        <f t="shared" si="30"/>
        <v>0</v>
      </c>
      <c r="AM76" s="15">
        <f t="shared" si="30"/>
        <v>0</v>
      </c>
      <c r="AN76" s="15">
        <f t="shared" si="30"/>
        <v>0</v>
      </c>
      <c r="AO76" s="15">
        <f t="shared" si="30"/>
        <v>0</v>
      </c>
      <c r="AP76" s="15">
        <f t="shared" si="30"/>
        <v>0</v>
      </c>
      <c r="AQ76" s="15">
        <f t="shared" si="30"/>
        <v>0</v>
      </c>
      <c r="AR76" s="15">
        <f t="shared" si="30"/>
        <v>0</v>
      </c>
      <c r="AS76" s="15">
        <f t="shared" si="30"/>
        <v>0</v>
      </c>
      <c r="AT76" s="15">
        <f t="shared" si="30"/>
        <v>0</v>
      </c>
      <c r="AU76" s="15">
        <f t="shared" si="30"/>
        <v>0</v>
      </c>
      <c r="AV76" s="15">
        <f t="shared" si="30"/>
        <v>0</v>
      </c>
      <c r="AW76" s="15">
        <f t="shared" si="30"/>
        <v>0</v>
      </c>
      <c r="AX76" s="15">
        <f t="shared" si="17"/>
        <v>0</v>
      </c>
      <c r="BB76" s="52" t="str">
        <f t="shared" si="11"/>
        <v/>
      </c>
      <c r="BC76" s="36" t="str">
        <f t="shared" ref="BC76:BC102" si="38">IF(C76="","",$C$5&amp;"-"&amp;A76)</f>
        <v/>
      </c>
      <c r="BD76" s="36"/>
      <c r="BE76" s="36" t="str">
        <f t="shared" ref="BE76:BE102" si="39">IF(BC76="","",COUNTIF(BC:BC,BC76)*2)</f>
        <v/>
      </c>
      <c r="BF76" s="66" t="str">
        <f>IF(C76="","",IF($C$4="","",VLOOKUP($C$4,'Chart of Accounts'!$A:$B,2,FALSE)))</f>
        <v/>
      </c>
      <c r="BG76" s="55" t="str">
        <f>IF(C76="","",VLOOKUP(C:C,'Chart of Accounts'!$A:$B,2,FALSE))</f>
        <v/>
      </c>
      <c r="BH76" s="36" t="str">
        <f t="shared" si="12"/>
        <v/>
      </c>
      <c r="BI76" s="54">
        <f t="shared" si="13"/>
        <v>0</v>
      </c>
      <c r="BJ76" s="56">
        <f t="shared" si="14"/>
        <v>0</v>
      </c>
    </row>
    <row r="77" spans="1:62" x14ac:dyDescent="0.25">
      <c r="A77" s="1" t="s">
        <v>88</v>
      </c>
      <c r="B77" s="28"/>
      <c r="I77" s="5"/>
      <c r="J77" s="5"/>
      <c r="K77" s="30">
        <f t="shared" ref="K77:K102" si="40">K76+I77+J77</f>
        <v>10500</v>
      </c>
      <c r="L77" s="15"/>
      <c r="M77" s="7">
        <f t="shared" si="35"/>
        <v>0</v>
      </c>
      <c r="N77" s="15"/>
      <c r="O77" s="15">
        <f t="shared" ref="O77:O102" si="41">IF($C77=O$9,$I77+$J77,0)</f>
        <v>0</v>
      </c>
      <c r="P77" s="15"/>
      <c r="Q77" s="15">
        <f t="shared" si="31"/>
        <v>0</v>
      </c>
      <c r="R77" s="15">
        <f t="shared" si="31"/>
        <v>0</v>
      </c>
      <c r="T77" s="15">
        <f t="shared" si="36"/>
        <v>0</v>
      </c>
      <c r="U77" s="15"/>
      <c r="V77" s="15">
        <f t="shared" si="32"/>
        <v>0</v>
      </c>
      <c r="W77" s="15">
        <f t="shared" si="32"/>
        <v>0</v>
      </c>
      <c r="X77" s="15">
        <f t="shared" si="32"/>
        <v>0</v>
      </c>
      <c r="Y77" s="15"/>
      <c r="Z77" s="15">
        <f t="shared" si="33"/>
        <v>0</v>
      </c>
      <c r="AA77" s="15">
        <f t="shared" si="33"/>
        <v>0</v>
      </c>
      <c r="AB77" s="15"/>
      <c r="AC77" s="15">
        <f t="shared" si="37"/>
        <v>0</v>
      </c>
      <c r="AD77" s="15"/>
      <c r="AE77" s="15">
        <f t="shared" si="34"/>
        <v>0</v>
      </c>
      <c r="AF77" s="15">
        <f t="shared" si="34"/>
        <v>0</v>
      </c>
      <c r="AG77" s="15">
        <f t="shared" si="34"/>
        <v>0</v>
      </c>
      <c r="AH77" s="15"/>
      <c r="AI77" s="15">
        <f t="shared" ref="AI77:AW91" si="42">IF($C77=AI$9,$I77+$J77,0)</f>
        <v>0</v>
      </c>
      <c r="AJ77" s="15">
        <f t="shared" si="42"/>
        <v>0</v>
      </c>
      <c r="AK77" s="15">
        <f t="shared" si="42"/>
        <v>0</v>
      </c>
      <c r="AL77" s="15">
        <f t="shared" si="42"/>
        <v>0</v>
      </c>
      <c r="AM77" s="15">
        <f t="shared" si="42"/>
        <v>0</v>
      </c>
      <c r="AN77" s="15">
        <f t="shared" si="42"/>
        <v>0</v>
      </c>
      <c r="AO77" s="15">
        <f t="shared" si="42"/>
        <v>0</v>
      </c>
      <c r="AP77" s="15">
        <f t="shared" si="42"/>
        <v>0</v>
      </c>
      <c r="AQ77" s="15">
        <f t="shared" si="42"/>
        <v>0</v>
      </c>
      <c r="AR77" s="15">
        <f t="shared" si="42"/>
        <v>0</v>
      </c>
      <c r="AS77" s="15">
        <f t="shared" si="42"/>
        <v>0</v>
      </c>
      <c r="AT77" s="15">
        <f t="shared" si="42"/>
        <v>0</v>
      </c>
      <c r="AU77" s="15">
        <f t="shared" si="42"/>
        <v>0</v>
      </c>
      <c r="AV77" s="15">
        <f t="shared" si="42"/>
        <v>0</v>
      </c>
      <c r="AW77" s="15">
        <f t="shared" si="42"/>
        <v>0</v>
      </c>
      <c r="AX77" s="15">
        <f t="shared" si="17"/>
        <v>0</v>
      </c>
      <c r="BB77" s="52" t="str">
        <f t="shared" ref="BB77:BB102" si="43">IF(B77="","",B77)</f>
        <v/>
      </c>
      <c r="BC77" s="36" t="str">
        <f t="shared" si="38"/>
        <v/>
      </c>
      <c r="BD77" s="36"/>
      <c r="BE77" s="36" t="str">
        <f t="shared" si="39"/>
        <v/>
      </c>
      <c r="BF77" s="66" t="str">
        <f>IF(C77="","",IF($C$4="","",VLOOKUP($C$4,'Chart of Accounts'!$A:$B,2,FALSE)))</f>
        <v/>
      </c>
      <c r="BG77" s="55" t="str">
        <f>IF(C77="","",VLOOKUP(C:C,'Chart of Accounts'!$A:$B,2,FALSE))</f>
        <v/>
      </c>
      <c r="BH77" s="36" t="str">
        <f t="shared" ref="BH77:BH102" si="44">IF(C77="","",C77&amp;":"&amp;D77&amp;IF(E77="",""," - "&amp;E77)&amp;IF(F77="",""," - "&amp;F77)&amp;IF(G77="",""," - "&amp;TEXT(G77,"MMM-YY")))</f>
        <v/>
      </c>
      <c r="BI77" s="54">
        <f t="shared" ref="BI77:BI102" si="45">SUM(I77:J77)</f>
        <v>0</v>
      </c>
      <c r="BJ77" s="56">
        <f t="shared" ref="BJ77:BJ102" si="46">-SUM(I77:J77)</f>
        <v>0</v>
      </c>
    </row>
    <row r="78" spans="1:62" x14ac:dyDescent="0.25">
      <c r="A78" s="1" t="s">
        <v>89</v>
      </c>
      <c r="B78" s="28"/>
      <c r="I78" s="5"/>
      <c r="J78" s="5"/>
      <c r="K78" s="30">
        <f t="shared" si="40"/>
        <v>10500</v>
      </c>
      <c r="L78" s="15"/>
      <c r="M78" s="7">
        <f t="shared" si="35"/>
        <v>0</v>
      </c>
      <c r="N78" s="15"/>
      <c r="O78" s="15">
        <f t="shared" si="41"/>
        <v>0</v>
      </c>
      <c r="P78" s="15"/>
      <c r="Q78" s="15">
        <f t="shared" si="31"/>
        <v>0</v>
      </c>
      <c r="R78" s="15">
        <f t="shared" si="31"/>
        <v>0</v>
      </c>
      <c r="T78" s="15">
        <f t="shared" si="36"/>
        <v>0</v>
      </c>
      <c r="U78" s="15"/>
      <c r="V78" s="15">
        <f t="shared" si="32"/>
        <v>0</v>
      </c>
      <c r="W78" s="15">
        <f t="shared" si="32"/>
        <v>0</v>
      </c>
      <c r="X78" s="15">
        <f t="shared" si="32"/>
        <v>0</v>
      </c>
      <c r="Y78" s="15"/>
      <c r="Z78" s="15">
        <f t="shared" si="33"/>
        <v>0</v>
      </c>
      <c r="AA78" s="15">
        <f t="shared" si="33"/>
        <v>0</v>
      </c>
      <c r="AB78" s="15"/>
      <c r="AC78" s="15">
        <f t="shared" si="37"/>
        <v>0</v>
      </c>
      <c r="AD78" s="15"/>
      <c r="AE78" s="15">
        <f t="shared" si="34"/>
        <v>0</v>
      </c>
      <c r="AF78" s="15">
        <f t="shared" si="34"/>
        <v>0</v>
      </c>
      <c r="AG78" s="15">
        <f t="shared" si="34"/>
        <v>0</v>
      </c>
      <c r="AH78" s="15"/>
      <c r="AI78" s="15">
        <f t="shared" si="42"/>
        <v>0</v>
      </c>
      <c r="AJ78" s="15">
        <f t="shared" si="42"/>
        <v>0</v>
      </c>
      <c r="AK78" s="15">
        <f t="shared" si="42"/>
        <v>0</v>
      </c>
      <c r="AL78" s="15">
        <f t="shared" si="42"/>
        <v>0</v>
      </c>
      <c r="AM78" s="15">
        <f t="shared" si="42"/>
        <v>0</v>
      </c>
      <c r="AN78" s="15">
        <f t="shared" si="42"/>
        <v>0</v>
      </c>
      <c r="AO78" s="15">
        <f t="shared" si="42"/>
        <v>0</v>
      </c>
      <c r="AP78" s="15">
        <f t="shared" si="42"/>
        <v>0</v>
      </c>
      <c r="AQ78" s="15">
        <f t="shared" si="42"/>
        <v>0</v>
      </c>
      <c r="AR78" s="15">
        <f t="shared" si="42"/>
        <v>0</v>
      </c>
      <c r="AS78" s="15">
        <f t="shared" si="42"/>
        <v>0</v>
      </c>
      <c r="AT78" s="15">
        <f t="shared" si="42"/>
        <v>0</v>
      </c>
      <c r="AU78" s="15">
        <f t="shared" si="42"/>
        <v>0</v>
      </c>
      <c r="AV78" s="15">
        <f t="shared" si="42"/>
        <v>0</v>
      </c>
      <c r="AW78" s="15">
        <f t="shared" si="42"/>
        <v>0</v>
      </c>
      <c r="AX78" s="15">
        <f t="shared" si="17"/>
        <v>0</v>
      </c>
      <c r="BB78" s="52" t="str">
        <f t="shared" si="43"/>
        <v/>
      </c>
      <c r="BC78" s="36" t="str">
        <f t="shared" si="38"/>
        <v/>
      </c>
      <c r="BD78" s="36"/>
      <c r="BE78" s="36" t="str">
        <f t="shared" si="39"/>
        <v/>
      </c>
      <c r="BF78" s="66" t="str">
        <f>IF(C78="","",IF($C$4="","",VLOOKUP($C$4,'Chart of Accounts'!$A:$B,2,FALSE)))</f>
        <v/>
      </c>
      <c r="BG78" s="55" t="str">
        <f>IF(C78="","",VLOOKUP(C:C,'Chart of Accounts'!$A:$B,2,FALSE))</f>
        <v/>
      </c>
      <c r="BH78" s="36" t="str">
        <f t="shared" si="44"/>
        <v/>
      </c>
      <c r="BI78" s="54">
        <f t="shared" si="45"/>
        <v>0</v>
      </c>
      <c r="BJ78" s="56">
        <f t="shared" si="46"/>
        <v>0</v>
      </c>
    </row>
    <row r="79" spans="1:62" x14ac:dyDescent="0.25">
      <c r="A79" s="1" t="s">
        <v>90</v>
      </c>
      <c r="B79" s="28"/>
      <c r="I79" s="5"/>
      <c r="J79" s="5"/>
      <c r="K79" s="30">
        <f t="shared" si="40"/>
        <v>10500</v>
      </c>
      <c r="L79" s="15"/>
      <c r="M79" s="7">
        <f t="shared" si="35"/>
        <v>0</v>
      </c>
      <c r="N79" s="15"/>
      <c r="O79" s="15">
        <f t="shared" si="41"/>
        <v>0</v>
      </c>
      <c r="P79" s="15"/>
      <c r="Q79" s="15">
        <f t="shared" si="31"/>
        <v>0</v>
      </c>
      <c r="R79" s="15">
        <f t="shared" si="31"/>
        <v>0</v>
      </c>
      <c r="T79" s="15">
        <f t="shared" si="36"/>
        <v>0</v>
      </c>
      <c r="U79" s="15"/>
      <c r="V79" s="15">
        <f t="shared" si="32"/>
        <v>0</v>
      </c>
      <c r="W79" s="15">
        <f t="shared" si="32"/>
        <v>0</v>
      </c>
      <c r="X79" s="15">
        <f t="shared" si="32"/>
        <v>0</v>
      </c>
      <c r="Y79" s="15"/>
      <c r="Z79" s="15">
        <f t="shared" si="33"/>
        <v>0</v>
      </c>
      <c r="AA79" s="15">
        <f t="shared" si="33"/>
        <v>0</v>
      </c>
      <c r="AB79" s="15"/>
      <c r="AC79" s="15">
        <f t="shared" si="37"/>
        <v>0</v>
      </c>
      <c r="AD79" s="15"/>
      <c r="AE79" s="15">
        <f t="shared" si="34"/>
        <v>0</v>
      </c>
      <c r="AF79" s="15">
        <f t="shared" si="34"/>
        <v>0</v>
      </c>
      <c r="AG79" s="15">
        <f t="shared" si="34"/>
        <v>0</v>
      </c>
      <c r="AH79" s="15"/>
      <c r="AI79" s="15">
        <f t="shared" si="42"/>
        <v>0</v>
      </c>
      <c r="AJ79" s="15">
        <f t="shared" si="42"/>
        <v>0</v>
      </c>
      <c r="AK79" s="15">
        <f t="shared" si="42"/>
        <v>0</v>
      </c>
      <c r="AL79" s="15">
        <f t="shared" si="42"/>
        <v>0</v>
      </c>
      <c r="AM79" s="15">
        <f t="shared" si="42"/>
        <v>0</v>
      </c>
      <c r="AN79" s="15">
        <f t="shared" si="42"/>
        <v>0</v>
      </c>
      <c r="AO79" s="15">
        <f t="shared" si="42"/>
        <v>0</v>
      </c>
      <c r="AP79" s="15">
        <f t="shared" si="42"/>
        <v>0</v>
      </c>
      <c r="AQ79" s="15">
        <f t="shared" si="42"/>
        <v>0</v>
      </c>
      <c r="AR79" s="15">
        <f t="shared" si="42"/>
        <v>0</v>
      </c>
      <c r="AS79" s="15">
        <f t="shared" si="42"/>
        <v>0</v>
      </c>
      <c r="AT79" s="15">
        <f t="shared" si="42"/>
        <v>0</v>
      </c>
      <c r="AU79" s="15">
        <f t="shared" si="42"/>
        <v>0</v>
      </c>
      <c r="AV79" s="15">
        <f t="shared" si="42"/>
        <v>0</v>
      </c>
      <c r="AW79" s="15">
        <f t="shared" si="42"/>
        <v>0</v>
      </c>
      <c r="AX79" s="15">
        <f t="shared" si="17"/>
        <v>0</v>
      </c>
      <c r="BB79" s="52" t="str">
        <f t="shared" si="43"/>
        <v/>
      </c>
      <c r="BC79" s="36" t="str">
        <f t="shared" si="38"/>
        <v/>
      </c>
      <c r="BD79" s="36"/>
      <c r="BE79" s="36" t="str">
        <f t="shared" si="39"/>
        <v/>
      </c>
      <c r="BF79" s="66" t="str">
        <f>IF(C79="","",IF($C$4="","",VLOOKUP($C$4,'Chart of Accounts'!$A:$B,2,FALSE)))</f>
        <v/>
      </c>
      <c r="BG79" s="55" t="str">
        <f>IF(C79="","",VLOOKUP(C:C,'Chart of Accounts'!$A:$B,2,FALSE))</f>
        <v/>
      </c>
      <c r="BH79" s="36" t="str">
        <f t="shared" si="44"/>
        <v/>
      </c>
      <c r="BI79" s="54">
        <f t="shared" si="45"/>
        <v>0</v>
      </c>
      <c r="BJ79" s="56">
        <f t="shared" si="46"/>
        <v>0</v>
      </c>
    </row>
    <row r="80" spans="1:62" x14ac:dyDescent="0.25">
      <c r="A80" s="1" t="s">
        <v>91</v>
      </c>
      <c r="B80" s="28"/>
      <c r="I80" s="5"/>
      <c r="J80" s="5"/>
      <c r="K80" s="30">
        <f t="shared" si="40"/>
        <v>10500</v>
      </c>
      <c r="L80" s="15"/>
      <c r="M80" s="7">
        <f t="shared" si="35"/>
        <v>0</v>
      </c>
      <c r="N80" s="15"/>
      <c r="O80" s="15">
        <f t="shared" si="41"/>
        <v>0</v>
      </c>
      <c r="P80" s="15"/>
      <c r="Q80" s="15">
        <f t="shared" si="31"/>
        <v>0</v>
      </c>
      <c r="R80" s="15">
        <f t="shared" si="31"/>
        <v>0</v>
      </c>
      <c r="T80" s="15">
        <f t="shared" si="36"/>
        <v>0</v>
      </c>
      <c r="U80" s="15"/>
      <c r="V80" s="15">
        <f t="shared" si="32"/>
        <v>0</v>
      </c>
      <c r="W80" s="15">
        <f t="shared" si="32"/>
        <v>0</v>
      </c>
      <c r="X80" s="15">
        <f t="shared" si="32"/>
        <v>0</v>
      </c>
      <c r="Y80" s="15"/>
      <c r="Z80" s="15">
        <f t="shared" si="33"/>
        <v>0</v>
      </c>
      <c r="AA80" s="15">
        <f t="shared" si="33"/>
        <v>0</v>
      </c>
      <c r="AB80" s="15"/>
      <c r="AC80" s="15">
        <f t="shared" si="37"/>
        <v>0</v>
      </c>
      <c r="AD80" s="15"/>
      <c r="AE80" s="15">
        <f t="shared" si="34"/>
        <v>0</v>
      </c>
      <c r="AF80" s="15">
        <f t="shared" si="34"/>
        <v>0</v>
      </c>
      <c r="AG80" s="15">
        <f t="shared" si="34"/>
        <v>0</v>
      </c>
      <c r="AH80" s="15"/>
      <c r="AI80" s="15">
        <f t="shared" si="42"/>
        <v>0</v>
      </c>
      <c r="AJ80" s="15">
        <f t="shared" si="42"/>
        <v>0</v>
      </c>
      <c r="AK80" s="15">
        <f t="shared" si="42"/>
        <v>0</v>
      </c>
      <c r="AL80" s="15">
        <f t="shared" si="42"/>
        <v>0</v>
      </c>
      <c r="AM80" s="15">
        <f t="shared" si="42"/>
        <v>0</v>
      </c>
      <c r="AN80" s="15">
        <f t="shared" si="42"/>
        <v>0</v>
      </c>
      <c r="AO80" s="15">
        <f t="shared" si="42"/>
        <v>0</v>
      </c>
      <c r="AP80" s="15">
        <f t="shared" si="42"/>
        <v>0</v>
      </c>
      <c r="AQ80" s="15">
        <f t="shared" si="42"/>
        <v>0</v>
      </c>
      <c r="AR80" s="15">
        <f t="shared" si="42"/>
        <v>0</v>
      </c>
      <c r="AS80" s="15">
        <f t="shared" si="42"/>
        <v>0</v>
      </c>
      <c r="AT80" s="15">
        <f t="shared" si="42"/>
        <v>0</v>
      </c>
      <c r="AU80" s="15">
        <f t="shared" si="42"/>
        <v>0</v>
      </c>
      <c r="AV80" s="15">
        <f t="shared" si="42"/>
        <v>0</v>
      </c>
      <c r="AW80" s="15">
        <f t="shared" si="42"/>
        <v>0</v>
      </c>
      <c r="AX80" s="15">
        <f t="shared" si="17"/>
        <v>0</v>
      </c>
      <c r="BB80" s="52" t="str">
        <f t="shared" si="43"/>
        <v/>
      </c>
      <c r="BC80" s="36" t="str">
        <f t="shared" si="38"/>
        <v/>
      </c>
      <c r="BD80" s="36"/>
      <c r="BE80" s="36" t="str">
        <f t="shared" si="39"/>
        <v/>
      </c>
      <c r="BF80" s="66" t="str">
        <f>IF(C80="","",IF($C$4="","",VLOOKUP($C$4,'Chart of Accounts'!$A:$B,2,FALSE)))</f>
        <v/>
      </c>
      <c r="BG80" s="55" t="str">
        <f>IF(C80="","",VLOOKUP(C:C,'Chart of Accounts'!$A:$B,2,FALSE))</f>
        <v/>
      </c>
      <c r="BH80" s="36" t="str">
        <f t="shared" si="44"/>
        <v/>
      </c>
      <c r="BI80" s="54">
        <f t="shared" si="45"/>
        <v>0</v>
      </c>
      <c r="BJ80" s="56">
        <f t="shared" si="46"/>
        <v>0</v>
      </c>
    </row>
    <row r="81" spans="1:62" x14ac:dyDescent="0.25">
      <c r="A81" s="1" t="s">
        <v>92</v>
      </c>
      <c r="B81" s="28"/>
      <c r="I81" s="5"/>
      <c r="J81" s="5"/>
      <c r="K81" s="30">
        <f t="shared" si="40"/>
        <v>10500</v>
      </c>
      <c r="L81" s="15"/>
      <c r="M81" s="7">
        <f t="shared" si="35"/>
        <v>0</v>
      </c>
      <c r="N81" s="15"/>
      <c r="O81" s="15">
        <f t="shared" si="41"/>
        <v>0</v>
      </c>
      <c r="P81" s="15"/>
      <c r="Q81" s="15">
        <f t="shared" si="31"/>
        <v>0</v>
      </c>
      <c r="R81" s="15">
        <f t="shared" si="31"/>
        <v>0</v>
      </c>
      <c r="T81" s="15">
        <f t="shared" si="36"/>
        <v>0</v>
      </c>
      <c r="U81" s="15"/>
      <c r="V81" s="15">
        <f t="shared" si="32"/>
        <v>0</v>
      </c>
      <c r="W81" s="15">
        <f t="shared" si="32"/>
        <v>0</v>
      </c>
      <c r="X81" s="15">
        <f t="shared" si="32"/>
        <v>0</v>
      </c>
      <c r="Y81" s="15"/>
      <c r="Z81" s="15">
        <f t="shared" si="33"/>
        <v>0</v>
      </c>
      <c r="AA81" s="15">
        <f t="shared" si="33"/>
        <v>0</v>
      </c>
      <c r="AB81" s="15"/>
      <c r="AC81" s="15">
        <f t="shared" si="37"/>
        <v>0</v>
      </c>
      <c r="AD81" s="15"/>
      <c r="AE81" s="15">
        <f t="shared" si="34"/>
        <v>0</v>
      </c>
      <c r="AF81" s="15">
        <f t="shared" si="34"/>
        <v>0</v>
      </c>
      <c r="AG81" s="15">
        <f t="shared" si="34"/>
        <v>0</v>
      </c>
      <c r="AH81" s="15"/>
      <c r="AI81" s="15">
        <f t="shared" si="42"/>
        <v>0</v>
      </c>
      <c r="AJ81" s="15">
        <f t="shared" si="42"/>
        <v>0</v>
      </c>
      <c r="AK81" s="15">
        <f t="shared" si="42"/>
        <v>0</v>
      </c>
      <c r="AL81" s="15">
        <f t="shared" si="42"/>
        <v>0</v>
      </c>
      <c r="AM81" s="15">
        <f t="shared" si="42"/>
        <v>0</v>
      </c>
      <c r="AN81" s="15">
        <f t="shared" si="42"/>
        <v>0</v>
      </c>
      <c r="AO81" s="15">
        <f t="shared" si="42"/>
        <v>0</v>
      </c>
      <c r="AP81" s="15">
        <f t="shared" si="42"/>
        <v>0</v>
      </c>
      <c r="AQ81" s="15">
        <f t="shared" si="42"/>
        <v>0</v>
      </c>
      <c r="AR81" s="15">
        <f t="shared" si="42"/>
        <v>0</v>
      </c>
      <c r="AS81" s="15">
        <f t="shared" si="42"/>
        <v>0</v>
      </c>
      <c r="AT81" s="15">
        <f t="shared" si="42"/>
        <v>0</v>
      </c>
      <c r="AU81" s="15">
        <f t="shared" si="42"/>
        <v>0</v>
      </c>
      <c r="AV81" s="15">
        <f t="shared" si="42"/>
        <v>0</v>
      </c>
      <c r="AW81" s="15">
        <f t="shared" si="42"/>
        <v>0</v>
      </c>
      <c r="AX81" s="15">
        <f t="shared" si="17"/>
        <v>0</v>
      </c>
      <c r="BB81" s="52" t="str">
        <f t="shared" si="43"/>
        <v/>
      </c>
      <c r="BC81" s="36" t="str">
        <f t="shared" si="38"/>
        <v/>
      </c>
      <c r="BD81" s="36"/>
      <c r="BE81" s="36" t="str">
        <f t="shared" si="39"/>
        <v/>
      </c>
      <c r="BF81" s="66" t="str">
        <f>IF(C81="","",IF($C$4="","",VLOOKUP($C$4,'Chart of Accounts'!$A:$B,2,FALSE)))</f>
        <v/>
      </c>
      <c r="BG81" s="55" t="str">
        <f>IF(C81="","",VLOOKUP(C:C,'Chart of Accounts'!$A:$B,2,FALSE))</f>
        <v/>
      </c>
      <c r="BH81" s="36" t="str">
        <f t="shared" si="44"/>
        <v/>
      </c>
      <c r="BI81" s="54">
        <f t="shared" si="45"/>
        <v>0</v>
      </c>
      <c r="BJ81" s="56">
        <f t="shared" si="46"/>
        <v>0</v>
      </c>
    </row>
    <row r="82" spans="1:62" x14ac:dyDescent="0.25">
      <c r="A82" s="1" t="s">
        <v>93</v>
      </c>
      <c r="B82" s="28"/>
      <c r="I82" s="5"/>
      <c r="J82" s="5"/>
      <c r="K82" s="30">
        <f t="shared" si="40"/>
        <v>10500</v>
      </c>
      <c r="L82" s="15"/>
      <c r="M82" s="7">
        <f t="shared" si="35"/>
        <v>0</v>
      </c>
      <c r="N82" s="15"/>
      <c r="O82" s="15">
        <f t="shared" si="41"/>
        <v>0</v>
      </c>
      <c r="P82" s="15"/>
      <c r="Q82" s="15">
        <f t="shared" si="31"/>
        <v>0</v>
      </c>
      <c r="R82" s="15">
        <f t="shared" si="31"/>
        <v>0</v>
      </c>
      <c r="T82" s="15">
        <f t="shared" si="36"/>
        <v>0</v>
      </c>
      <c r="U82" s="15"/>
      <c r="V82" s="15">
        <f t="shared" si="32"/>
        <v>0</v>
      </c>
      <c r="W82" s="15">
        <f t="shared" si="32"/>
        <v>0</v>
      </c>
      <c r="X82" s="15">
        <f t="shared" si="32"/>
        <v>0</v>
      </c>
      <c r="Y82" s="15"/>
      <c r="Z82" s="15">
        <f t="shared" si="33"/>
        <v>0</v>
      </c>
      <c r="AA82" s="15">
        <f t="shared" si="33"/>
        <v>0</v>
      </c>
      <c r="AB82" s="15"/>
      <c r="AC82" s="15">
        <f t="shared" si="37"/>
        <v>0</v>
      </c>
      <c r="AD82" s="15"/>
      <c r="AE82" s="15">
        <f t="shared" si="34"/>
        <v>0</v>
      </c>
      <c r="AF82" s="15">
        <f t="shared" si="34"/>
        <v>0</v>
      </c>
      <c r="AG82" s="15">
        <f t="shared" si="34"/>
        <v>0</v>
      </c>
      <c r="AH82" s="15"/>
      <c r="AI82" s="15">
        <f t="shared" si="42"/>
        <v>0</v>
      </c>
      <c r="AJ82" s="15">
        <f t="shared" si="42"/>
        <v>0</v>
      </c>
      <c r="AK82" s="15">
        <f t="shared" si="42"/>
        <v>0</v>
      </c>
      <c r="AL82" s="15">
        <f t="shared" si="42"/>
        <v>0</v>
      </c>
      <c r="AM82" s="15">
        <f t="shared" si="42"/>
        <v>0</v>
      </c>
      <c r="AN82" s="15">
        <f t="shared" si="42"/>
        <v>0</v>
      </c>
      <c r="AO82" s="15">
        <f t="shared" si="42"/>
        <v>0</v>
      </c>
      <c r="AP82" s="15">
        <f t="shared" si="42"/>
        <v>0</v>
      </c>
      <c r="AQ82" s="15">
        <f t="shared" si="42"/>
        <v>0</v>
      </c>
      <c r="AR82" s="15">
        <f t="shared" si="42"/>
        <v>0</v>
      </c>
      <c r="AS82" s="15">
        <f t="shared" si="42"/>
        <v>0</v>
      </c>
      <c r="AT82" s="15">
        <f t="shared" si="42"/>
        <v>0</v>
      </c>
      <c r="AU82" s="15">
        <f t="shared" si="42"/>
        <v>0</v>
      </c>
      <c r="AV82" s="15">
        <f t="shared" si="42"/>
        <v>0</v>
      </c>
      <c r="AW82" s="15">
        <f t="shared" si="42"/>
        <v>0</v>
      </c>
      <c r="AX82" s="15">
        <f t="shared" si="17"/>
        <v>0</v>
      </c>
      <c r="BB82" s="52" t="str">
        <f t="shared" si="43"/>
        <v/>
      </c>
      <c r="BC82" s="36" t="str">
        <f t="shared" si="38"/>
        <v/>
      </c>
      <c r="BD82" s="36"/>
      <c r="BE82" s="36" t="str">
        <f t="shared" si="39"/>
        <v/>
      </c>
      <c r="BF82" s="66" t="str">
        <f>IF(C82="","",IF($C$4="","",VLOOKUP($C$4,'Chart of Accounts'!$A:$B,2,FALSE)))</f>
        <v/>
      </c>
      <c r="BG82" s="55" t="str">
        <f>IF(C82="","",VLOOKUP(C:C,'Chart of Accounts'!$A:$B,2,FALSE))</f>
        <v/>
      </c>
      <c r="BH82" s="36" t="str">
        <f t="shared" si="44"/>
        <v/>
      </c>
      <c r="BI82" s="54">
        <f t="shared" si="45"/>
        <v>0</v>
      </c>
      <c r="BJ82" s="56">
        <f t="shared" si="46"/>
        <v>0</v>
      </c>
    </row>
    <row r="83" spans="1:62" x14ac:dyDescent="0.25">
      <c r="A83" s="1" t="s">
        <v>94</v>
      </c>
      <c r="B83" s="28"/>
      <c r="I83" s="5"/>
      <c r="J83" s="5"/>
      <c r="K83" s="30">
        <f t="shared" si="40"/>
        <v>10500</v>
      </c>
      <c r="L83" s="15"/>
      <c r="M83" s="7">
        <f t="shared" si="35"/>
        <v>0</v>
      </c>
      <c r="N83" s="15"/>
      <c r="O83" s="15">
        <f t="shared" si="41"/>
        <v>0</v>
      </c>
      <c r="P83" s="15"/>
      <c r="Q83" s="15">
        <f t="shared" si="31"/>
        <v>0</v>
      </c>
      <c r="R83" s="15">
        <f t="shared" si="31"/>
        <v>0</v>
      </c>
      <c r="T83" s="15">
        <f t="shared" si="36"/>
        <v>0</v>
      </c>
      <c r="U83" s="15"/>
      <c r="V83" s="15">
        <f t="shared" si="32"/>
        <v>0</v>
      </c>
      <c r="W83" s="15">
        <f t="shared" si="32"/>
        <v>0</v>
      </c>
      <c r="X83" s="15">
        <f t="shared" si="32"/>
        <v>0</v>
      </c>
      <c r="Y83" s="15"/>
      <c r="Z83" s="15">
        <f t="shared" si="33"/>
        <v>0</v>
      </c>
      <c r="AA83" s="15">
        <f t="shared" si="33"/>
        <v>0</v>
      </c>
      <c r="AB83" s="15"/>
      <c r="AC83" s="15">
        <f t="shared" si="37"/>
        <v>0</v>
      </c>
      <c r="AD83" s="15"/>
      <c r="AE83" s="15">
        <f t="shared" si="34"/>
        <v>0</v>
      </c>
      <c r="AF83" s="15">
        <f t="shared" si="34"/>
        <v>0</v>
      </c>
      <c r="AG83" s="15">
        <f t="shared" si="34"/>
        <v>0</v>
      </c>
      <c r="AH83" s="15"/>
      <c r="AI83" s="15">
        <f t="shared" si="42"/>
        <v>0</v>
      </c>
      <c r="AJ83" s="15">
        <f t="shared" si="42"/>
        <v>0</v>
      </c>
      <c r="AK83" s="15">
        <f t="shared" si="42"/>
        <v>0</v>
      </c>
      <c r="AL83" s="15">
        <f t="shared" si="42"/>
        <v>0</v>
      </c>
      <c r="AM83" s="15">
        <f t="shared" si="42"/>
        <v>0</v>
      </c>
      <c r="AN83" s="15">
        <f t="shared" si="42"/>
        <v>0</v>
      </c>
      <c r="AO83" s="15">
        <f t="shared" si="42"/>
        <v>0</v>
      </c>
      <c r="AP83" s="15">
        <f t="shared" si="42"/>
        <v>0</v>
      </c>
      <c r="AQ83" s="15">
        <f t="shared" si="42"/>
        <v>0</v>
      </c>
      <c r="AR83" s="15">
        <f t="shared" si="42"/>
        <v>0</v>
      </c>
      <c r="AS83" s="15">
        <f t="shared" si="42"/>
        <v>0</v>
      </c>
      <c r="AT83" s="15">
        <f t="shared" si="42"/>
        <v>0</v>
      </c>
      <c r="AU83" s="15">
        <f t="shared" si="42"/>
        <v>0</v>
      </c>
      <c r="AV83" s="15">
        <f t="shared" si="42"/>
        <v>0</v>
      </c>
      <c r="AW83" s="15">
        <f t="shared" si="42"/>
        <v>0</v>
      </c>
      <c r="AX83" s="15">
        <f t="shared" si="17"/>
        <v>0</v>
      </c>
      <c r="BB83" s="52" t="str">
        <f t="shared" si="43"/>
        <v/>
      </c>
      <c r="BC83" s="36" t="str">
        <f t="shared" si="38"/>
        <v/>
      </c>
      <c r="BD83" s="36"/>
      <c r="BE83" s="36" t="str">
        <f t="shared" si="39"/>
        <v/>
      </c>
      <c r="BF83" s="66" t="str">
        <f>IF(C83="","",IF($C$4="","",VLOOKUP($C$4,'Chart of Accounts'!$A:$B,2,FALSE)))</f>
        <v/>
      </c>
      <c r="BG83" s="55" t="str">
        <f>IF(C83="","",VLOOKUP(C:C,'Chart of Accounts'!$A:$B,2,FALSE))</f>
        <v/>
      </c>
      <c r="BH83" s="36" t="str">
        <f t="shared" si="44"/>
        <v/>
      </c>
      <c r="BI83" s="54">
        <f t="shared" si="45"/>
        <v>0</v>
      </c>
      <c r="BJ83" s="56">
        <f t="shared" si="46"/>
        <v>0</v>
      </c>
    </row>
    <row r="84" spans="1:62" x14ac:dyDescent="0.25">
      <c r="A84" s="1" t="s">
        <v>95</v>
      </c>
      <c r="B84" s="28"/>
      <c r="I84" s="5"/>
      <c r="J84" s="5"/>
      <c r="K84" s="30">
        <f t="shared" si="40"/>
        <v>10500</v>
      </c>
      <c r="L84" s="15"/>
      <c r="M84" s="7">
        <f t="shared" si="35"/>
        <v>0</v>
      </c>
      <c r="N84" s="15"/>
      <c r="O84" s="15">
        <f t="shared" si="41"/>
        <v>0</v>
      </c>
      <c r="P84" s="15"/>
      <c r="Q84" s="15">
        <f t="shared" si="31"/>
        <v>0</v>
      </c>
      <c r="R84" s="15">
        <f t="shared" si="31"/>
        <v>0</v>
      </c>
      <c r="T84" s="15">
        <f t="shared" si="36"/>
        <v>0</v>
      </c>
      <c r="U84" s="15"/>
      <c r="V84" s="15">
        <f t="shared" si="32"/>
        <v>0</v>
      </c>
      <c r="W84" s="15">
        <f t="shared" si="32"/>
        <v>0</v>
      </c>
      <c r="X84" s="15">
        <f t="shared" si="32"/>
        <v>0</v>
      </c>
      <c r="Y84" s="15"/>
      <c r="Z84" s="15">
        <f t="shared" si="33"/>
        <v>0</v>
      </c>
      <c r="AA84" s="15">
        <f t="shared" si="33"/>
        <v>0</v>
      </c>
      <c r="AB84" s="15"/>
      <c r="AC84" s="15">
        <f t="shared" si="37"/>
        <v>0</v>
      </c>
      <c r="AD84" s="15"/>
      <c r="AE84" s="15">
        <f t="shared" si="34"/>
        <v>0</v>
      </c>
      <c r="AF84" s="15">
        <f t="shared" si="34"/>
        <v>0</v>
      </c>
      <c r="AG84" s="15">
        <f t="shared" si="34"/>
        <v>0</v>
      </c>
      <c r="AH84" s="15"/>
      <c r="AI84" s="15">
        <f t="shared" si="42"/>
        <v>0</v>
      </c>
      <c r="AJ84" s="15">
        <f t="shared" si="42"/>
        <v>0</v>
      </c>
      <c r="AK84" s="15">
        <f t="shared" si="42"/>
        <v>0</v>
      </c>
      <c r="AL84" s="15">
        <f t="shared" si="42"/>
        <v>0</v>
      </c>
      <c r="AM84" s="15">
        <f t="shared" si="42"/>
        <v>0</v>
      </c>
      <c r="AN84" s="15">
        <f t="shared" si="42"/>
        <v>0</v>
      </c>
      <c r="AO84" s="15">
        <f t="shared" si="42"/>
        <v>0</v>
      </c>
      <c r="AP84" s="15">
        <f t="shared" si="42"/>
        <v>0</v>
      </c>
      <c r="AQ84" s="15">
        <f t="shared" si="42"/>
        <v>0</v>
      </c>
      <c r="AR84" s="15">
        <f t="shared" si="42"/>
        <v>0</v>
      </c>
      <c r="AS84" s="15">
        <f t="shared" si="42"/>
        <v>0</v>
      </c>
      <c r="AT84" s="15">
        <f t="shared" si="42"/>
        <v>0</v>
      </c>
      <c r="AU84" s="15">
        <f t="shared" si="42"/>
        <v>0</v>
      </c>
      <c r="AV84" s="15">
        <f t="shared" si="42"/>
        <v>0</v>
      </c>
      <c r="AW84" s="15">
        <f t="shared" si="42"/>
        <v>0</v>
      </c>
      <c r="AX84" s="15">
        <f t="shared" si="17"/>
        <v>0</v>
      </c>
      <c r="BB84" s="52" t="str">
        <f t="shared" si="43"/>
        <v/>
      </c>
      <c r="BC84" s="36" t="str">
        <f t="shared" si="38"/>
        <v/>
      </c>
      <c r="BD84" s="36"/>
      <c r="BE84" s="36" t="str">
        <f t="shared" si="39"/>
        <v/>
      </c>
      <c r="BF84" s="66" t="str">
        <f>IF(C84="","",IF($C$4="","",VLOOKUP($C$4,'Chart of Accounts'!$A:$B,2,FALSE)))</f>
        <v/>
      </c>
      <c r="BG84" s="55" t="str">
        <f>IF(C84="","",VLOOKUP(C:C,'Chart of Accounts'!$A:$B,2,FALSE))</f>
        <v/>
      </c>
      <c r="BH84" s="36" t="str">
        <f t="shared" si="44"/>
        <v/>
      </c>
      <c r="BI84" s="54">
        <f t="shared" si="45"/>
        <v>0</v>
      </c>
      <c r="BJ84" s="56">
        <f t="shared" si="46"/>
        <v>0</v>
      </c>
    </row>
    <row r="85" spans="1:62" x14ac:dyDescent="0.25">
      <c r="A85" s="1" t="s">
        <v>96</v>
      </c>
      <c r="B85" s="28"/>
      <c r="I85" s="5"/>
      <c r="J85" s="5"/>
      <c r="K85" s="30">
        <f t="shared" si="40"/>
        <v>10500</v>
      </c>
      <c r="L85" s="15"/>
      <c r="M85" s="7">
        <f t="shared" si="35"/>
        <v>0</v>
      </c>
      <c r="N85" s="15"/>
      <c r="O85" s="15">
        <f t="shared" si="41"/>
        <v>0</v>
      </c>
      <c r="P85" s="15"/>
      <c r="Q85" s="15">
        <f t="shared" si="31"/>
        <v>0</v>
      </c>
      <c r="R85" s="15">
        <f t="shared" si="31"/>
        <v>0</v>
      </c>
      <c r="T85" s="15">
        <f t="shared" si="36"/>
        <v>0</v>
      </c>
      <c r="U85" s="15"/>
      <c r="V85" s="15">
        <f t="shared" si="32"/>
        <v>0</v>
      </c>
      <c r="W85" s="15">
        <f t="shared" si="32"/>
        <v>0</v>
      </c>
      <c r="X85" s="15">
        <f t="shared" si="32"/>
        <v>0</v>
      </c>
      <c r="Y85" s="15"/>
      <c r="Z85" s="15">
        <f t="shared" si="33"/>
        <v>0</v>
      </c>
      <c r="AA85" s="15">
        <f t="shared" si="33"/>
        <v>0</v>
      </c>
      <c r="AB85" s="15"/>
      <c r="AC85" s="15">
        <f t="shared" si="37"/>
        <v>0</v>
      </c>
      <c r="AD85" s="15"/>
      <c r="AE85" s="15">
        <f t="shared" si="34"/>
        <v>0</v>
      </c>
      <c r="AF85" s="15">
        <f t="shared" si="34"/>
        <v>0</v>
      </c>
      <c r="AG85" s="15">
        <f t="shared" si="34"/>
        <v>0</v>
      </c>
      <c r="AH85" s="15"/>
      <c r="AI85" s="15">
        <f t="shared" si="42"/>
        <v>0</v>
      </c>
      <c r="AJ85" s="15">
        <f t="shared" si="42"/>
        <v>0</v>
      </c>
      <c r="AK85" s="15">
        <f t="shared" si="42"/>
        <v>0</v>
      </c>
      <c r="AL85" s="15">
        <f t="shared" si="42"/>
        <v>0</v>
      </c>
      <c r="AM85" s="15">
        <f t="shared" si="42"/>
        <v>0</v>
      </c>
      <c r="AN85" s="15">
        <f t="shared" si="42"/>
        <v>0</v>
      </c>
      <c r="AO85" s="15">
        <f t="shared" si="42"/>
        <v>0</v>
      </c>
      <c r="AP85" s="15">
        <f t="shared" si="42"/>
        <v>0</v>
      </c>
      <c r="AQ85" s="15">
        <f t="shared" si="42"/>
        <v>0</v>
      </c>
      <c r="AR85" s="15">
        <f t="shared" si="42"/>
        <v>0</v>
      </c>
      <c r="AS85" s="15">
        <f t="shared" si="42"/>
        <v>0</v>
      </c>
      <c r="AT85" s="15">
        <f t="shared" si="42"/>
        <v>0</v>
      </c>
      <c r="AU85" s="15">
        <f t="shared" si="42"/>
        <v>0</v>
      </c>
      <c r="AV85" s="15">
        <f t="shared" si="42"/>
        <v>0</v>
      </c>
      <c r="AW85" s="15">
        <f t="shared" si="42"/>
        <v>0</v>
      </c>
      <c r="AX85" s="15">
        <f t="shared" si="17"/>
        <v>0</v>
      </c>
      <c r="BB85" s="52" t="str">
        <f t="shared" si="43"/>
        <v/>
      </c>
      <c r="BC85" s="36" t="str">
        <f t="shared" si="38"/>
        <v/>
      </c>
      <c r="BD85" s="36"/>
      <c r="BE85" s="36" t="str">
        <f t="shared" si="39"/>
        <v/>
      </c>
      <c r="BF85" s="66" t="str">
        <f>IF(C85="","",IF($C$4="","",VLOOKUP($C$4,'Chart of Accounts'!$A:$B,2,FALSE)))</f>
        <v/>
      </c>
      <c r="BG85" s="55" t="str">
        <f>IF(C85="","",VLOOKUP(C:C,'Chart of Accounts'!$A:$B,2,FALSE))</f>
        <v/>
      </c>
      <c r="BH85" s="36" t="str">
        <f t="shared" si="44"/>
        <v/>
      </c>
      <c r="BI85" s="54">
        <f t="shared" si="45"/>
        <v>0</v>
      </c>
      <c r="BJ85" s="56">
        <f t="shared" si="46"/>
        <v>0</v>
      </c>
    </row>
    <row r="86" spans="1:62" x14ac:dyDescent="0.25">
      <c r="A86" s="1" t="s">
        <v>97</v>
      </c>
      <c r="B86" s="28"/>
      <c r="I86" s="5"/>
      <c r="J86" s="5"/>
      <c r="K86" s="30">
        <f t="shared" si="40"/>
        <v>10500</v>
      </c>
      <c r="L86" s="15"/>
      <c r="M86" s="7">
        <f t="shared" si="35"/>
        <v>0</v>
      </c>
      <c r="N86" s="15"/>
      <c r="O86" s="15">
        <f t="shared" si="41"/>
        <v>0</v>
      </c>
      <c r="P86" s="15"/>
      <c r="Q86" s="15">
        <f t="shared" si="31"/>
        <v>0</v>
      </c>
      <c r="R86" s="15">
        <f t="shared" si="31"/>
        <v>0</v>
      </c>
      <c r="T86" s="15">
        <f t="shared" si="36"/>
        <v>0</v>
      </c>
      <c r="U86" s="15"/>
      <c r="V86" s="15">
        <f t="shared" si="32"/>
        <v>0</v>
      </c>
      <c r="W86" s="15">
        <f t="shared" si="32"/>
        <v>0</v>
      </c>
      <c r="X86" s="15">
        <f t="shared" si="32"/>
        <v>0</v>
      </c>
      <c r="Y86" s="15"/>
      <c r="Z86" s="15">
        <f t="shared" si="33"/>
        <v>0</v>
      </c>
      <c r="AA86" s="15">
        <f t="shared" si="33"/>
        <v>0</v>
      </c>
      <c r="AB86" s="15"/>
      <c r="AC86" s="15">
        <f t="shared" si="37"/>
        <v>0</v>
      </c>
      <c r="AD86" s="15"/>
      <c r="AE86" s="15">
        <f t="shared" si="34"/>
        <v>0</v>
      </c>
      <c r="AF86" s="15">
        <f t="shared" si="34"/>
        <v>0</v>
      </c>
      <c r="AG86" s="15">
        <f t="shared" si="34"/>
        <v>0</v>
      </c>
      <c r="AH86" s="15"/>
      <c r="AI86" s="15">
        <f t="shared" si="42"/>
        <v>0</v>
      </c>
      <c r="AJ86" s="15">
        <f t="shared" si="42"/>
        <v>0</v>
      </c>
      <c r="AK86" s="15">
        <f t="shared" si="42"/>
        <v>0</v>
      </c>
      <c r="AL86" s="15">
        <f t="shared" si="42"/>
        <v>0</v>
      </c>
      <c r="AM86" s="15">
        <f t="shared" si="42"/>
        <v>0</v>
      </c>
      <c r="AN86" s="15">
        <f t="shared" si="42"/>
        <v>0</v>
      </c>
      <c r="AO86" s="15">
        <f t="shared" si="42"/>
        <v>0</v>
      </c>
      <c r="AP86" s="15">
        <f t="shared" si="42"/>
        <v>0</v>
      </c>
      <c r="AQ86" s="15">
        <f t="shared" si="42"/>
        <v>0</v>
      </c>
      <c r="AR86" s="15">
        <f t="shared" si="42"/>
        <v>0</v>
      </c>
      <c r="AS86" s="15">
        <f t="shared" si="42"/>
        <v>0</v>
      </c>
      <c r="AT86" s="15">
        <f t="shared" si="42"/>
        <v>0</v>
      </c>
      <c r="AU86" s="15">
        <f t="shared" si="42"/>
        <v>0</v>
      </c>
      <c r="AV86" s="15">
        <f t="shared" si="42"/>
        <v>0</v>
      </c>
      <c r="AW86" s="15">
        <f t="shared" si="42"/>
        <v>0</v>
      </c>
      <c r="AX86" s="15">
        <f t="shared" si="17"/>
        <v>0</v>
      </c>
      <c r="BB86" s="52" t="str">
        <f t="shared" si="43"/>
        <v/>
      </c>
      <c r="BC86" s="36" t="str">
        <f t="shared" si="38"/>
        <v/>
      </c>
      <c r="BD86" s="36"/>
      <c r="BE86" s="36" t="str">
        <f t="shared" si="39"/>
        <v/>
      </c>
      <c r="BF86" s="66" t="str">
        <f>IF(C86="","",IF($C$4="","",VLOOKUP($C$4,'Chart of Accounts'!$A:$B,2,FALSE)))</f>
        <v/>
      </c>
      <c r="BG86" s="55" t="str">
        <f>IF(C86="","",VLOOKUP(C:C,'Chart of Accounts'!$A:$B,2,FALSE))</f>
        <v/>
      </c>
      <c r="BH86" s="36" t="str">
        <f t="shared" si="44"/>
        <v/>
      </c>
      <c r="BI86" s="54">
        <f t="shared" si="45"/>
        <v>0</v>
      </c>
      <c r="BJ86" s="56">
        <f t="shared" si="46"/>
        <v>0</v>
      </c>
    </row>
    <row r="87" spans="1:62" x14ac:dyDescent="0.25">
      <c r="A87" s="1" t="s">
        <v>98</v>
      </c>
      <c r="B87" s="28"/>
      <c r="I87" s="5"/>
      <c r="J87" s="5"/>
      <c r="K87" s="30">
        <f t="shared" si="40"/>
        <v>10500</v>
      </c>
      <c r="L87" s="15"/>
      <c r="M87" s="7">
        <f t="shared" si="35"/>
        <v>0</v>
      </c>
      <c r="N87" s="15"/>
      <c r="O87" s="15">
        <f t="shared" si="41"/>
        <v>0</v>
      </c>
      <c r="P87" s="15"/>
      <c r="Q87" s="15">
        <f t="shared" si="31"/>
        <v>0</v>
      </c>
      <c r="R87" s="15">
        <f t="shared" si="31"/>
        <v>0</v>
      </c>
      <c r="T87" s="15">
        <f t="shared" si="36"/>
        <v>0</v>
      </c>
      <c r="U87" s="15"/>
      <c r="V87" s="15">
        <f t="shared" si="32"/>
        <v>0</v>
      </c>
      <c r="W87" s="15">
        <f t="shared" si="32"/>
        <v>0</v>
      </c>
      <c r="X87" s="15">
        <f t="shared" si="32"/>
        <v>0</v>
      </c>
      <c r="Y87" s="15"/>
      <c r="Z87" s="15">
        <f t="shared" si="33"/>
        <v>0</v>
      </c>
      <c r="AA87" s="15">
        <f t="shared" si="33"/>
        <v>0</v>
      </c>
      <c r="AB87" s="15"/>
      <c r="AC87" s="15">
        <f t="shared" si="37"/>
        <v>0</v>
      </c>
      <c r="AD87" s="15"/>
      <c r="AE87" s="15">
        <f t="shared" si="34"/>
        <v>0</v>
      </c>
      <c r="AF87" s="15">
        <f t="shared" si="34"/>
        <v>0</v>
      </c>
      <c r="AG87" s="15">
        <f t="shared" si="34"/>
        <v>0</v>
      </c>
      <c r="AH87" s="15"/>
      <c r="AI87" s="15">
        <f t="shared" si="42"/>
        <v>0</v>
      </c>
      <c r="AJ87" s="15">
        <f t="shared" si="42"/>
        <v>0</v>
      </c>
      <c r="AK87" s="15">
        <f t="shared" si="42"/>
        <v>0</v>
      </c>
      <c r="AL87" s="15">
        <f t="shared" si="42"/>
        <v>0</v>
      </c>
      <c r="AM87" s="15">
        <f t="shared" si="42"/>
        <v>0</v>
      </c>
      <c r="AN87" s="15">
        <f t="shared" si="42"/>
        <v>0</v>
      </c>
      <c r="AO87" s="15">
        <f t="shared" si="42"/>
        <v>0</v>
      </c>
      <c r="AP87" s="15">
        <f t="shared" si="42"/>
        <v>0</v>
      </c>
      <c r="AQ87" s="15">
        <f t="shared" si="42"/>
        <v>0</v>
      </c>
      <c r="AR87" s="15">
        <f t="shared" si="42"/>
        <v>0</v>
      </c>
      <c r="AS87" s="15">
        <f t="shared" si="42"/>
        <v>0</v>
      </c>
      <c r="AT87" s="15">
        <f t="shared" si="42"/>
        <v>0</v>
      </c>
      <c r="AU87" s="15">
        <f t="shared" si="42"/>
        <v>0</v>
      </c>
      <c r="AV87" s="15">
        <f t="shared" si="42"/>
        <v>0</v>
      </c>
      <c r="AW87" s="15">
        <f t="shared" si="42"/>
        <v>0</v>
      </c>
      <c r="AX87" s="15">
        <f t="shared" si="17"/>
        <v>0</v>
      </c>
      <c r="BB87" s="52" t="str">
        <f t="shared" si="43"/>
        <v/>
      </c>
      <c r="BC87" s="36" t="str">
        <f t="shared" si="38"/>
        <v/>
      </c>
      <c r="BD87" s="36"/>
      <c r="BE87" s="36" t="str">
        <f t="shared" si="39"/>
        <v/>
      </c>
      <c r="BF87" s="66" t="str">
        <f>IF(C87="","",IF($C$4="","",VLOOKUP($C$4,'Chart of Accounts'!$A:$B,2,FALSE)))</f>
        <v/>
      </c>
      <c r="BG87" s="55" t="str">
        <f>IF(C87="","",VLOOKUP(C:C,'Chart of Accounts'!$A:$B,2,FALSE))</f>
        <v/>
      </c>
      <c r="BH87" s="36" t="str">
        <f t="shared" si="44"/>
        <v/>
      </c>
      <c r="BI87" s="54">
        <f t="shared" si="45"/>
        <v>0</v>
      </c>
      <c r="BJ87" s="56">
        <f t="shared" si="46"/>
        <v>0</v>
      </c>
    </row>
    <row r="88" spans="1:62" x14ac:dyDescent="0.25">
      <c r="A88" s="1" t="s">
        <v>99</v>
      </c>
      <c r="B88" s="28"/>
      <c r="I88" s="5"/>
      <c r="J88" s="5"/>
      <c r="K88" s="30">
        <f t="shared" si="40"/>
        <v>10500</v>
      </c>
      <c r="L88" s="15"/>
      <c r="M88" s="7">
        <f t="shared" si="35"/>
        <v>0</v>
      </c>
      <c r="N88" s="15"/>
      <c r="O88" s="15">
        <f t="shared" si="41"/>
        <v>0</v>
      </c>
      <c r="P88" s="15"/>
      <c r="Q88" s="15">
        <f t="shared" si="31"/>
        <v>0</v>
      </c>
      <c r="R88" s="15">
        <f t="shared" si="31"/>
        <v>0</v>
      </c>
      <c r="T88" s="15">
        <f t="shared" si="36"/>
        <v>0</v>
      </c>
      <c r="U88" s="15"/>
      <c r="V88" s="15">
        <f t="shared" si="32"/>
        <v>0</v>
      </c>
      <c r="W88" s="15">
        <f t="shared" si="32"/>
        <v>0</v>
      </c>
      <c r="X88" s="15">
        <f t="shared" si="32"/>
        <v>0</v>
      </c>
      <c r="Y88" s="15"/>
      <c r="Z88" s="15">
        <f t="shared" si="33"/>
        <v>0</v>
      </c>
      <c r="AA88" s="15">
        <f t="shared" si="33"/>
        <v>0</v>
      </c>
      <c r="AB88" s="15"/>
      <c r="AC88" s="15">
        <f t="shared" si="37"/>
        <v>0</v>
      </c>
      <c r="AD88" s="15"/>
      <c r="AE88" s="15">
        <f t="shared" si="34"/>
        <v>0</v>
      </c>
      <c r="AF88" s="15">
        <f t="shared" si="34"/>
        <v>0</v>
      </c>
      <c r="AG88" s="15">
        <f t="shared" si="34"/>
        <v>0</v>
      </c>
      <c r="AH88" s="15"/>
      <c r="AI88" s="15">
        <f t="shared" si="42"/>
        <v>0</v>
      </c>
      <c r="AJ88" s="15">
        <f t="shared" si="42"/>
        <v>0</v>
      </c>
      <c r="AK88" s="15">
        <f t="shared" si="42"/>
        <v>0</v>
      </c>
      <c r="AL88" s="15">
        <f t="shared" si="42"/>
        <v>0</v>
      </c>
      <c r="AM88" s="15">
        <f t="shared" si="42"/>
        <v>0</v>
      </c>
      <c r="AN88" s="15">
        <f t="shared" si="42"/>
        <v>0</v>
      </c>
      <c r="AO88" s="15">
        <f t="shared" si="42"/>
        <v>0</v>
      </c>
      <c r="AP88" s="15">
        <f t="shared" si="42"/>
        <v>0</v>
      </c>
      <c r="AQ88" s="15">
        <f t="shared" si="42"/>
        <v>0</v>
      </c>
      <c r="AR88" s="15">
        <f t="shared" si="42"/>
        <v>0</v>
      </c>
      <c r="AS88" s="15">
        <f t="shared" si="42"/>
        <v>0</v>
      </c>
      <c r="AT88" s="15">
        <f t="shared" si="42"/>
        <v>0</v>
      </c>
      <c r="AU88" s="15">
        <f t="shared" si="42"/>
        <v>0</v>
      </c>
      <c r="AV88" s="15">
        <f t="shared" si="42"/>
        <v>0</v>
      </c>
      <c r="AW88" s="15">
        <f t="shared" si="42"/>
        <v>0</v>
      </c>
      <c r="AX88" s="15">
        <f t="shared" si="17"/>
        <v>0</v>
      </c>
      <c r="BB88" s="52" t="str">
        <f t="shared" si="43"/>
        <v/>
      </c>
      <c r="BC88" s="36" t="str">
        <f t="shared" si="38"/>
        <v/>
      </c>
      <c r="BD88" s="36"/>
      <c r="BE88" s="36" t="str">
        <f t="shared" si="39"/>
        <v/>
      </c>
      <c r="BF88" s="66" t="str">
        <f>IF(C88="","",IF($C$4="","",VLOOKUP($C$4,'Chart of Accounts'!$A:$B,2,FALSE)))</f>
        <v/>
      </c>
      <c r="BG88" s="55" t="str">
        <f>IF(C88="","",VLOOKUP(C:C,'Chart of Accounts'!$A:$B,2,FALSE))</f>
        <v/>
      </c>
      <c r="BH88" s="36" t="str">
        <f t="shared" si="44"/>
        <v/>
      </c>
      <c r="BI88" s="54">
        <f t="shared" si="45"/>
        <v>0</v>
      </c>
      <c r="BJ88" s="56">
        <f t="shared" si="46"/>
        <v>0</v>
      </c>
    </row>
    <row r="89" spans="1:62" x14ac:dyDescent="0.25">
      <c r="A89" s="1" t="s">
        <v>100</v>
      </c>
      <c r="B89" s="28"/>
      <c r="I89" s="5"/>
      <c r="J89" s="5"/>
      <c r="K89" s="30">
        <f t="shared" si="40"/>
        <v>10500</v>
      </c>
      <c r="L89" s="15"/>
      <c r="M89" s="7">
        <f t="shared" si="35"/>
        <v>0</v>
      </c>
      <c r="N89" s="15"/>
      <c r="O89" s="15">
        <f t="shared" si="41"/>
        <v>0</v>
      </c>
      <c r="P89" s="15"/>
      <c r="Q89" s="15">
        <f t="shared" si="31"/>
        <v>0</v>
      </c>
      <c r="R89" s="15">
        <f t="shared" si="31"/>
        <v>0</v>
      </c>
      <c r="T89" s="15">
        <f t="shared" si="36"/>
        <v>0</v>
      </c>
      <c r="U89" s="15"/>
      <c r="V89" s="15">
        <f t="shared" si="32"/>
        <v>0</v>
      </c>
      <c r="W89" s="15">
        <f t="shared" si="32"/>
        <v>0</v>
      </c>
      <c r="X89" s="15">
        <f t="shared" si="32"/>
        <v>0</v>
      </c>
      <c r="Y89" s="15"/>
      <c r="Z89" s="15">
        <f t="shared" si="33"/>
        <v>0</v>
      </c>
      <c r="AA89" s="15">
        <f t="shared" si="33"/>
        <v>0</v>
      </c>
      <c r="AB89" s="15"/>
      <c r="AC89" s="15">
        <f t="shared" si="37"/>
        <v>0</v>
      </c>
      <c r="AD89" s="15"/>
      <c r="AE89" s="15">
        <f t="shared" si="34"/>
        <v>0</v>
      </c>
      <c r="AF89" s="15">
        <f t="shared" si="34"/>
        <v>0</v>
      </c>
      <c r="AG89" s="15">
        <f t="shared" si="34"/>
        <v>0</v>
      </c>
      <c r="AH89" s="15"/>
      <c r="AI89" s="15">
        <f t="shared" si="42"/>
        <v>0</v>
      </c>
      <c r="AJ89" s="15">
        <f t="shared" si="42"/>
        <v>0</v>
      </c>
      <c r="AK89" s="15">
        <f t="shared" si="42"/>
        <v>0</v>
      </c>
      <c r="AL89" s="15">
        <f t="shared" si="42"/>
        <v>0</v>
      </c>
      <c r="AM89" s="15">
        <f t="shared" si="42"/>
        <v>0</v>
      </c>
      <c r="AN89" s="15">
        <f t="shared" si="42"/>
        <v>0</v>
      </c>
      <c r="AO89" s="15">
        <f t="shared" si="42"/>
        <v>0</v>
      </c>
      <c r="AP89" s="15">
        <f t="shared" si="42"/>
        <v>0</v>
      </c>
      <c r="AQ89" s="15">
        <f t="shared" si="42"/>
        <v>0</v>
      </c>
      <c r="AR89" s="15">
        <f t="shared" si="42"/>
        <v>0</v>
      </c>
      <c r="AS89" s="15">
        <f t="shared" si="42"/>
        <v>0</v>
      </c>
      <c r="AT89" s="15">
        <f t="shared" si="42"/>
        <v>0</v>
      </c>
      <c r="AU89" s="15">
        <f t="shared" si="42"/>
        <v>0</v>
      </c>
      <c r="AV89" s="15">
        <f t="shared" si="42"/>
        <v>0</v>
      </c>
      <c r="AW89" s="15">
        <f t="shared" si="42"/>
        <v>0</v>
      </c>
      <c r="AX89" s="15">
        <f t="shared" si="17"/>
        <v>0</v>
      </c>
      <c r="BB89" s="52" t="str">
        <f t="shared" si="43"/>
        <v/>
      </c>
      <c r="BC89" s="36" t="str">
        <f t="shared" si="38"/>
        <v/>
      </c>
      <c r="BD89" s="36"/>
      <c r="BE89" s="36" t="str">
        <f t="shared" si="39"/>
        <v/>
      </c>
      <c r="BF89" s="66" t="str">
        <f>IF(C89="","",IF($C$4="","",VLOOKUP($C$4,'Chart of Accounts'!$A:$B,2,FALSE)))</f>
        <v/>
      </c>
      <c r="BG89" s="55" t="str">
        <f>IF(C89="","",VLOOKUP(C:C,'Chart of Accounts'!$A:$B,2,FALSE))</f>
        <v/>
      </c>
      <c r="BH89" s="36" t="str">
        <f t="shared" si="44"/>
        <v/>
      </c>
      <c r="BI89" s="54">
        <f t="shared" si="45"/>
        <v>0</v>
      </c>
      <c r="BJ89" s="56">
        <f t="shared" si="46"/>
        <v>0</v>
      </c>
    </row>
    <row r="90" spans="1:62" x14ac:dyDescent="0.25">
      <c r="A90" s="1" t="s">
        <v>101</v>
      </c>
      <c r="B90" s="28"/>
      <c r="I90" s="5"/>
      <c r="J90" s="5"/>
      <c r="K90" s="30">
        <f t="shared" si="40"/>
        <v>10500</v>
      </c>
      <c r="L90" s="15"/>
      <c r="M90" s="7">
        <f t="shared" si="35"/>
        <v>0</v>
      </c>
      <c r="N90" s="15"/>
      <c r="O90" s="15">
        <f t="shared" si="41"/>
        <v>0</v>
      </c>
      <c r="P90" s="15"/>
      <c r="Q90" s="15">
        <f t="shared" si="31"/>
        <v>0</v>
      </c>
      <c r="R90" s="15">
        <f t="shared" si="31"/>
        <v>0</v>
      </c>
      <c r="T90" s="15">
        <f t="shared" si="36"/>
        <v>0</v>
      </c>
      <c r="U90" s="15"/>
      <c r="V90" s="15">
        <f t="shared" si="32"/>
        <v>0</v>
      </c>
      <c r="W90" s="15">
        <f t="shared" si="32"/>
        <v>0</v>
      </c>
      <c r="X90" s="15">
        <f t="shared" si="32"/>
        <v>0</v>
      </c>
      <c r="Y90" s="15"/>
      <c r="Z90" s="15">
        <f t="shared" si="33"/>
        <v>0</v>
      </c>
      <c r="AA90" s="15">
        <f t="shared" si="33"/>
        <v>0</v>
      </c>
      <c r="AB90" s="15"/>
      <c r="AC90" s="15">
        <f t="shared" si="37"/>
        <v>0</v>
      </c>
      <c r="AD90" s="15"/>
      <c r="AE90" s="15">
        <f t="shared" si="34"/>
        <v>0</v>
      </c>
      <c r="AF90" s="15">
        <f t="shared" si="34"/>
        <v>0</v>
      </c>
      <c r="AG90" s="15">
        <f t="shared" si="34"/>
        <v>0</v>
      </c>
      <c r="AH90" s="15"/>
      <c r="AI90" s="15">
        <f t="shared" si="42"/>
        <v>0</v>
      </c>
      <c r="AJ90" s="15">
        <f t="shared" si="42"/>
        <v>0</v>
      </c>
      <c r="AK90" s="15">
        <f t="shared" si="42"/>
        <v>0</v>
      </c>
      <c r="AL90" s="15">
        <f t="shared" si="42"/>
        <v>0</v>
      </c>
      <c r="AM90" s="15">
        <f t="shared" si="42"/>
        <v>0</v>
      </c>
      <c r="AN90" s="15">
        <f t="shared" si="42"/>
        <v>0</v>
      </c>
      <c r="AO90" s="15">
        <f t="shared" si="42"/>
        <v>0</v>
      </c>
      <c r="AP90" s="15">
        <f t="shared" si="42"/>
        <v>0</v>
      </c>
      <c r="AQ90" s="15">
        <f t="shared" si="42"/>
        <v>0</v>
      </c>
      <c r="AR90" s="15">
        <f t="shared" si="42"/>
        <v>0</v>
      </c>
      <c r="AS90" s="15">
        <f t="shared" si="42"/>
        <v>0</v>
      </c>
      <c r="AT90" s="15">
        <f t="shared" si="42"/>
        <v>0</v>
      </c>
      <c r="AU90" s="15">
        <f t="shared" si="42"/>
        <v>0</v>
      </c>
      <c r="AV90" s="15">
        <f t="shared" si="42"/>
        <v>0</v>
      </c>
      <c r="AW90" s="15">
        <f t="shared" si="42"/>
        <v>0</v>
      </c>
      <c r="AX90" s="15">
        <f t="shared" si="17"/>
        <v>0</v>
      </c>
      <c r="BB90" s="52" t="str">
        <f t="shared" si="43"/>
        <v/>
      </c>
      <c r="BC90" s="36" t="str">
        <f t="shared" si="38"/>
        <v/>
      </c>
      <c r="BD90" s="36"/>
      <c r="BE90" s="36" t="str">
        <f t="shared" si="39"/>
        <v/>
      </c>
      <c r="BF90" s="66" t="str">
        <f>IF(C90="","",IF($C$4="","",VLOOKUP($C$4,'Chart of Accounts'!$A:$B,2,FALSE)))</f>
        <v/>
      </c>
      <c r="BG90" s="55" t="str">
        <f>IF(C90="","",VLOOKUP(C:C,'Chart of Accounts'!$A:$B,2,FALSE))</f>
        <v/>
      </c>
      <c r="BH90" s="36" t="str">
        <f t="shared" si="44"/>
        <v/>
      </c>
      <c r="BI90" s="54">
        <f t="shared" si="45"/>
        <v>0</v>
      </c>
      <c r="BJ90" s="56">
        <f t="shared" si="46"/>
        <v>0</v>
      </c>
    </row>
    <row r="91" spans="1:62" x14ac:dyDescent="0.25">
      <c r="A91" s="1" t="s">
        <v>102</v>
      </c>
      <c r="B91" s="28"/>
      <c r="I91" s="5"/>
      <c r="J91" s="5"/>
      <c r="K91" s="30">
        <f t="shared" si="40"/>
        <v>10500</v>
      </c>
      <c r="L91" s="15"/>
      <c r="M91" s="7">
        <f t="shared" si="35"/>
        <v>0</v>
      </c>
      <c r="N91" s="15"/>
      <c r="O91" s="15">
        <f t="shared" si="41"/>
        <v>0</v>
      </c>
      <c r="P91" s="15"/>
      <c r="Q91" s="15">
        <f t="shared" si="31"/>
        <v>0</v>
      </c>
      <c r="R91" s="15">
        <f t="shared" si="31"/>
        <v>0</v>
      </c>
      <c r="T91" s="15">
        <f t="shared" si="36"/>
        <v>0</v>
      </c>
      <c r="U91" s="15"/>
      <c r="V91" s="15">
        <f t="shared" si="32"/>
        <v>0</v>
      </c>
      <c r="W91" s="15">
        <f t="shared" si="32"/>
        <v>0</v>
      </c>
      <c r="X91" s="15">
        <f t="shared" si="32"/>
        <v>0</v>
      </c>
      <c r="Y91" s="15"/>
      <c r="Z91" s="15">
        <f t="shared" si="33"/>
        <v>0</v>
      </c>
      <c r="AA91" s="15">
        <f t="shared" si="33"/>
        <v>0</v>
      </c>
      <c r="AB91" s="15"/>
      <c r="AC91" s="15">
        <f t="shared" si="37"/>
        <v>0</v>
      </c>
      <c r="AD91" s="15"/>
      <c r="AE91" s="15">
        <f t="shared" si="34"/>
        <v>0</v>
      </c>
      <c r="AF91" s="15">
        <f t="shared" si="34"/>
        <v>0</v>
      </c>
      <c r="AG91" s="15">
        <f t="shared" si="34"/>
        <v>0</v>
      </c>
      <c r="AH91" s="15"/>
      <c r="AI91" s="15">
        <f t="shared" si="42"/>
        <v>0</v>
      </c>
      <c r="AJ91" s="15">
        <f t="shared" si="42"/>
        <v>0</v>
      </c>
      <c r="AK91" s="15">
        <f t="shared" si="42"/>
        <v>0</v>
      </c>
      <c r="AL91" s="15">
        <f t="shared" si="42"/>
        <v>0</v>
      </c>
      <c r="AM91" s="15">
        <f t="shared" si="42"/>
        <v>0</v>
      </c>
      <c r="AN91" s="15">
        <f t="shared" si="42"/>
        <v>0</v>
      </c>
      <c r="AO91" s="15">
        <f t="shared" si="42"/>
        <v>0</v>
      </c>
      <c r="AP91" s="15">
        <f t="shared" si="42"/>
        <v>0</v>
      </c>
      <c r="AQ91" s="15">
        <f t="shared" si="42"/>
        <v>0</v>
      </c>
      <c r="AR91" s="15">
        <f t="shared" si="42"/>
        <v>0</v>
      </c>
      <c r="AS91" s="15">
        <f t="shared" si="42"/>
        <v>0</v>
      </c>
      <c r="AT91" s="15">
        <f t="shared" si="42"/>
        <v>0</v>
      </c>
      <c r="AU91" s="15">
        <f t="shared" si="42"/>
        <v>0</v>
      </c>
      <c r="AV91" s="15">
        <f t="shared" si="42"/>
        <v>0</v>
      </c>
      <c r="AW91" s="15">
        <f t="shared" si="42"/>
        <v>0</v>
      </c>
      <c r="AX91" s="15">
        <f>IF($C91=AX$9,$I91+$J91,0)</f>
        <v>0</v>
      </c>
      <c r="BB91" s="52" t="str">
        <f t="shared" si="43"/>
        <v/>
      </c>
      <c r="BC91" s="36" t="str">
        <f t="shared" si="38"/>
        <v/>
      </c>
      <c r="BD91" s="36"/>
      <c r="BE91" s="36" t="str">
        <f t="shared" si="39"/>
        <v/>
      </c>
      <c r="BF91" s="66" t="str">
        <f>IF(C91="","",IF($C$4="","",VLOOKUP($C$4,'Chart of Accounts'!$A:$B,2,FALSE)))</f>
        <v/>
      </c>
      <c r="BG91" s="55" t="str">
        <f>IF(C91="","",VLOOKUP(C:C,'Chart of Accounts'!$A:$B,2,FALSE))</f>
        <v/>
      </c>
      <c r="BH91" s="36" t="str">
        <f t="shared" si="44"/>
        <v/>
      </c>
      <c r="BI91" s="54">
        <f t="shared" si="45"/>
        <v>0</v>
      </c>
      <c r="BJ91" s="56">
        <f t="shared" si="46"/>
        <v>0</v>
      </c>
    </row>
    <row r="92" spans="1:62" x14ac:dyDescent="0.25">
      <c r="A92" s="1" t="s">
        <v>103</v>
      </c>
      <c r="B92" s="28"/>
      <c r="I92" s="5"/>
      <c r="J92" s="5"/>
      <c r="K92" s="30">
        <f t="shared" si="40"/>
        <v>10500</v>
      </c>
      <c r="L92" s="15"/>
      <c r="M92" s="7">
        <f t="shared" si="35"/>
        <v>0</v>
      </c>
      <c r="N92" s="15"/>
      <c r="O92" s="15">
        <f t="shared" si="41"/>
        <v>0</v>
      </c>
      <c r="P92" s="15"/>
      <c r="Q92" s="15">
        <f t="shared" ref="Q92:R102" si="47">IF($C92=Q$9,$I92+$J92,0)</f>
        <v>0</v>
      </c>
      <c r="R92" s="15">
        <f t="shared" si="47"/>
        <v>0</v>
      </c>
      <c r="T92" s="15">
        <f t="shared" si="36"/>
        <v>0</v>
      </c>
      <c r="U92" s="15"/>
      <c r="V92" s="15">
        <f t="shared" ref="V92:X102" si="48">IF($C92=V$9,$I92+$J92,0)</f>
        <v>0</v>
      </c>
      <c r="W92" s="15">
        <f t="shared" si="48"/>
        <v>0</v>
      </c>
      <c r="X92" s="15">
        <f t="shared" si="48"/>
        <v>0</v>
      </c>
      <c r="Y92" s="15"/>
      <c r="Z92" s="15">
        <f t="shared" ref="Z92:AA102" si="49">IF($C92=Z$9,$I92+$J92,0)</f>
        <v>0</v>
      </c>
      <c r="AA92" s="15">
        <f t="shared" si="49"/>
        <v>0</v>
      </c>
      <c r="AB92" s="15"/>
      <c r="AC92" s="15">
        <f t="shared" si="37"/>
        <v>0</v>
      </c>
      <c r="AD92" s="15"/>
      <c r="AE92" s="15">
        <f t="shared" ref="AE92:AG102" si="50">IF($C92=AE$9,$I92+$J92,0)</f>
        <v>0</v>
      </c>
      <c r="AF92" s="15">
        <f t="shared" si="50"/>
        <v>0</v>
      </c>
      <c r="AG92" s="15">
        <f t="shared" si="50"/>
        <v>0</v>
      </c>
      <c r="AH92" s="15"/>
      <c r="AI92" s="15">
        <f t="shared" ref="AI92:AX102" si="51">IF($C92=AI$9,$I92+$J92,0)</f>
        <v>0</v>
      </c>
      <c r="AJ92" s="15">
        <f t="shared" si="51"/>
        <v>0</v>
      </c>
      <c r="AK92" s="15">
        <f t="shared" si="51"/>
        <v>0</v>
      </c>
      <c r="AL92" s="15">
        <f t="shared" si="51"/>
        <v>0</v>
      </c>
      <c r="AM92" s="15">
        <f t="shared" si="51"/>
        <v>0</v>
      </c>
      <c r="AN92" s="15">
        <f t="shared" si="51"/>
        <v>0</v>
      </c>
      <c r="AO92" s="15">
        <f t="shared" si="51"/>
        <v>0</v>
      </c>
      <c r="AP92" s="15">
        <f t="shared" si="51"/>
        <v>0</v>
      </c>
      <c r="AQ92" s="15">
        <f t="shared" si="51"/>
        <v>0</v>
      </c>
      <c r="AR92" s="15">
        <f t="shared" si="51"/>
        <v>0</v>
      </c>
      <c r="AS92" s="15">
        <f t="shared" si="51"/>
        <v>0</v>
      </c>
      <c r="AT92" s="15">
        <f t="shared" si="51"/>
        <v>0</v>
      </c>
      <c r="AU92" s="15">
        <f t="shared" si="51"/>
        <v>0</v>
      </c>
      <c r="AV92" s="15">
        <f t="shared" si="51"/>
        <v>0</v>
      </c>
      <c r="AW92" s="15">
        <f t="shared" si="51"/>
        <v>0</v>
      </c>
      <c r="AX92" s="15">
        <f t="shared" si="51"/>
        <v>0</v>
      </c>
      <c r="BB92" s="52" t="str">
        <f t="shared" si="43"/>
        <v/>
      </c>
      <c r="BC92" s="36" t="str">
        <f t="shared" si="38"/>
        <v/>
      </c>
      <c r="BD92" s="36"/>
      <c r="BE92" s="36" t="str">
        <f t="shared" si="39"/>
        <v/>
      </c>
      <c r="BF92" s="66" t="str">
        <f>IF(C92="","",IF($C$4="","",VLOOKUP($C$4,'Chart of Accounts'!$A:$B,2,FALSE)))</f>
        <v/>
      </c>
      <c r="BG92" s="55" t="str">
        <f>IF(C92="","",VLOOKUP(C:C,'Chart of Accounts'!$A:$B,2,FALSE))</f>
        <v/>
      </c>
      <c r="BH92" s="36" t="str">
        <f t="shared" si="44"/>
        <v/>
      </c>
      <c r="BI92" s="54">
        <f t="shared" si="45"/>
        <v>0</v>
      </c>
      <c r="BJ92" s="56">
        <f t="shared" si="46"/>
        <v>0</v>
      </c>
    </row>
    <row r="93" spans="1:62" x14ac:dyDescent="0.25">
      <c r="A93" s="1" t="s">
        <v>104</v>
      </c>
      <c r="B93" s="28"/>
      <c r="I93" s="5"/>
      <c r="J93" s="5"/>
      <c r="K93" s="30">
        <f t="shared" si="40"/>
        <v>10500</v>
      </c>
      <c r="L93" s="15"/>
      <c r="M93" s="7">
        <f t="shared" si="35"/>
        <v>0</v>
      </c>
      <c r="N93" s="15"/>
      <c r="O93" s="15">
        <f t="shared" si="41"/>
        <v>0</v>
      </c>
      <c r="P93" s="15"/>
      <c r="Q93" s="15">
        <f t="shared" si="47"/>
        <v>0</v>
      </c>
      <c r="R93" s="15">
        <f t="shared" si="47"/>
        <v>0</v>
      </c>
      <c r="T93" s="15">
        <f t="shared" si="36"/>
        <v>0</v>
      </c>
      <c r="U93" s="15"/>
      <c r="V93" s="15">
        <f t="shared" si="48"/>
        <v>0</v>
      </c>
      <c r="W93" s="15">
        <f t="shared" si="48"/>
        <v>0</v>
      </c>
      <c r="X93" s="15">
        <f t="shared" si="48"/>
        <v>0</v>
      </c>
      <c r="Y93" s="15"/>
      <c r="Z93" s="15">
        <f t="shared" si="49"/>
        <v>0</v>
      </c>
      <c r="AA93" s="15">
        <f t="shared" si="49"/>
        <v>0</v>
      </c>
      <c r="AB93" s="15"/>
      <c r="AC93" s="15">
        <f t="shared" si="37"/>
        <v>0</v>
      </c>
      <c r="AD93" s="15"/>
      <c r="AE93" s="15">
        <f t="shared" si="50"/>
        <v>0</v>
      </c>
      <c r="AF93" s="15">
        <f t="shared" si="50"/>
        <v>0</v>
      </c>
      <c r="AG93" s="15">
        <f t="shared" si="50"/>
        <v>0</v>
      </c>
      <c r="AH93" s="15"/>
      <c r="AI93" s="15">
        <f t="shared" si="51"/>
        <v>0</v>
      </c>
      <c r="AJ93" s="15">
        <f t="shared" si="51"/>
        <v>0</v>
      </c>
      <c r="AK93" s="15">
        <f t="shared" si="51"/>
        <v>0</v>
      </c>
      <c r="AL93" s="15">
        <f t="shared" si="51"/>
        <v>0</v>
      </c>
      <c r="AM93" s="15">
        <f t="shared" si="51"/>
        <v>0</v>
      </c>
      <c r="AN93" s="15">
        <f t="shared" si="51"/>
        <v>0</v>
      </c>
      <c r="AO93" s="15">
        <f t="shared" si="51"/>
        <v>0</v>
      </c>
      <c r="AP93" s="15">
        <f t="shared" si="51"/>
        <v>0</v>
      </c>
      <c r="AQ93" s="15">
        <f t="shared" si="51"/>
        <v>0</v>
      </c>
      <c r="AR93" s="15">
        <f t="shared" si="51"/>
        <v>0</v>
      </c>
      <c r="AS93" s="15">
        <f t="shared" si="51"/>
        <v>0</v>
      </c>
      <c r="AT93" s="15">
        <f t="shared" si="51"/>
        <v>0</v>
      </c>
      <c r="AU93" s="15">
        <f t="shared" si="51"/>
        <v>0</v>
      </c>
      <c r="AV93" s="15">
        <f t="shared" si="51"/>
        <v>0</v>
      </c>
      <c r="AW93" s="15">
        <f t="shared" si="51"/>
        <v>0</v>
      </c>
      <c r="AX93" s="15">
        <f t="shared" si="51"/>
        <v>0</v>
      </c>
      <c r="BB93" s="52" t="str">
        <f t="shared" si="43"/>
        <v/>
      </c>
      <c r="BC93" s="36" t="str">
        <f t="shared" si="38"/>
        <v/>
      </c>
      <c r="BD93" s="36"/>
      <c r="BE93" s="36" t="str">
        <f t="shared" si="39"/>
        <v/>
      </c>
      <c r="BF93" s="66" t="str">
        <f>IF(C93="","",IF($C$4="","",VLOOKUP($C$4,'Chart of Accounts'!$A:$B,2,FALSE)))</f>
        <v/>
      </c>
      <c r="BG93" s="55" t="str">
        <f>IF(C93="","",VLOOKUP(C:C,'Chart of Accounts'!$A:$B,2,FALSE))</f>
        <v/>
      </c>
      <c r="BH93" s="36" t="str">
        <f t="shared" si="44"/>
        <v/>
      </c>
      <c r="BI93" s="54">
        <f t="shared" si="45"/>
        <v>0</v>
      </c>
      <c r="BJ93" s="56">
        <f t="shared" si="46"/>
        <v>0</v>
      </c>
    </row>
    <row r="94" spans="1:62" x14ac:dyDescent="0.25">
      <c r="A94" s="1" t="s">
        <v>105</v>
      </c>
      <c r="B94" s="28"/>
      <c r="I94" s="5"/>
      <c r="J94" s="5"/>
      <c r="K94" s="30">
        <f t="shared" si="40"/>
        <v>10500</v>
      </c>
      <c r="L94" s="15"/>
      <c r="M94" s="7">
        <f t="shared" si="35"/>
        <v>0</v>
      </c>
      <c r="N94" s="15"/>
      <c r="O94" s="15">
        <f t="shared" si="41"/>
        <v>0</v>
      </c>
      <c r="P94" s="15"/>
      <c r="Q94" s="15">
        <f t="shared" si="47"/>
        <v>0</v>
      </c>
      <c r="R94" s="15">
        <f t="shared" si="47"/>
        <v>0</v>
      </c>
      <c r="T94" s="15">
        <f t="shared" si="36"/>
        <v>0</v>
      </c>
      <c r="U94" s="15"/>
      <c r="V94" s="15">
        <f t="shared" si="48"/>
        <v>0</v>
      </c>
      <c r="W94" s="15">
        <f t="shared" si="48"/>
        <v>0</v>
      </c>
      <c r="X94" s="15">
        <f t="shared" si="48"/>
        <v>0</v>
      </c>
      <c r="Y94" s="15"/>
      <c r="Z94" s="15">
        <f t="shared" si="49"/>
        <v>0</v>
      </c>
      <c r="AA94" s="15">
        <f t="shared" si="49"/>
        <v>0</v>
      </c>
      <c r="AB94" s="15"/>
      <c r="AC94" s="15">
        <f t="shared" si="37"/>
        <v>0</v>
      </c>
      <c r="AD94" s="15"/>
      <c r="AE94" s="15">
        <f t="shared" si="50"/>
        <v>0</v>
      </c>
      <c r="AF94" s="15">
        <f t="shared" si="50"/>
        <v>0</v>
      </c>
      <c r="AG94" s="15">
        <f t="shared" si="50"/>
        <v>0</v>
      </c>
      <c r="AH94" s="15"/>
      <c r="AI94" s="15">
        <f t="shared" si="51"/>
        <v>0</v>
      </c>
      <c r="AJ94" s="15">
        <f t="shared" si="51"/>
        <v>0</v>
      </c>
      <c r="AK94" s="15">
        <f t="shared" si="51"/>
        <v>0</v>
      </c>
      <c r="AL94" s="15">
        <f t="shared" si="51"/>
        <v>0</v>
      </c>
      <c r="AM94" s="15">
        <f t="shared" si="51"/>
        <v>0</v>
      </c>
      <c r="AN94" s="15">
        <f t="shared" si="51"/>
        <v>0</v>
      </c>
      <c r="AO94" s="15">
        <f t="shared" si="51"/>
        <v>0</v>
      </c>
      <c r="AP94" s="15">
        <f t="shared" si="51"/>
        <v>0</v>
      </c>
      <c r="AQ94" s="15">
        <f t="shared" si="51"/>
        <v>0</v>
      </c>
      <c r="AR94" s="15">
        <f t="shared" si="51"/>
        <v>0</v>
      </c>
      <c r="AS94" s="15">
        <f t="shared" si="51"/>
        <v>0</v>
      </c>
      <c r="AT94" s="15">
        <f t="shared" si="51"/>
        <v>0</v>
      </c>
      <c r="AU94" s="15">
        <f t="shared" si="51"/>
        <v>0</v>
      </c>
      <c r="AV94" s="15">
        <f t="shared" si="51"/>
        <v>0</v>
      </c>
      <c r="AW94" s="15">
        <f t="shared" si="51"/>
        <v>0</v>
      </c>
      <c r="AX94" s="15">
        <f t="shared" si="51"/>
        <v>0</v>
      </c>
      <c r="BB94" s="52" t="str">
        <f t="shared" si="43"/>
        <v/>
      </c>
      <c r="BC94" s="36" t="str">
        <f t="shared" si="38"/>
        <v/>
      </c>
      <c r="BD94" s="36"/>
      <c r="BE94" s="36" t="str">
        <f t="shared" si="39"/>
        <v/>
      </c>
      <c r="BF94" s="66" t="str">
        <f>IF(C94="","",IF($C$4="","",VLOOKUP($C$4,'Chart of Accounts'!$A:$B,2,FALSE)))</f>
        <v/>
      </c>
      <c r="BG94" s="55" t="str">
        <f>IF(C94="","",VLOOKUP(C:C,'Chart of Accounts'!$A:$B,2,FALSE))</f>
        <v/>
      </c>
      <c r="BH94" s="36" t="str">
        <f t="shared" si="44"/>
        <v/>
      </c>
      <c r="BI94" s="54">
        <f t="shared" si="45"/>
        <v>0</v>
      </c>
      <c r="BJ94" s="56">
        <f t="shared" si="46"/>
        <v>0</v>
      </c>
    </row>
    <row r="95" spans="1:62" x14ac:dyDescent="0.25">
      <c r="A95" s="1" t="s">
        <v>106</v>
      </c>
      <c r="B95" s="28"/>
      <c r="I95" s="5"/>
      <c r="J95" s="5"/>
      <c r="K95" s="30">
        <f t="shared" si="40"/>
        <v>10500</v>
      </c>
      <c r="L95" s="15"/>
      <c r="M95" s="7">
        <f t="shared" si="35"/>
        <v>0</v>
      </c>
      <c r="N95" s="15"/>
      <c r="O95" s="15">
        <f t="shared" si="41"/>
        <v>0</v>
      </c>
      <c r="P95" s="15"/>
      <c r="Q95" s="15">
        <f t="shared" si="47"/>
        <v>0</v>
      </c>
      <c r="R95" s="15">
        <f t="shared" si="47"/>
        <v>0</v>
      </c>
      <c r="T95" s="15">
        <f t="shared" si="36"/>
        <v>0</v>
      </c>
      <c r="U95" s="15"/>
      <c r="V95" s="15">
        <f t="shared" si="48"/>
        <v>0</v>
      </c>
      <c r="W95" s="15">
        <f t="shared" si="48"/>
        <v>0</v>
      </c>
      <c r="X95" s="15">
        <f t="shared" si="48"/>
        <v>0</v>
      </c>
      <c r="Y95" s="15"/>
      <c r="Z95" s="15">
        <f t="shared" si="49"/>
        <v>0</v>
      </c>
      <c r="AA95" s="15">
        <f t="shared" si="49"/>
        <v>0</v>
      </c>
      <c r="AB95" s="15"/>
      <c r="AC95" s="15">
        <f t="shared" si="37"/>
        <v>0</v>
      </c>
      <c r="AD95" s="15"/>
      <c r="AE95" s="15">
        <f t="shared" si="50"/>
        <v>0</v>
      </c>
      <c r="AF95" s="15">
        <f t="shared" si="50"/>
        <v>0</v>
      </c>
      <c r="AG95" s="15">
        <f t="shared" si="50"/>
        <v>0</v>
      </c>
      <c r="AH95" s="15"/>
      <c r="AI95" s="15">
        <f t="shared" si="51"/>
        <v>0</v>
      </c>
      <c r="AJ95" s="15">
        <f t="shared" si="51"/>
        <v>0</v>
      </c>
      <c r="AK95" s="15">
        <f t="shared" si="51"/>
        <v>0</v>
      </c>
      <c r="AL95" s="15">
        <f t="shared" si="51"/>
        <v>0</v>
      </c>
      <c r="AM95" s="15">
        <f t="shared" si="51"/>
        <v>0</v>
      </c>
      <c r="AN95" s="15">
        <f t="shared" si="51"/>
        <v>0</v>
      </c>
      <c r="AO95" s="15">
        <f t="shared" si="51"/>
        <v>0</v>
      </c>
      <c r="AP95" s="15">
        <f t="shared" si="51"/>
        <v>0</v>
      </c>
      <c r="AQ95" s="15">
        <f t="shared" si="51"/>
        <v>0</v>
      </c>
      <c r="AR95" s="15">
        <f t="shared" si="51"/>
        <v>0</v>
      </c>
      <c r="AS95" s="15">
        <f t="shared" si="51"/>
        <v>0</v>
      </c>
      <c r="AT95" s="15">
        <f t="shared" si="51"/>
        <v>0</v>
      </c>
      <c r="AU95" s="15">
        <f t="shared" si="51"/>
        <v>0</v>
      </c>
      <c r="AV95" s="15">
        <f t="shared" si="51"/>
        <v>0</v>
      </c>
      <c r="AW95" s="15">
        <f t="shared" si="51"/>
        <v>0</v>
      </c>
      <c r="AX95" s="15">
        <f t="shared" si="51"/>
        <v>0</v>
      </c>
      <c r="BB95" s="52" t="str">
        <f t="shared" si="43"/>
        <v/>
      </c>
      <c r="BC95" s="36" t="str">
        <f t="shared" si="38"/>
        <v/>
      </c>
      <c r="BD95" s="36"/>
      <c r="BE95" s="36" t="str">
        <f t="shared" si="39"/>
        <v/>
      </c>
      <c r="BF95" s="66" t="str">
        <f>IF(C95="","",IF($C$4="","",VLOOKUP($C$4,'Chart of Accounts'!$A:$B,2,FALSE)))</f>
        <v/>
      </c>
      <c r="BG95" s="55" t="str">
        <f>IF(C95="","",VLOOKUP(C:C,'Chart of Accounts'!$A:$B,2,FALSE))</f>
        <v/>
      </c>
      <c r="BH95" s="36" t="str">
        <f t="shared" si="44"/>
        <v/>
      </c>
      <c r="BI95" s="54">
        <f t="shared" si="45"/>
        <v>0</v>
      </c>
      <c r="BJ95" s="56">
        <f t="shared" si="46"/>
        <v>0</v>
      </c>
    </row>
    <row r="96" spans="1:62" x14ac:dyDescent="0.25">
      <c r="A96" s="1" t="s">
        <v>107</v>
      </c>
      <c r="B96" s="28"/>
      <c r="I96" s="5"/>
      <c r="J96" s="5"/>
      <c r="K96" s="30">
        <f t="shared" si="40"/>
        <v>10500</v>
      </c>
      <c r="L96" s="15"/>
      <c r="M96" s="7">
        <f t="shared" si="35"/>
        <v>0</v>
      </c>
      <c r="N96" s="15"/>
      <c r="O96" s="15">
        <f t="shared" si="41"/>
        <v>0</v>
      </c>
      <c r="P96" s="15"/>
      <c r="Q96" s="15">
        <f t="shared" si="47"/>
        <v>0</v>
      </c>
      <c r="R96" s="15">
        <f t="shared" si="47"/>
        <v>0</v>
      </c>
      <c r="T96" s="15">
        <f t="shared" si="36"/>
        <v>0</v>
      </c>
      <c r="U96" s="15"/>
      <c r="V96" s="15">
        <f t="shared" si="48"/>
        <v>0</v>
      </c>
      <c r="W96" s="15">
        <f t="shared" si="48"/>
        <v>0</v>
      </c>
      <c r="X96" s="15">
        <f t="shared" si="48"/>
        <v>0</v>
      </c>
      <c r="Y96" s="15"/>
      <c r="Z96" s="15">
        <f t="shared" si="49"/>
        <v>0</v>
      </c>
      <c r="AA96" s="15">
        <f t="shared" si="49"/>
        <v>0</v>
      </c>
      <c r="AB96" s="15"/>
      <c r="AC96" s="15">
        <f t="shared" si="37"/>
        <v>0</v>
      </c>
      <c r="AD96" s="15"/>
      <c r="AE96" s="15">
        <f t="shared" si="50"/>
        <v>0</v>
      </c>
      <c r="AF96" s="15">
        <f t="shared" si="50"/>
        <v>0</v>
      </c>
      <c r="AG96" s="15">
        <f t="shared" si="50"/>
        <v>0</v>
      </c>
      <c r="AH96" s="15"/>
      <c r="AI96" s="15">
        <f t="shared" si="51"/>
        <v>0</v>
      </c>
      <c r="AJ96" s="15">
        <f t="shared" si="51"/>
        <v>0</v>
      </c>
      <c r="AK96" s="15">
        <f t="shared" si="51"/>
        <v>0</v>
      </c>
      <c r="AL96" s="15">
        <f t="shared" si="51"/>
        <v>0</v>
      </c>
      <c r="AM96" s="15">
        <f t="shared" si="51"/>
        <v>0</v>
      </c>
      <c r="AN96" s="15">
        <f t="shared" si="51"/>
        <v>0</v>
      </c>
      <c r="AO96" s="15">
        <f t="shared" si="51"/>
        <v>0</v>
      </c>
      <c r="AP96" s="15">
        <f t="shared" si="51"/>
        <v>0</v>
      </c>
      <c r="AQ96" s="15">
        <f t="shared" si="51"/>
        <v>0</v>
      </c>
      <c r="AR96" s="15">
        <f t="shared" si="51"/>
        <v>0</v>
      </c>
      <c r="AS96" s="15">
        <f t="shared" si="51"/>
        <v>0</v>
      </c>
      <c r="AT96" s="15">
        <f t="shared" si="51"/>
        <v>0</v>
      </c>
      <c r="AU96" s="15">
        <f t="shared" si="51"/>
        <v>0</v>
      </c>
      <c r="AV96" s="15">
        <f t="shared" si="51"/>
        <v>0</v>
      </c>
      <c r="AW96" s="15">
        <f t="shared" si="51"/>
        <v>0</v>
      </c>
      <c r="AX96" s="15">
        <f t="shared" si="51"/>
        <v>0</v>
      </c>
      <c r="BB96" s="52" t="str">
        <f t="shared" si="43"/>
        <v/>
      </c>
      <c r="BC96" s="36" t="str">
        <f t="shared" si="38"/>
        <v/>
      </c>
      <c r="BD96" s="36"/>
      <c r="BE96" s="36" t="str">
        <f t="shared" si="39"/>
        <v/>
      </c>
      <c r="BF96" s="66" t="str">
        <f>IF(C96="","",IF($C$4="","",VLOOKUP($C$4,'Chart of Accounts'!$A:$B,2,FALSE)))</f>
        <v/>
      </c>
      <c r="BG96" s="55" t="str">
        <f>IF(C96="","",VLOOKUP(C:C,'Chart of Accounts'!$A:$B,2,FALSE))</f>
        <v/>
      </c>
      <c r="BH96" s="36" t="str">
        <f t="shared" si="44"/>
        <v/>
      </c>
      <c r="BI96" s="54">
        <f t="shared" si="45"/>
        <v>0</v>
      </c>
      <c r="BJ96" s="56">
        <f t="shared" si="46"/>
        <v>0</v>
      </c>
    </row>
    <row r="97" spans="1:62" x14ac:dyDescent="0.25">
      <c r="A97" s="1" t="s">
        <v>108</v>
      </c>
      <c r="B97" s="28"/>
      <c r="I97" s="5"/>
      <c r="J97" s="5"/>
      <c r="K97" s="30">
        <f t="shared" si="40"/>
        <v>10500</v>
      </c>
      <c r="L97" s="15"/>
      <c r="M97" s="7">
        <f t="shared" si="35"/>
        <v>0</v>
      </c>
      <c r="N97" s="15"/>
      <c r="O97" s="15">
        <f t="shared" si="41"/>
        <v>0</v>
      </c>
      <c r="P97" s="15"/>
      <c r="Q97" s="15">
        <f t="shared" si="47"/>
        <v>0</v>
      </c>
      <c r="R97" s="15">
        <f t="shared" si="47"/>
        <v>0</v>
      </c>
      <c r="T97" s="15">
        <f t="shared" si="36"/>
        <v>0</v>
      </c>
      <c r="U97" s="15"/>
      <c r="V97" s="15">
        <f t="shared" si="48"/>
        <v>0</v>
      </c>
      <c r="W97" s="15">
        <f t="shared" si="48"/>
        <v>0</v>
      </c>
      <c r="X97" s="15">
        <f t="shared" si="48"/>
        <v>0</v>
      </c>
      <c r="Y97" s="15"/>
      <c r="Z97" s="15">
        <f t="shared" si="49"/>
        <v>0</v>
      </c>
      <c r="AA97" s="15">
        <f t="shared" si="49"/>
        <v>0</v>
      </c>
      <c r="AB97" s="15"/>
      <c r="AC97" s="15">
        <f t="shared" si="37"/>
        <v>0</v>
      </c>
      <c r="AD97" s="15"/>
      <c r="AE97" s="15">
        <f t="shared" si="50"/>
        <v>0</v>
      </c>
      <c r="AF97" s="15">
        <f t="shared" si="50"/>
        <v>0</v>
      </c>
      <c r="AG97" s="15">
        <f t="shared" si="50"/>
        <v>0</v>
      </c>
      <c r="AH97" s="15"/>
      <c r="AI97" s="15">
        <f t="shared" si="51"/>
        <v>0</v>
      </c>
      <c r="AJ97" s="15">
        <f t="shared" si="51"/>
        <v>0</v>
      </c>
      <c r="AK97" s="15">
        <f t="shared" si="51"/>
        <v>0</v>
      </c>
      <c r="AL97" s="15">
        <f t="shared" si="51"/>
        <v>0</v>
      </c>
      <c r="AM97" s="15">
        <f t="shared" si="51"/>
        <v>0</v>
      </c>
      <c r="AN97" s="15">
        <f t="shared" si="51"/>
        <v>0</v>
      </c>
      <c r="AO97" s="15">
        <f t="shared" si="51"/>
        <v>0</v>
      </c>
      <c r="AP97" s="15">
        <f t="shared" si="51"/>
        <v>0</v>
      </c>
      <c r="AQ97" s="15">
        <f t="shared" si="51"/>
        <v>0</v>
      </c>
      <c r="AR97" s="15">
        <f t="shared" si="51"/>
        <v>0</v>
      </c>
      <c r="AS97" s="15">
        <f t="shared" si="51"/>
        <v>0</v>
      </c>
      <c r="AT97" s="15">
        <f t="shared" si="51"/>
        <v>0</v>
      </c>
      <c r="AU97" s="15">
        <f t="shared" si="51"/>
        <v>0</v>
      </c>
      <c r="AV97" s="15">
        <f t="shared" si="51"/>
        <v>0</v>
      </c>
      <c r="AW97" s="15">
        <f t="shared" si="51"/>
        <v>0</v>
      </c>
      <c r="AX97" s="15">
        <f t="shared" si="51"/>
        <v>0</v>
      </c>
      <c r="BB97" s="52" t="str">
        <f t="shared" si="43"/>
        <v/>
      </c>
      <c r="BC97" s="36" t="str">
        <f t="shared" si="38"/>
        <v/>
      </c>
      <c r="BD97" s="36"/>
      <c r="BE97" s="36" t="str">
        <f t="shared" si="39"/>
        <v/>
      </c>
      <c r="BF97" s="66" t="str">
        <f>IF(C97="","",IF($C$4="","",VLOOKUP($C$4,'Chart of Accounts'!$A:$B,2,FALSE)))</f>
        <v/>
      </c>
      <c r="BG97" s="55" t="str">
        <f>IF(C97="","",VLOOKUP(C:C,'Chart of Accounts'!$A:$B,2,FALSE))</f>
        <v/>
      </c>
      <c r="BH97" s="36" t="str">
        <f t="shared" si="44"/>
        <v/>
      </c>
      <c r="BI97" s="54">
        <f t="shared" si="45"/>
        <v>0</v>
      </c>
      <c r="BJ97" s="56">
        <f t="shared" si="46"/>
        <v>0</v>
      </c>
    </row>
    <row r="98" spans="1:62" x14ac:dyDescent="0.25">
      <c r="A98" s="1" t="s">
        <v>109</v>
      </c>
      <c r="B98" s="28"/>
      <c r="I98" s="5"/>
      <c r="J98" s="5"/>
      <c r="K98" s="30">
        <f t="shared" si="40"/>
        <v>10500</v>
      </c>
      <c r="L98" s="15"/>
      <c r="M98" s="7">
        <f t="shared" si="35"/>
        <v>0</v>
      </c>
      <c r="N98" s="15"/>
      <c r="O98" s="15">
        <f t="shared" si="41"/>
        <v>0</v>
      </c>
      <c r="P98" s="15"/>
      <c r="Q98" s="15">
        <f t="shared" si="47"/>
        <v>0</v>
      </c>
      <c r="R98" s="15">
        <f t="shared" si="47"/>
        <v>0</v>
      </c>
      <c r="T98" s="15">
        <f t="shared" si="36"/>
        <v>0</v>
      </c>
      <c r="U98" s="15"/>
      <c r="V98" s="15">
        <f t="shared" si="48"/>
        <v>0</v>
      </c>
      <c r="W98" s="15">
        <f t="shared" si="48"/>
        <v>0</v>
      </c>
      <c r="X98" s="15">
        <f t="shared" si="48"/>
        <v>0</v>
      </c>
      <c r="Y98" s="15"/>
      <c r="Z98" s="15">
        <f t="shared" si="49"/>
        <v>0</v>
      </c>
      <c r="AA98" s="15">
        <f t="shared" si="49"/>
        <v>0</v>
      </c>
      <c r="AB98" s="15"/>
      <c r="AC98" s="15">
        <f t="shared" si="37"/>
        <v>0</v>
      </c>
      <c r="AD98" s="15"/>
      <c r="AE98" s="15">
        <f t="shared" si="50"/>
        <v>0</v>
      </c>
      <c r="AF98" s="15">
        <f t="shared" si="50"/>
        <v>0</v>
      </c>
      <c r="AG98" s="15">
        <f t="shared" si="50"/>
        <v>0</v>
      </c>
      <c r="AH98" s="15"/>
      <c r="AI98" s="15">
        <f t="shared" si="51"/>
        <v>0</v>
      </c>
      <c r="AJ98" s="15">
        <f t="shared" si="51"/>
        <v>0</v>
      </c>
      <c r="AK98" s="15">
        <f t="shared" si="51"/>
        <v>0</v>
      </c>
      <c r="AL98" s="15">
        <f t="shared" si="51"/>
        <v>0</v>
      </c>
      <c r="AM98" s="15">
        <f t="shared" si="51"/>
        <v>0</v>
      </c>
      <c r="AN98" s="15">
        <f t="shared" si="51"/>
        <v>0</v>
      </c>
      <c r="AO98" s="15">
        <f t="shared" si="51"/>
        <v>0</v>
      </c>
      <c r="AP98" s="15">
        <f t="shared" si="51"/>
        <v>0</v>
      </c>
      <c r="AQ98" s="15">
        <f t="shared" si="51"/>
        <v>0</v>
      </c>
      <c r="AR98" s="15">
        <f t="shared" si="51"/>
        <v>0</v>
      </c>
      <c r="AS98" s="15">
        <f t="shared" si="51"/>
        <v>0</v>
      </c>
      <c r="AT98" s="15">
        <f t="shared" si="51"/>
        <v>0</v>
      </c>
      <c r="AU98" s="15">
        <f t="shared" si="51"/>
        <v>0</v>
      </c>
      <c r="AV98" s="15">
        <f t="shared" si="51"/>
        <v>0</v>
      </c>
      <c r="AW98" s="15">
        <f t="shared" si="51"/>
        <v>0</v>
      </c>
      <c r="AX98" s="15">
        <f t="shared" si="51"/>
        <v>0</v>
      </c>
      <c r="BB98" s="52" t="str">
        <f t="shared" si="43"/>
        <v/>
      </c>
      <c r="BC98" s="36" t="str">
        <f t="shared" si="38"/>
        <v/>
      </c>
      <c r="BD98" s="36"/>
      <c r="BE98" s="36" t="str">
        <f t="shared" si="39"/>
        <v/>
      </c>
      <c r="BF98" s="66" t="str">
        <f>IF(C98="","",IF($C$4="","",VLOOKUP($C$4,'Chart of Accounts'!$A:$B,2,FALSE)))</f>
        <v/>
      </c>
      <c r="BG98" s="55" t="str">
        <f>IF(C98="","",VLOOKUP(C:C,'Chart of Accounts'!$A:$B,2,FALSE))</f>
        <v/>
      </c>
      <c r="BH98" s="36" t="str">
        <f t="shared" si="44"/>
        <v/>
      </c>
      <c r="BI98" s="54">
        <f t="shared" si="45"/>
        <v>0</v>
      </c>
      <c r="BJ98" s="56">
        <f t="shared" si="46"/>
        <v>0</v>
      </c>
    </row>
    <row r="99" spans="1:62" x14ac:dyDescent="0.25">
      <c r="A99" s="1" t="s">
        <v>110</v>
      </c>
      <c r="B99" s="28"/>
      <c r="I99" s="5"/>
      <c r="J99" s="5"/>
      <c r="K99" s="30">
        <f t="shared" si="40"/>
        <v>10500</v>
      </c>
      <c r="L99" s="15"/>
      <c r="M99" s="7">
        <f t="shared" si="35"/>
        <v>0</v>
      </c>
      <c r="N99" s="15"/>
      <c r="O99" s="15">
        <f t="shared" si="41"/>
        <v>0</v>
      </c>
      <c r="P99" s="15"/>
      <c r="Q99" s="15">
        <f t="shared" si="47"/>
        <v>0</v>
      </c>
      <c r="R99" s="15">
        <f t="shared" si="47"/>
        <v>0</v>
      </c>
      <c r="T99" s="15">
        <f t="shared" si="36"/>
        <v>0</v>
      </c>
      <c r="U99" s="15"/>
      <c r="V99" s="15">
        <f t="shared" si="48"/>
        <v>0</v>
      </c>
      <c r="W99" s="15">
        <f t="shared" si="48"/>
        <v>0</v>
      </c>
      <c r="X99" s="15">
        <f t="shared" si="48"/>
        <v>0</v>
      </c>
      <c r="Y99" s="15"/>
      <c r="Z99" s="15">
        <f t="shared" si="49"/>
        <v>0</v>
      </c>
      <c r="AA99" s="15">
        <f t="shared" si="49"/>
        <v>0</v>
      </c>
      <c r="AB99" s="15"/>
      <c r="AC99" s="15">
        <f t="shared" si="37"/>
        <v>0</v>
      </c>
      <c r="AD99" s="15"/>
      <c r="AE99" s="15">
        <f t="shared" si="50"/>
        <v>0</v>
      </c>
      <c r="AF99" s="15">
        <f t="shared" si="50"/>
        <v>0</v>
      </c>
      <c r="AG99" s="15">
        <f t="shared" si="50"/>
        <v>0</v>
      </c>
      <c r="AH99" s="15"/>
      <c r="AI99" s="15">
        <f t="shared" si="51"/>
        <v>0</v>
      </c>
      <c r="AJ99" s="15">
        <f t="shared" si="51"/>
        <v>0</v>
      </c>
      <c r="AK99" s="15">
        <f t="shared" si="51"/>
        <v>0</v>
      </c>
      <c r="AL99" s="15">
        <f t="shared" si="51"/>
        <v>0</v>
      </c>
      <c r="AM99" s="15">
        <f t="shared" si="51"/>
        <v>0</v>
      </c>
      <c r="AN99" s="15">
        <f t="shared" si="51"/>
        <v>0</v>
      </c>
      <c r="AO99" s="15">
        <f t="shared" si="51"/>
        <v>0</v>
      </c>
      <c r="AP99" s="15">
        <f t="shared" si="51"/>
        <v>0</v>
      </c>
      <c r="AQ99" s="15">
        <f t="shared" si="51"/>
        <v>0</v>
      </c>
      <c r="AR99" s="15">
        <f t="shared" si="51"/>
        <v>0</v>
      </c>
      <c r="AS99" s="15">
        <f t="shared" si="51"/>
        <v>0</v>
      </c>
      <c r="AT99" s="15">
        <f t="shared" si="51"/>
        <v>0</v>
      </c>
      <c r="AU99" s="15">
        <f t="shared" si="51"/>
        <v>0</v>
      </c>
      <c r="AV99" s="15">
        <f t="shared" si="51"/>
        <v>0</v>
      </c>
      <c r="AW99" s="15">
        <f t="shared" si="51"/>
        <v>0</v>
      </c>
      <c r="AX99" s="15">
        <f t="shared" si="51"/>
        <v>0</v>
      </c>
      <c r="BB99" s="52" t="str">
        <f t="shared" si="43"/>
        <v/>
      </c>
      <c r="BC99" s="36" t="str">
        <f t="shared" si="38"/>
        <v/>
      </c>
      <c r="BD99" s="36"/>
      <c r="BE99" s="36" t="str">
        <f t="shared" si="39"/>
        <v/>
      </c>
      <c r="BF99" s="66" t="str">
        <f>IF(C99="","",IF($C$4="","",VLOOKUP($C$4,'Chart of Accounts'!$A:$B,2,FALSE)))</f>
        <v/>
      </c>
      <c r="BG99" s="55" t="str">
        <f>IF(C99="","",VLOOKUP(C:C,'Chart of Accounts'!$A:$B,2,FALSE))</f>
        <v/>
      </c>
      <c r="BH99" s="36" t="str">
        <f t="shared" si="44"/>
        <v/>
      </c>
      <c r="BI99" s="54">
        <f t="shared" si="45"/>
        <v>0</v>
      </c>
      <c r="BJ99" s="56">
        <f t="shared" si="46"/>
        <v>0</v>
      </c>
    </row>
    <row r="100" spans="1:62" x14ac:dyDescent="0.25">
      <c r="A100" s="1" t="s">
        <v>111</v>
      </c>
      <c r="B100" s="28"/>
      <c r="I100" s="5"/>
      <c r="J100" s="5"/>
      <c r="K100" s="30">
        <f t="shared" si="40"/>
        <v>10500</v>
      </c>
      <c r="L100" s="15"/>
      <c r="M100" s="7">
        <f t="shared" si="35"/>
        <v>0</v>
      </c>
      <c r="N100" s="15"/>
      <c r="O100" s="15">
        <f t="shared" si="41"/>
        <v>0</v>
      </c>
      <c r="P100" s="15"/>
      <c r="Q100" s="15">
        <f t="shared" si="47"/>
        <v>0</v>
      </c>
      <c r="R100" s="15">
        <f t="shared" si="47"/>
        <v>0</v>
      </c>
      <c r="T100" s="15">
        <f t="shared" si="36"/>
        <v>0</v>
      </c>
      <c r="U100" s="15"/>
      <c r="V100" s="15">
        <f t="shared" si="48"/>
        <v>0</v>
      </c>
      <c r="W100" s="15">
        <f t="shared" si="48"/>
        <v>0</v>
      </c>
      <c r="X100" s="15">
        <f t="shared" si="48"/>
        <v>0</v>
      </c>
      <c r="Y100" s="15"/>
      <c r="Z100" s="15">
        <f t="shared" si="49"/>
        <v>0</v>
      </c>
      <c r="AA100" s="15">
        <f t="shared" si="49"/>
        <v>0</v>
      </c>
      <c r="AB100" s="15"/>
      <c r="AC100" s="15">
        <f t="shared" si="37"/>
        <v>0</v>
      </c>
      <c r="AD100" s="15"/>
      <c r="AE100" s="15">
        <f t="shared" si="50"/>
        <v>0</v>
      </c>
      <c r="AF100" s="15">
        <f t="shared" si="50"/>
        <v>0</v>
      </c>
      <c r="AG100" s="15">
        <f t="shared" si="50"/>
        <v>0</v>
      </c>
      <c r="AH100" s="15"/>
      <c r="AI100" s="15">
        <f t="shared" si="51"/>
        <v>0</v>
      </c>
      <c r="AJ100" s="15">
        <f t="shared" si="51"/>
        <v>0</v>
      </c>
      <c r="AK100" s="15">
        <f t="shared" si="51"/>
        <v>0</v>
      </c>
      <c r="AL100" s="15">
        <f t="shared" si="51"/>
        <v>0</v>
      </c>
      <c r="AM100" s="15">
        <f t="shared" si="51"/>
        <v>0</v>
      </c>
      <c r="AN100" s="15">
        <f t="shared" si="51"/>
        <v>0</v>
      </c>
      <c r="AO100" s="15">
        <f t="shared" si="51"/>
        <v>0</v>
      </c>
      <c r="AP100" s="15">
        <f t="shared" si="51"/>
        <v>0</v>
      </c>
      <c r="AQ100" s="15">
        <f t="shared" si="51"/>
        <v>0</v>
      </c>
      <c r="AR100" s="15">
        <f t="shared" si="51"/>
        <v>0</v>
      </c>
      <c r="AS100" s="15">
        <f t="shared" si="51"/>
        <v>0</v>
      </c>
      <c r="AT100" s="15">
        <f t="shared" si="51"/>
        <v>0</v>
      </c>
      <c r="AU100" s="15">
        <f t="shared" si="51"/>
        <v>0</v>
      </c>
      <c r="AV100" s="15">
        <f t="shared" si="51"/>
        <v>0</v>
      </c>
      <c r="AW100" s="15">
        <f t="shared" si="51"/>
        <v>0</v>
      </c>
      <c r="AX100" s="15">
        <f t="shared" si="51"/>
        <v>0</v>
      </c>
      <c r="BB100" s="52" t="str">
        <f t="shared" si="43"/>
        <v/>
      </c>
      <c r="BC100" s="36" t="str">
        <f t="shared" si="38"/>
        <v/>
      </c>
      <c r="BD100" s="36"/>
      <c r="BE100" s="36" t="str">
        <f t="shared" si="39"/>
        <v/>
      </c>
      <c r="BF100" s="66" t="str">
        <f>IF(C100="","",IF($C$4="","",VLOOKUP($C$4,'Chart of Accounts'!$A:$B,2,FALSE)))</f>
        <v/>
      </c>
      <c r="BG100" s="55" t="str">
        <f>IF(C100="","",VLOOKUP(C:C,'Chart of Accounts'!$A:$B,2,FALSE))</f>
        <v/>
      </c>
      <c r="BH100" s="36" t="str">
        <f t="shared" si="44"/>
        <v/>
      </c>
      <c r="BI100" s="54">
        <f t="shared" si="45"/>
        <v>0</v>
      </c>
      <c r="BJ100" s="56">
        <f t="shared" si="46"/>
        <v>0</v>
      </c>
    </row>
    <row r="101" spans="1:62" x14ac:dyDescent="0.25">
      <c r="A101" s="1" t="s">
        <v>112</v>
      </c>
      <c r="B101" s="28"/>
      <c r="I101" s="5"/>
      <c r="J101" s="5"/>
      <c r="K101" s="30">
        <f t="shared" si="40"/>
        <v>10500</v>
      </c>
      <c r="L101" s="15"/>
      <c r="M101" s="7">
        <f t="shared" si="35"/>
        <v>0</v>
      </c>
      <c r="N101" s="15"/>
      <c r="O101" s="15">
        <f t="shared" si="41"/>
        <v>0</v>
      </c>
      <c r="P101" s="15"/>
      <c r="Q101" s="15">
        <f t="shared" si="47"/>
        <v>0</v>
      </c>
      <c r="R101" s="15">
        <f t="shared" si="47"/>
        <v>0</v>
      </c>
      <c r="T101" s="15">
        <f t="shared" si="36"/>
        <v>0</v>
      </c>
      <c r="U101" s="15"/>
      <c r="V101" s="15">
        <f t="shared" si="48"/>
        <v>0</v>
      </c>
      <c r="W101" s="15">
        <f t="shared" si="48"/>
        <v>0</v>
      </c>
      <c r="X101" s="15">
        <f t="shared" si="48"/>
        <v>0</v>
      </c>
      <c r="Y101" s="15"/>
      <c r="Z101" s="15">
        <f t="shared" si="49"/>
        <v>0</v>
      </c>
      <c r="AA101" s="15">
        <f t="shared" si="49"/>
        <v>0</v>
      </c>
      <c r="AB101" s="15"/>
      <c r="AC101" s="15">
        <f t="shared" si="37"/>
        <v>0</v>
      </c>
      <c r="AD101" s="15"/>
      <c r="AE101" s="15">
        <f t="shared" si="50"/>
        <v>0</v>
      </c>
      <c r="AF101" s="15">
        <f t="shared" si="50"/>
        <v>0</v>
      </c>
      <c r="AG101" s="15">
        <f t="shared" si="50"/>
        <v>0</v>
      </c>
      <c r="AH101" s="15"/>
      <c r="AI101" s="15">
        <f t="shared" si="51"/>
        <v>0</v>
      </c>
      <c r="AJ101" s="15">
        <f t="shared" si="51"/>
        <v>0</v>
      </c>
      <c r="AK101" s="15">
        <f t="shared" si="51"/>
        <v>0</v>
      </c>
      <c r="AL101" s="15">
        <f t="shared" si="51"/>
        <v>0</v>
      </c>
      <c r="AM101" s="15">
        <f t="shared" si="51"/>
        <v>0</v>
      </c>
      <c r="AN101" s="15">
        <f t="shared" si="51"/>
        <v>0</v>
      </c>
      <c r="AO101" s="15">
        <f t="shared" si="51"/>
        <v>0</v>
      </c>
      <c r="AP101" s="15">
        <f t="shared" si="51"/>
        <v>0</v>
      </c>
      <c r="AQ101" s="15">
        <f t="shared" si="51"/>
        <v>0</v>
      </c>
      <c r="AR101" s="15">
        <f t="shared" si="51"/>
        <v>0</v>
      </c>
      <c r="AS101" s="15">
        <f t="shared" si="51"/>
        <v>0</v>
      </c>
      <c r="AT101" s="15">
        <f t="shared" si="51"/>
        <v>0</v>
      </c>
      <c r="AU101" s="15">
        <f t="shared" si="51"/>
        <v>0</v>
      </c>
      <c r="AV101" s="15">
        <f t="shared" si="51"/>
        <v>0</v>
      </c>
      <c r="AW101" s="15">
        <f t="shared" si="51"/>
        <v>0</v>
      </c>
      <c r="AX101" s="15">
        <f t="shared" si="51"/>
        <v>0</v>
      </c>
      <c r="BB101" s="52" t="str">
        <f t="shared" si="43"/>
        <v/>
      </c>
      <c r="BC101" s="36" t="str">
        <f t="shared" si="38"/>
        <v/>
      </c>
      <c r="BD101" s="36"/>
      <c r="BE101" s="36" t="str">
        <f t="shared" si="39"/>
        <v/>
      </c>
      <c r="BF101" s="66" t="str">
        <f>IF(C101="","",IF($C$4="","",VLOOKUP($C$4,'Chart of Accounts'!$A:$B,2,FALSE)))</f>
        <v/>
      </c>
      <c r="BG101" s="55" t="str">
        <f>IF(C101="","",VLOOKUP(C:C,'Chart of Accounts'!$A:$B,2,FALSE))</f>
        <v/>
      </c>
      <c r="BH101" s="36" t="str">
        <f t="shared" si="44"/>
        <v/>
      </c>
      <c r="BI101" s="54">
        <f t="shared" si="45"/>
        <v>0</v>
      </c>
      <c r="BJ101" s="56">
        <f t="shared" si="46"/>
        <v>0</v>
      </c>
    </row>
    <row r="102" spans="1:62" x14ac:dyDescent="0.25">
      <c r="A102" s="1" t="s">
        <v>113</v>
      </c>
      <c r="B102" s="28"/>
      <c r="I102" s="5"/>
      <c r="J102" s="5"/>
      <c r="K102" s="30">
        <f t="shared" si="40"/>
        <v>10500</v>
      </c>
      <c r="L102" s="15"/>
      <c r="M102" s="7">
        <f t="shared" si="35"/>
        <v>0</v>
      </c>
      <c r="N102" s="15"/>
      <c r="O102" s="15">
        <f t="shared" si="41"/>
        <v>0</v>
      </c>
      <c r="P102" s="15"/>
      <c r="Q102" s="15">
        <f t="shared" si="47"/>
        <v>0</v>
      </c>
      <c r="R102" s="15">
        <f t="shared" si="47"/>
        <v>0</v>
      </c>
      <c r="T102" s="15">
        <f t="shared" si="36"/>
        <v>0</v>
      </c>
      <c r="U102" s="15"/>
      <c r="V102" s="15">
        <f t="shared" si="48"/>
        <v>0</v>
      </c>
      <c r="W102" s="15">
        <f t="shared" si="48"/>
        <v>0</v>
      </c>
      <c r="X102" s="15">
        <f t="shared" si="48"/>
        <v>0</v>
      </c>
      <c r="Y102" s="15"/>
      <c r="Z102" s="15">
        <f t="shared" si="49"/>
        <v>0</v>
      </c>
      <c r="AA102" s="15">
        <f t="shared" si="49"/>
        <v>0</v>
      </c>
      <c r="AB102" s="15"/>
      <c r="AC102" s="15">
        <f t="shared" si="37"/>
        <v>0</v>
      </c>
      <c r="AD102" s="15"/>
      <c r="AE102" s="15">
        <f t="shared" si="50"/>
        <v>0</v>
      </c>
      <c r="AF102" s="15">
        <f t="shared" si="50"/>
        <v>0</v>
      </c>
      <c r="AG102" s="15">
        <f t="shared" si="50"/>
        <v>0</v>
      </c>
      <c r="AH102" s="15"/>
      <c r="AI102" s="15">
        <f t="shared" si="51"/>
        <v>0</v>
      </c>
      <c r="AJ102" s="15">
        <f t="shared" si="51"/>
        <v>0</v>
      </c>
      <c r="AK102" s="15">
        <f t="shared" si="51"/>
        <v>0</v>
      </c>
      <c r="AL102" s="15">
        <f t="shared" si="51"/>
        <v>0</v>
      </c>
      <c r="AM102" s="15">
        <f t="shared" si="51"/>
        <v>0</v>
      </c>
      <c r="AN102" s="15">
        <f t="shared" si="51"/>
        <v>0</v>
      </c>
      <c r="AO102" s="15">
        <f t="shared" si="51"/>
        <v>0</v>
      </c>
      <c r="AP102" s="15">
        <f t="shared" si="51"/>
        <v>0</v>
      </c>
      <c r="AQ102" s="15">
        <f t="shared" si="51"/>
        <v>0</v>
      </c>
      <c r="AR102" s="15">
        <f t="shared" si="51"/>
        <v>0</v>
      </c>
      <c r="AS102" s="15">
        <f t="shared" si="51"/>
        <v>0</v>
      </c>
      <c r="AT102" s="15">
        <f t="shared" si="51"/>
        <v>0</v>
      </c>
      <c r="AU102" s="15">
        <f t="shared" si="51"/>
        <v>0</v>
      </c>
      <c r="AV102" s="15">
        <f t="shared" si="51"/>
        <v>0</v>
      </c>
      <c r="AW102" s="15">
        <f t="shared" si="51"/>
        <v>0</v>
      </c>
      <c r="AX102" s="15">
        <f t="shared" si="51"/>
        <v>0</v>
      </c>
      <c r="BB102" s="52" t="str">
        <f t="shared" si="43"/>
        <v/>
      </c>
      <c r="BC102" s="36" t="str">
        <f t="shared" si="38"/>
        <v/>
      </c>
      <c r="BD102" s="36"/>
      <c r="BE102" s="36" t="str">
        <f t="shared" si="39"/>
        <v/>
      </c>
      <c r="BF102" s="66" t="str">
        <f>IF(C102="","",IF($C$4="","",VLOOKUP($C$4,'Chart of Accounts'!$A:$B,2,FALSE)))</f>
        <v/>
      </c>
      <c r="BG102" s="55" t="str">
        <f>IF(C102="","",VLOOKUP(C:C,'Chart of Accounts'!$A:$B,2,FALSE))</f>
        <v/>
      </c>
      <c r="BH102" s="36" t="str">
        <f t="shared" si="44"/>
        <v/>
      </c>
      <c r="BI102" s="54">
        <f t="shared" si="45"/>
        <v>0</v>
      </c>
      <c r="BJ102" s="56">
        <f t="shared" si="46"/>
        <v>0</v>
      </c>
    </row>
    <row r="103" spans="1:62" x14ac:dyDescent="0.25">
      <c r="B103" s="4"/>
      <c r="I103" s="5"/>
      <c r="J103" s="5"/>
      <c r="K103" s="30"/>
      <c r="L103" s="15"/>
      <c r="M103" s="7"/>
      <c r="N103" s="15"/>
      <c r="P103" s="15"/>
      <c r="BB103" s="4"/>
      <c r="BF103" s="67"/>
    </row>
    <row r="104" spans="1:62" s="15" customFormat="1" ht="13.5" thickBot="1" x14ac:dyDescent="0.3">
      <c r="B104" s="16"/>
      <c r="I104" s="17">
        <f>SUBTOTAL(9,I11:I103)</f>
        <v>1000</v>
      </c>
      <c r="J104" s="17">
        <f>SUBTOTAL(9,J11:J103)</f>
        <v>-500</v>
      </c>
      <c r="K104" s="31"/>
      <c r="M104" s="7">
        <f>SUM(I104:J104)-SUM(N104:AY104)</f>
        <v>0</v>
      </c>
      <c r="O104" s="17">
        <f>SUBTOTAL(9,O11:O103)</f>
        <v>0</v>
      </c>
      <c r="Q104" s="17">
        <f>SUBTOTAL(9,Q11:Q103)</f>
        <v>0</v>
      </c>
      <c r="R104" s="17">
        <f>SUBTOTAL(9,R11:R103)</f>
        <v>0</v>
      </c>
      <c r="S104" s="1"/>
      <c r="T104" s="17">
        <f>SUBTOTAL(9,T11:T103)</f>
        <v>0</v>
      </c>
      <c r="U104" s="1"/>
      <c r="V104" s="17">
        <f>SUBTOTAL(9,V11:V103)</f>
        <v>0</v>
      </c>
      <c r="W104" s="17">
        <f>SUBTOTAL(9,W11:W103)</f>
        <v>0</v>
      </c>
      <c r="X104" s="17">
        <f>SUBTOTAL(9,X11:X103)</f>
        <v>0</v>
      </c>
      <c r="Y104" s="1"/>
      <c r="Z104" s="17">
        <f>SUBTOTAL(9,Z11:Z103)</f>
        <v>1000</v>
      </c>
      <c r="AA104" s="17">
        <f>SUBTOTAL(9,AA11:AA103)</f>
        <v>0</v>
      </c>
      <c r="AB104" s="1"/>
      <c r="AC104" s="17">
        <f>SUBTOTAL(9,AC11:AC103)</f>
        <v>0</v>
      </c>
      <c r="AD104" s="1"/>
      <c r="AE104" s="17">
        <f>SUBTOTAL(9,AE11:AE103)</f>
        <v>0</v>
      </c>
      <c r="AF104" s="17">
        <f>SUBTOTAL(9,AF11:AF103)</f>
        <v>0</v>
      </c>
      <c r="AG104" s="17">
        <f>SUBTOTAL(9,AG11:AG103)</f>
        <v>0</v>
      </c>
      <c r="AH104" s="1"/>
      <c r="AI104" s="17">
        <f t="shared" ref="AI104:AX104" si="52">SUBTOTAL(9,AI11:AI103)</f>
        <v>0</v>
      </c>
      <c r="AJ104" s="17">
        <f t="shared" si="52"/>
        <v>0</v>
      </c>
      <c r="AK104" s="17">
        <f t="shared" si="52"/>
        <v>0</v>
      </c>
      <c r="AL104" s="17">
        <f t="shared" si="52"/>
        <v>0</v>
      </c>
      <c r="AM104" s="17">
        <f t="shared" si="52"/>
        <v>0</v>
      </c>
      <c r="AN104" s="17">
        <f t="shared" si="52"/>
        <v>0</v>
      </c>
      <c r="AO104" s="17">
        <f t="shared" si="52"/>
        <v>0</v>
      </c>
      <c r="AP104" s="17">
        <f t="shared" si="52"/>
        <v>0</v>
      </c>
      <c r="AQ104" s="17">
        <f t="shared" si="52"/>
        <v>-500</v>
      </c>
      <c r="AR104" s="17">
        <f t="shared" si="52"/>
        <v>0</v>
      </c>
      <c r="AS104" s="17">
        <f t="shared" si="52"/>
        <v>0</v>
      </c>
      <c r="AT104" s="17">
        <f t="shared" si="52"/>
        <v>0</v>
      </c>
      <c r="AU104" s="17">
        <f t="shared" si="52"/>
        <v>0</v>
      </c>
      <c r="AV104" s="17">
        <f t="shared" si="52"/>
        <v>0</v>
      </c>
      <c r="AW104" s="17">
        <f t="shared" si="52"/>
        <v>0</v>
      </c>
      <c r="AX104" s="17">
        <f t="shared" si="52"/>
        <v>0</v>
      </c>
      <c r="AY104" s="1"/>
      <c r="BB104" s="16"/>
      <c r="BD104" s="1"/>
      <c r="BE104" s="1"/>
      <c r="BF104" s="68"/>
      <c r="BI104" s="17">
        <f>SUBTOTAL(9,BI11:BI103)</f>
        <v>500</v>
      </c>
      <c r="BJ104" s="17">
        <f>SUBTOTAL(9,BJ11:BJ103)</f>
        <v>-500</v>
      </c>
    </row>
  </sheetData>
  <sheetCalcPr fullCalcOnLoad="1"/>
  <autoFilter ref="A10:BA10" xr:uid="{16966036-35DF-43C7-9347-C4348B34D755}"/>
  <mergeCells count="1">
    <mergeCell ref="C9:F9"/>
  </mergeCells>
  <phoneticPr fontId="2" type="noConversion"/>
  <pageMargins left="0.39370078740157483" right="0.39370078740157483" top="0.39370078740157483" bottom="0.39370078740157483" header="0.19685039370078741" footer="0.39370078740157483"/>
  <pageSetup paperSize="9" scale="33" fitToWidth="2" fitToHeight="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8C53-D236-48EF-95F8-60412637921B}">
  <dimension ref="A1:B107"/>
  <sheetViews>
    <sheetView zoomScale="115" zoomScaleNormal="115" workbookViewId="0">
      <pane ySplit="1" topLeftCell="A17" activePane="bottomLeft" state="frozen"/>
      <selection pane="bottomLeft" activeCell="A35" sqref="A35"/>
    </sheetView>
  </sheetViews>
  <sheetFormatPr defaultRowHeight="12.75" x14ac:dyDescent="0.25"/>
  <cols>
    <col min="1" max="1" width="26" style="39" bestFit="1" customWidth="1"/>
    <col min="2" max="2" width="10" style="39" bestFit="1" customWidth="1"/>
    <col min="3" max="16384" width="9" style="1"/>
  </cols>
  <sheetData>
    <row r="1" spans="1:2" x14ac:dyDescent="0.25">
      <c r="A1" s="41" t="s">
        <v>120</v>
      </c>
      <c r="B1" s="41" t="s">
        <v>121</v>
      </c>
    </row>
    <row r="2" spans="1:2" x14ac:dyDescent="0.25">
      <c r="A2" s="39" t="s">
        <v>122</v>
      </c>
      <c r="B2" s="42">
        <v>1000</v>
      </c>
    </row>
    <row r="3" spans="1:2" x14ac:dyDescent="0.25">
      <c r="A3" s="39" t="s">
        <v>123</v>
      </c>
      <c r="B3" s="42">
        <v>1010</v>
      </c>
    </row>
    <row r="4" spans="1:2" x14ac:dyDescent="0.25">
      <c r="A4" s="39" t="s">
        <v>124</v>
      </c>
      <c r="B4" s="42">
        <v>1020</v>
      </c>
    </row>
    <row r="5" spans="1:2" x14ac:dyDescent="0.25">
      <c r="A5" s="39" t="s">
        <v>125</v>
      </c>
      <c r="B5" s="42">
        <v>1030</v>
      </c>
    </row>
    <row r="6" spans="1:2" x14ac:dyDescent="0.25">
      <c r="A6" s="39" t="s">
        <v>126</v>
      </c>
      <c r="B6" s="42">
        <v>1040</v>
      </c>
    </row>
    <row r="7" spans="1:2" x14ac:dyDescent="0.25">
      <c r="A7" s="39" t="s">
        <v>225</v>
      </c>
      <c r="B7" s="42">
        <v>1050</v>
      </c>
    </row>
    <row r="8" spans="1:2" x14ac:dyDescent="0.25">
      <c r="A8" s="39" t="s">
        <v>226</v>
      </c>
      <c r="B8" s="42">
        <v>1060</v>
      </c>
    </row>
    <row r="9" spans="1:2" x14ac:dyDescent="0.25">
      <c r="A9" s="39" t="s">
        <v>234</v>
      </c>
      <c r="B9" s="42">
        <v>1080</v>
      </c>
    </row>
    <row r="10" spans="1:2" x14ac:dyDescent="0.25">
      <c r="A10" s="39" t="s">
        <v>127</v>
      </c>
      <c r="B10" s="42">
        <v>1090</v>
      </c>
    </row>
    <row r="11" spans="1:2" x14ac:dyDescent="0.25">
      <c r="A11" s="39" t="s">
        <v>210</v>
      </c>
      <c r="B11" s="42">
        <v>1099</v>
      </c>
    </row>
    <row r="12" spans="1:2" x14ac:dyDescent="0.25">
      <c r="A12" s="39" t="s">
        <v>128</v>
      </c>
      <c r="B12" s="42">
        <v>1100</v>
      </c>
    </row>
    <row r="13" spans="1:2" x14ac:dyDescent="0.25">
      <c r="A13" s="39" t="s">
        <v>129</v>
      </c>
      <c r="B13" s="42">
        <v>1120</v>
      </c>
    </row>
    <row r="14" spans="1:2" x14ac:dyDescent="0.25">
      <c r="A14" s="39" t="s">
        <v>130</v>
      </c>
      <c r="B14" s="42">
        <v>1150</v>
      </c>
    </row>
    <row r="15" spans="1:2" x14ac:dyDescent="0.25">
      <c r="A15" s="39" t="s">
        <v>236</v>
      </c>
      <c r="B15" s="42">
        <v>1200</v>
      </c>
    </row>
    <row r="16" spans="1:2" x14ac:dyDescent="0.25">
      <c r="A16" s="39" t="s">
        <v>131</v>
      </c>
      <c r="B16" s="42">
        <v>1300</v>
      </c>
    </row>
    <row r="17" spans="1:2" x14ac:dyDescent="0.25">
      <c r="A17" s="39" t="s">
        <v>132</v>
      </c>
      <c r="B17" s="42">
        <v>1400</v>
      </c>
    </row>
    <row r="18" spans="1:2" x14ac:dyDescent="0.25">
      <c r="A18" s="39" t="s">
        <v>133</v>
      </c>
      <c r="B18" s="42">
        <v>1500</v>
      </c>
    </row>
    <row r="19" spans="1:2" x14ac:dyDescent="0.25">
      <c r="A19" s="39" t="s">
        <v>134</v>
      </c>
      <c r="B19" s="42">
        <v>1550</v>
      </c>
    </row>
    <row r="20" spans="1:2" x14ac:dyDescent="0.25">
      <c r="A20" s="39" t="s">
        <v>135</v>
      </c>
      <c r="B20" s="42">
        <v>1600</v>
      </c>
    </row>
    <row r="21" spans="1:2" x14ac:dyDescent="0.25">
      <c r="A21" s="39" t="s">
        <v>136</v>
      </c>
      <c r="B21" s="42">
        <v>1650</v>
      </c>
    </row>
    <row r="22" spans="1:2" x14ac:dyDescent="0.25">
      <c r="A22" s="39" t="s">
        <v>137</v>
      </c>
      <c r="B22" s="42">
        <v>1700</v>
      </c>
    </row>
    <row r="23" spans="1:2" x14ac:dyDescent="0.25">
      <c r="A23" s="39" t="s">
        <v>211</v>
      </c>
      <c r="B23" s="42">
        <v>1710</v>
      </c>
    </row>
    <row r="24" spans="1:2" x14ac:dyDescent="0.25">
      <c r="A24" s="39" t="s">
        <v>212</v>
      </c>
      <c r="B24" s="42">
        <v>1750</v>
      </c>
    </row>
    <row r="25" spans="1:2" x14ac:dyDescent="0.25">
      <c r="A25" s="39" t="s">
        <v>213</v>
      </c>
      <c r="B25" s="42">
        <v>1800</v>
      </c>
    </row>
    <row r="26" spans="1:2" x14ac:dyDescent="0.25">
      <c r="A26" s="39" t="s">
        <v>214</v>
      </c>
      <c r="B26" s="42">
        <v>1850</v>
      </c>
    </row>
    <row r="27" spans="1:2" x14ac:dyDescent="0.25">
      <c r="A27" s="39" t="s">
        <v>215</v>
      </c>
      <c r="B27" s="42">
        <v>1880</v>
      </c>
    </row>
    <row r="28" spans="1:2" x14ac:dyDescent="0.25">
      <c r="A28" s="39" t="s">
        <v>216</v>
      </c>
      <c r="B28" s="42">
        <v>1885</v>
      </c>
    </row>
    <row r="29" spans="1:2" x14ac:dyDescent="0.25">
      <c r="A29" s="39" t="s">
        <v>138</v>
      </c>
      <c r="B29" s="42">
        <v>1900</v>
      </c>
    </row>
    <row r="30" spans="1:2" x14ac:dyDescent="0.25">
      <c r="A30" s="39" t="s">
        <v>139</v>
      </c>
      <c r="B30" s="42">
        <v>1950</v>
      </c>
    </row>
    <row r="31" spans="1:2" x14ac:dyDescent="0.25">
      <c r="A31" s="39" t="s">
        <v>140</v>
      </c>
      <c r="B31" s="42">
        <v>2000</v>
      </c>
    </row>
    <row r="32" spans="1:2" x14ac:dyDescent="0.25">
      <c r="A32" s="39" t="s">
        <v>141</v>
      </c>
      <c r="B32" s="42">
        <v>2050</v>
      </c>
    </row>
    <row r="33" spans="1:2" x14ac:dyDescent="0.25">
      <c r="A33" s="39" t="s">
        <v>142</v>
      </c>
      <c r="B33" s="42">
        <v>2100</v>
      </c>
    </row>
    <row r="34" spans="1:2" x14ac:dyDescent="0.25">
      <c r="A34" s="39" t="s">
        <v>17</v>
      </c>
      <c r="B34" s="42">
        <v>2200</v>
      </c>
    </row>
    <row r="35" spans="1:2" x14ac:dyDescent="0.25">
      <c r="A35" s="39" t="s">
        <v>143</v>
      </c>
      <c r="B35" s="42">
        <v>2400</v>
      </c>
    </row>
    <row r="36" spans="1:2" x14ac:dyDescent="0.25">
      <c r="A36" s="39" t="s">
        <v>144</v>
      </c>
      <c r="B36" s="42">
        <v>2500</v>
      </c>
    </row>
    <row r="37" spans="1:2" x14ac:dyDescent="0.25">
      <c r="A37" s="39" t="s">
        <v>145</v>
      </c>
      <c r="B37" s="42">
        <v>2700</v>
      </c>
    </row>
    <row r="38" spans="1:2" x14ac:dyDescent="0.25">
      <c r="A38" s="39" t="s">
        <v>146</v>
      </c>
      <c r="B38" s="42">
        <v>2800</v>
      </c>
    </row>
    <row r="39" spans="1:2" x14ac:dyDescent="0.25">
      <c r="A39" s="39" t="s">
        <v>147</v>
      </c>
      <c r="B39" s="42">
        <v>2900</v>
      </c>
    </row>
    <row r="40" spans="1:2" x14ac:dyDescent="0.25">
      <c r="A40" s="39" t="s">
        <v>148</v>
      </c>
      <c r="B40" s="42">
        <v>3910</v>
      </c>
    </row>
    <row r="41" spans="1:2" x14ac:dyDescent="0.25">
      <c r="A41" s="39" t="s">
        <v>149</v>
      </c>
      <c r="B41" s="42">
        <v>3920</v>
      </c>
    </row>
    <row r="42" spans="1:2" x14ac:dyDescent="0.25">
      <c r="A42" s="39" t="s">
        <v>150</v>
      </c>
      <c r="B42" s="42">
        <v>3930</v>
      </c>
    </row>
    <row r="43" spans="1:2" x14ac:dyDescent="0.25">
      <c r="A43" s="39" t="s">
        <v>151</v>
      </c>
      <c r="B43" s="42">
        <v>4000</v>
      </c>
    </row>
    <row r="44" spans="1:2" x14ac:dyDescent="0.25">
      <c r="A44" s="39" t="s">
        <v>152</v>
      </c>
      <c r="B44" s="42">
        <v>4050</v>
      </c>
    </row>
    <row r="45" spans="1:2" x14ac:dyDescent="0.25">
      <c r="A45" s="39" t="s">
        <v>153</v>
      </c>
      <c r="B45" s="42">
        <v>4100</v>
      </c>
    </row>
    <row r="46" spans="1:2" x14ac:dyDescent="0.25">
      <c r="A46" s="39" t="s">
        <v>154</v>
      </c>
      <c r="B46" s="42">
        <v>4200</v>
      </c>
    </row>
    <row r="47" spans="1:2" x14ac:dyDescent="0.25">
      <c r="A47" s="39" t="s">
        <v>155</v>
      </c>
      <c r="B47" s="42">
        <v>4300</v>
      </c>
    </row>
    <row r="48" spans="1:2" x14ac:dyDescent="0.25">
      <c r="A48" s="39" t="s">
        <v>227</v>
      </c>
      <c r="B48" s="42">
        <v>4900</v>
      </c>
    </row>
    <row r="49" spans="1:2" x14ac:dyDescent="0.25">
      <c r="A49" s="39" t="s">
        <v>156</v>
      </c>
      <c r="B49" s="42">
        <v>5000</v>
      </c>
    </row>
    <row r="50" spans="1:2" x14ac:dyDescent="0.25">
      <c r="A50" s="39" t="s">
        <v>157</v>
      </c>
      <c r="B50" s="42">
        <v>5100</v>
      </c>
    </row>
    <row r="51" spans="1:2" x14ac:dyDescent="0.25">
      <c r="A51" s="39" t="s">
        <v>20</v>
      </c>
      <c r="B51" s="42">
        <v>5200</v>
      </c>
    </row>
    <row r="52" spans="1:2" x14ac:dyDescent="0.25">
      <c r="A52" s="39" t="s">
        <v>158</v>
      </c>
      <c r="B52" s="42">
        <v>5300</v>
      </c>
    </row>
    <row r="53" spans="1:2" x14ac:dyDescent="0.25">
      <c r="A53" s="39" t="s">
        <v>159</v>
      </c>
      <c r="B53" s="42">
        <v>5400</v>
      </c>
    </row>
    <row r="54" spans="1:2" x14ac:dyDescent="0.25">
      <c r="A54" s="39" t="s">
        <v>217</v>
      </c>
      <c r="B54" s="42">
        <v>5500</v>
      </c>
    </row>
    <row r="55" spans="1:2" x14ac:dyDescent="0.25">
      <c r="A55" s="39" t="s">
        <v>218</v>
      </c>
      <c r="B55" s="42">
        <v>5600</v>
      </c>
    </row>
    <row r="56" spans="1:2" x14ac:dyDescent="0.25">
      <c r="A56" s="39" t="s">
        <v>202</v>
      </c>
      <c r="B56" s="42">
        <v>5700</v>
      </c>
    </row>
    <row r="57" spans="1:2" x14ac:dyDescent="0.25">
      <c r="A57" s="39" t="s">
        <v>160</v>
      </c>
      <c r="B57" s="42">
        <v>5800</v>
      </c>
    </row>
    <row r="58" spans="1:2" x14ac:dyDescent="0.25">
      <c r="A58" s="39" t="s">
        <v>161</v>
      </c>
      <c r="B58" s="42">
        <v>5900</v>
      </c>
    </row>
    <row r="59" spans="1:2" x14ac:dyDescent="0.25">
      <c r="A59" s="39" t="s">
        <v>162</v>
      </c>
      <c r="B59" s="42">
        <v>6000</v>
      </c>
    </row>
    <row r="60" spans="1:2" x14ac:dyDescent="0.25">
      <c r="A60" s="39" t="s">
        <v>163</v>
      </c>
      <c r="B60" s="42">
        <v>6050</v>
      </c>
    </row>
    <row r="61" spans="1:2" x14ac:dyDescent="0.25">
      <c r="A61" s="39" t="s">
        <v>219</v>
      </c>
      <c r="B61" s="42">
        <v>6080</v>
      </c>
    </row>
    <row r="62" spans="1:2" x14ac:dyDescent="0.25">
      <c r="A62" s="39" t="s">
        <v>164</v>
      </c>
      <c r="B62" s="42">
        <v>6100</v>
      </c>
    </row>
    <row r="63" spans="1:2" x14ac:dyDescent="0.25">
      <c r="A63" s="39" t="s">
        <v>165</v>
      </c>
      <c r="B63" s="42">
        <v>6150</v>
      </c>
    </row>
    <row r="64" spans="1:2" x14ac:dyDescent="0.25">
      <c r="A64" s="39" t="s">
        <v>166</v>
      </c>
      <c r="B64" s="42">
        <v>6200</v>
      </c>
    </row>
    <row r="65" spans="1:2" x14ac:dyDescent="0.25">
      <c r="A65" s="39" t="s">
        <v>167</v>
      </c>
      <c r="B65" s="42">
        <v>6220</v>
      </c>
    </row>
    <row r="66" spans="1:2" x14ac:dyDescent="0.25">
      <c r="A66" s="39" t="s">
        <v>168</v>
      </c>
      <c r="B66" s="42">
        <v>6250</v>
      </c>
    </row>
    <row r="67" spans="1:2" x14ac:dyDescent="0.25">
      <c r="A67" s="39" t="s">
        <v>169</v>
      </c>
      <c r="B67" s="42">
        <v>6300</v>
      </c>
    </row>
    <row r="68" spans="1:2" x14ac:dyDescent="0.25">
      <c r="A68" s="39" t="s">
        <v>220</v>
      </c>
      <c r="B68" s="42">
        <v>6310</v>
      </c>
    </row>
    <row r="69" spans="1:2" x14ac:dyDescent="0.25">
      <c r="A69" s="39" t="s">
        <v>170</v>
      </c>
      <c r="B69" s="42">
        <v>6320</v>
      </c>
    </row>
    <row r="70" spans="1:2" x14ac:dyDescent="0.25">
      <c r="A70" s="39" t="s">
        <v>171</v>
      </c>
      <c r="B70" s="42">
        <v>6350</v>
      </c>
    </row>
    <row r="71" spans="1:2" x14ac:dyDescent="0.25">
      <c r="A71" s="39" t="s">
        <v>221</v>
      </c>
      <c r="B71" s="42">
        <v>6360</v>
      </c>
    </row>
    <row r="72" spans="1:2" x14ac:dyDescent="0.25">
      <c r="A72" s="39" t="s">
        <v>172</v>
      </c>
      <c r="B72" s="42">
        <v>6380</v>
      </c>
    </row>
    <row r="73" spans="1:2" x14ac:dyDescent="0.25">
      <c r="A73" s="39" t="s">
        <v>173</v>
      </c>
      <c r="B73" s="42">
        <v>6400</v>
      </c>
    </row>
    <row r="74" spans="1:2" x14ac:dyDescent="0.25">
      <c r="A74" s="39" t="s">
        <v>174</v>
      </c>
      <c r="B74" s="42">
        <v>6450</v>
      </c>
    </row>
    <row r="75" spans="1:2" x14ac:dyDescent="0.25">
      <c r="A75" s="39" t="s">
        <v>175</v>
      </c>
      <c r="B75" s="42">
        <v>6500</v>
      </c>
    </row>
    <row r="76" spans="1:2" x14ac:dyDescent="0.25">
      <c r="A76" s="39" t="s">
        <v>176</v>
      </c>
      <c r="B76" s="42">
        <v>6550</v>
      </c>
    </row>
    <row r="77" spans="1:2" x14ac:dyDescent="0.25">
      <c r="A77" s="39" t="s">
        <v>177</v>
      </c>
      <c r="B77" s="42">
        <v>6580</v>
      </c>
    </row>
    <row r="78" spans="1:2" x14ac:dyDescent="0.25">
      <c r="A78" s="39" t="s">
        <v>178</v>
      </c>
      <c r="B78" s="42">
        <v>6600</v>
      </c>
    </row>
    <row r="79" spans="1:2" x14ac:dyDescent="0.25">
      <c r="A79" s="39" t="s">
        <v>5</v>
      </c>
      <c r="B79" s="42">
        <v>6650</v>
      </c>
    </row>
    <row r="80" spans="1:2" x14ac:dyDescent="0.25">
      <c r="A80" s="39" t="s">
        <v>179</v>
      </c>
      <c r="B80" s="42">
        <v>6680</v>
      </c>
    </row>
    <row r="81" spans="1:2" x14ac:dyDescent="0.25">
      <c r="A81" s="39" t="s">
        <v>180</v>
      </c>
      <c r="B81" s="42">
        <v>6700</v>
      </c>
    </row>
    <row r="82" spans="1:2" x14ac:dyDescent="0.25">
      <c r="A82" s="39" t="s">
        <v>181</v>
      </c>
      <c r="B82" s="42">
        <v>6750</v>
      </c>
    </row>
    <row r="83" spans="1:2" x14ac:dyDescent="0.25">
      <c r="A83" s="39" t="s">
        <v>182</v>
      </c>
      <c r="B83" s="42">
        <v>6780</v>
      </c>
    </row>
    <row r="84" spans="1:2" x14ac:dyDescent="0.25">
      <c r="A84" s="39" t="s">
        <v>183</v>
      </c>
      <c r="B84" s="42">
        <v>6800</v>
      </c>
    </row>
    <row r="85" spans="1:2" x14ac:dyDescent="0.25">
      <c r="A85" s="39" t="s">
        <v>184</v>
      </c>
      <c r="B85" s="42">
        <v>6850</v>
      </c>
    </row>
    <row r="86" spans="1:2" x14ac:dyDescent="0.25">
      <c r="A86" s="39" t="s">
        <v>185</v>
      </c>
      <c r="B86" s="42">
        <v>6900</v>
      </c>
    </row>
    <row r="87" spans="1:2" x14ac:dyDescent="0.25">
      <c r="A87" s="39" t="s">
        <v>186</v>
      </c>
      <c r="B87" s="42">
        <v>6950</v>
      </c>
    </row>
    <row r="88" spans="1:2" x14ac:dyDescent="0.25">
      <c r="A88" s="39" t="s">
        <v>187</v>
      </c>
      <c r="B88" s="42">
        <v>7000</v>
      </c>
    </row>
    <row r="89" spans="1:2" x14ac:dyDescent="0.25">
      <c r="A89" s="39" t="s">
        <v>188</v>
      </c>
      <c r="B89" s="42">
        <v>7050</v>
      </c>
    </row>
    <row r="90" spans="1:2" x14ac:dyDescent="0.25">
      <c r="A90" s="39" t="s">
        <v>189</v>
      </c>
      <c r="B90" s="42">
        <v>7100</v>
      </c>
    </row>
    <row r="91" spans="1:2" x14ac:dyDescent="0.25">
      <c r="A91" s="39" t="s">
        <v>190</v>
      </c>
      <c r="B91" s="42">
        <v>7150</v>
      </c>
    </row>
    <row r="92" spans="1:2" x14ac:dyDescent="0.25">
      <c r="A92" s="39" t="s">
        <v>222</v>
      </c>
      <c r="B92" s="42">
        <v>7160</v>
      </c>
    </row>
    <row r="93" spans="1:2" x14ac:dyDescent="0.25">
      <c r="A93" s="39" t="s">
        <v>191</v>
      </c>
      <c r="B93" s="42">
        <v>7200</v>
      </c>
    </row>
    <row r="94" spans="1:2" x14ac:dyDescent="0.25">
      <c r="A94" s="39" t="s">
        <v>192</v>
      </c>
      <c r="B94" s="42">
        <v>7250</v>
      </c>
    </row>
    <row r="95" spans="1:2" x14ac:dyDescent="0.25">
      <c r="A95" s="39" t="s">
        <v>193</v>
      </c>
      <c r="B95" s="42">
        <v>7300</v>
      </c>
    </row>
    <row r="96" spans="1:2" x14ac:dyDescent="0.25">
      <c r="A96" s="39" t="s">
        <v>194</v>
      </c>
      <c r="B96" s="42">
        <v>7350</v>
      </c>
    </row>
    <row r="97" spans="1:2" x14ac:dyDescent="0.25">
      <c r="A97" s="39" t="s">
        <v>223</v>
      </c>
      <c r="B97" s="42">
        <v>7360</v>
      </c>
    </row>
    <row r="98" spans="1:2" x14ac:dyDescent="0.25">
      <c r="A98" s="39" t="s">
        <v>195</v>
      </c>
      <c r="B98" s="42">
        <v>7400</v>
      </c>
    </row>
    <row r="99" spans="1:2" x14ac:dyDescent="0.25">
      <c r="A99" s="39" t="s">
        <v>196</v>
      </c>
      <c r="B99" s="42">
        <v>7450</v>
      </c>
    </row>
    <row r="100" spans="1:2" x14ac:dyDescent="0.25">
      <c r="A100" s="39" t="s">
        <v>197</v>
      </c>
      <c r="B100" s="42">
        <v>7500</v>
      </c>
    </row>
    <row r="101" spans="1:2" x14ac:dyDescent="0.25">
      <c r="A101" s="39" t="s">
        <v>198</v>
      </c>
      <c r="B101" s="42">
        <v>7550</v>
      </c>
    </row>
    <row r="102" spans="1:2" x14ac:dyDescent="0.25">
      <c r="A102" s="39" t="s">
        <v>199</v>
      </c>
      <c r="B102" s="42">
        <v>8000</v>
      </c>
    </row>
    <row r="103" spans="1:2" x14ac:dyDescent="0.25">
      <c r="A103" s="39" t="s">
        <v>200</v>
      </c>
      <c r="B103" s="42">
        <v>8100</v>
      </c>
    </row>
    <row r="104" spans="1:2" x14ac:dyDescent="0.25">
      <c r="A104" s="39" t="s">
        <v>201</v>
      </c>
      <c r="B104" s="42">
        <v>8200</v>
      </c>
    </row>
    <row r="105" spans="1:2" x14ac:dyDescent="0.25">
      <c r="A105" s="39" t="s">
        <v>202</v>
      </c>
      <c r="B105" s="42">
        <v>8500</v>
      </c>
    </row>
    <row r="106" spans="1:2" x14ac:dyDescent="0.25">
      <c r="A106" s="39" t="s">
        <v>224</v>
      </c>
      <c r="B106" s="42">
        <v>8600</v>
      </c>
    </row>
    <row r="107" spans="1:2" ht="13.5" thickBot="1" x14ac:dyDescent="0.3">
      <c r="A107" s="40" t="s">
        <v>203</v>
      </c>
      <c r="B107" s="43">
        <v>9000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Cash</vt:lpstr>
      <vt:lpstr>Credit Card</vt:lpstr>
      <vt:lpstr>Chart of Accounts</vt:lpstr>
      <vt:lpstr>Cash!Print_Titles</vt:lpstr>
      <vt:lpstr>'Credit Card'!Print_Titles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 CPA (Practising)</dc:creator>
  <cp:lastModifiedBy>Dennis Mak</cp:lastModifiedBy>
  <cp:lastPrinted>2011-11-18T09:25:29Z</cp:lastPrinted>
  <dcterms:created xsi:type="dcterms:W3CDTF">2009-03-01T01:29:00Z</dcterms:created>
  <dcterms:modified xsi:type="dcterms:W3CDTF">2026-06-23T12:19:07Z</dcterms:modified>
</cp:coreProperties>
</file>