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count\Desktop\"/>
    </mc:Choice>
  </mc:AlternateContent>
  <xr:revisionPtr revIDLastSave="0" documentId="13_ncr:1_{55D1B6A9-CE10-4E2A-A673-80AD1E48DD50}" xr6:coauthVersionLast="47" xr6:coauthVersionMax="47" xr10:uidLastSave="{00000000-0000-0000-0000-000000000000}"/>
  <bookViews>
    <workbookView xWindow="-120" yWindow="-120" windowWidth="29040" windowHeight="15720" activeTab="2" xr2:uid="{1FCE1DD6-B05E-409B-B078-8CF8B13010F6}"/>
  </bookViews>
  <sheets>
    <sheet name="Master Pg" sheetId="2" r:id="rId1"/>
    <sheet name="Trade Receivables" sheetId="1" r:id="rId2"/>
    <sheet name="Trade payables" sheetId="9" r:id="rId3"/>
    <sheet name="Accruals" sheetId="10" r:id="rId4"/>
    <sheet name="Salaries &amp; MPF" sheetId="6" state="hidden" r:id="rId5"/>
    <sheet name="Chart of Accounts" sheetId="8" r:id="rId6"/>
  </sheets>
  <definedNames>
    <definedName name="AS2DocOpenMode" hidden="1">"AS2DocumentEdit"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9" i="10" l="1"/>
  <c r="AB8" i="10"/>
  <c r="X10" i="10"/>
  <c r="Z10" i="10" s="1"/>
  <c r="X9" i="10"/>
  <c r="Z9" i="10" s="1"/>
  <c r="X8" i="10"/>
  <c r="Z8" i="10" s="1"/>
  <c r="Q12" i="10"/>
  <c r="M12" i="10"/>
  <c r="I12" i="10"/>
  <c r="AE10" i="10"/>
  <c r="AD10" i="10"/>
  <c r="AC10" i="10"/>
  <c r="AB10" i="10"/>
  <c r="AA10" i="10"/>
  <c r="W10" i="10"/>
  <c r="S10" i="10"/>
  <c r="AE9" i="10"/>
  <c r="AD9" i="10"/>
  <c r="AC9" i="10"/>
  <c r="AA9" i="10"/>
  <c r="W9" i="10"/>
  <c r="AE8" i="10"/>
  <c r="AD8" i="10"/>
  <c r="AC8" i="10"/>
  <c r="AA8" i="10"/>
  <c r="W8" i="10"/>
  <c r="B5" i="10"/>
  <c r="B3" i="10"/>
  <c r="B1" i="10"/>
  <c r="AE8" i="9"/>
  <c r="AD8" i="9"/>
  <c r="AA10" i="9"/>
  <c r="AA9" i="9"/>
  <c r="AA8" i="9"/>
  <c r="AB10" i="9"/>
  <c r="AB9" i="9"/>
  <c r="AB8" i="9"/>
  <c r="X9" i="9"/>
  <c r="X10" i="9"/>
  <c r="Z10" i="9" s="1"/>
  <c r="X8" i="9"/>
  <c r="Q12" i="9"/>
  <c r="M12" i="9"/>
  <c r="I12" i="9"/>
  <c r="AE10" i="9"/>
  <c r="AD10" i="9"/>
  <c r="AC10" i="9"/>
  <c r="W10" i="9"/>
  <c r="AE9" i="9"/>
  <c r="AD9" i="9"/>
  <c r="AC9" i="9"/>
  <c r="W9" i="9"/>
  <c r="AC8" i="9"/>
  <c r="W8" i="9"/>
  <c r="B5" i="9"/>
  <c r="B3" i="9"/>
  <c r="B1" i="9"/>
  <c r="AC8" i="1"/>
  <c r="AE8" i="1"/>
  <c r="AD8" i="1"/>
  <c r="AB8" i="1"/>
  <c r="AA8" i="1"/>
  <c r="X8" i="1"/>
  <c r="Z8" i="1" s="1"/>
  <c r="W8" i="1"/>
  <c r="I89" i="6"/>
  <c r="J87" i="6"/>
  <c r="P86" i="6"/>
  <c r="G82" i="6"/>
  <c r="C89" i="6"/>
  <c r="B89" i="6"/>
  <c r="A89" i="6"/>
  <c r="C88" i="6"/>
  <c r="B88" i="6"/>
  <c r="A88" i="6"/>
  <c r="C87" i="6"/>
  <c r="B87" i="6"/>
  <c r="A87" i="6"/>
  <c r="C86" i="6"/>
  <c r="B86" i="6"/>
  <c r="A86" i="6"/>
  <c r="C85" i="6"/>
  <c r="B85" i="6"/>
  <c r="A85" i="6"/>
  <c r="C84" i="6"/>
  <c r="B84" i="6"/>
  <c r="A84" i="6"/>
  <c r="C83" i="6"/>
  <c r="B83" i="6"/>
  <c r="A83" i="6"/>
  <c r="C82" i="6"/>
  <c r="B82" i="6"/>
  <c r="A82" i="6"/>
  <c r="C81" i="6"/>
  <c r="B81" i="6"/>
  <c r="A81" i="6"/>
  <c r="C76" i="6"/>
  <c r="B76" i="6"/>
  <c r="A76" i="6"/>
  <c r="E52" i="6"/>
  <c r="E54" i="6" s="1"/>
  <c r="Q52" i="6"/>
  <c r="Q54" i="6" s="1"/>
  <c r="P52" i="6"/>
  <c r="O52" i="6"/>
  <c r="O54" i="6" s="1"/>
  <c r="N52" i="6"/>
  <c r="N54" i="6" s="1"/>
  <c r="M52" i="6"/>
  <c r="M54" i="6" s="1"/>
  <c r="L52" i="6"/>
  <c r="L54" i="6" s="1"/>
  <c r="K52" i="6"/>
  <c r="J52" i="6"/>
  <c r="I52" i="6"/>
  <c r="H52" i="6"/>
  <c r="H54" i="6" s="1"/>
  <c r="G52" i="6"/>
  <c r="G54" i="6" s="1"/>
  <c r="F52" i="6"/>
  <c r="F54" i="6" s="1"/>
  <c r="Q65" i="6"/>
  <c r="P65" i="6"/>
  <c r="O65" i="6"/>
  <c r="N65" i="6"/>
  <c r="M65" i="6"/>
  <c r="L65" i="6"/>
  <c r="K65" i="6"/>
  <c r="J65" i="6"/>
  <c r="I65" i="6"/>
  <c r="H65" i="6"/>
  <c r="G65" i="6"/>
  <c r="F65" i="6"/>
  <c r="Q64" i="6"/>
  <c r="P64" i="6"/>
  <c r="O64" i="6"/>
  <c r="N64" i="6"/>
  <c r="M64" i="6"/>
  <c r="L64" i="6"/>
  <c r="K64" i="6"/>
  <c r="J64" i="6"/>
  <c r="I64" i="6"/>
  <c r="H64" i="6"/>
  <c r="G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P96" i="6" s="1"/>
  <c r="O57" i="6"/>
  <c r="N57" i="6"/>
  <c r="M57" i="6"/>
  <c r="L57" i="6"/>
  <c r="K57" i="6"/>
  <c r="J57" i="6"/>
  <c r="I57" i="6"/>
  <c r="H57" i="6"/>
  <c r="G57" i="6"/>
  <c r="F57" i="6"/>
  <c r="E65" i="6"/>
  <c r="E64" i="6"/>
  <c r="E63" i="6"/>
  <c r="E62" i="6"/>
  <c r="E61" i="6"/>
  <c r="E60" i="6"/>
  <c r="E59" i="6"/>
  <c r="E58" i="6"/>
  <c r="E57" i="6"/>
  <c r="Q44" i="6"/>
  <c r="Q89" i="6" s="1"/>
  <c r="P44" i="6"/>
  <c r="P89" i="6" s="1"/>
  <c r="O44" i="6"/>
  <c r="O89" i="6" s="1"/>
  <c r="N44" i="6"/>
  <c r="N89" i="6" s="1"/>
  <c r="M44" i="6"/>
  <c r="M89" i="6" s="1"/>
  <c r="L44" i="6"/>
  <c r="L89" i="6" s="1"/>
  <c r="K44" i="6"/>
  <c r="K89" i="6" s="1"/>
  <c r="J44" i="6"/>
  <c r="J89" i="6" s="1"/>
  <c r="I44" i="6"/>
  <c r="H44" i="6"/>
  <c r="H89" i="6" s="1"/>
  <c r="G44" i="6"/>
  <c r="G89" i="6" s="1"/>
  <c r="F44" i="6"/>
  <c r="F89" i="6" s="1"/>
  <c r="E44" i="6"/>
  <c r="E89" i="6" s="1"/>
  <c r="Q43" i="6"/>
  <c r="Q88" i="6" s="1"/>
  <c r="P43" i="6"/>
  <c r="P88" i="6" s="1"/>
  <c r="O43" i="6"/>
  <c r="O88" i="6" s="1"/>
  <c r="N43" i="6"/>
  <c r="N88" i="6" s="1"/>
  <c r="M43" i="6"/>
  <c r="M88" i="6" s="1"/>
  <c r="L43" i="6"/>
  <c r="L88" i="6" s="1"/>
  <c r="K43" i="6"/>
  <c r="K88" i="6" s="1"/>
  <c r="J43" i="6"/>
  <c r="J88" i="6" s="1"/>
  <c r="I43" i="6"/>
  <c r="I88" i="6" s="1"/>
  <c r="H43" i="6"/>
  <c r="H88" i="6" s="1"/>
  <c r="G43" i="6"/>
  <c r="G88" i="6" s="1"/>
  <c r="F43" i="6"/>
  <c r="F88" i="6" s="1"/>
  <c r="E43" i="6"/>
  <c r="E88" i="6" s="1"/>
  <c r="Q42" i="6"/>
  <c r="Q87" i="6" s="1"/>
  <c r="P42" i="6"/>
  <c r="P87" i="6" s="1"/>
  <c r="O42" i="6"/>
  <c r="O87" i="6" s="1"/>
  <c r="N42" i="6"/>
  <c r="N87" i="6" s="1"/>
  <c r="M42" i="6"/>
  <c r="M87" i="6" s="1"/>
  <c r="L42" i="6"/>
  <c r="L87" i="6" s="1"/>
  <c r="K42" i="6"/>
  <c r="K87" i="6" s="1"/>
  <c r="J42" i="6"/>
  <c r="I42" i="6"/>
  <c r="I87" i="6" s="1"/>
  <c r="H42" i="6"/>
  <c r="H87" i="6" s="1"/>
  <c r="G42" i="6"/>
  <c r="G87" i="6" s="1"/>
  <c r="F42" i="6"/>
  <c r="F87" i="6" s="1"/>
  <c r="E42" i="6"/>
  <c r="E87" i="6" s="1"/>
  <c r="Q41" i="6"/>
  <c r="Q86" i="6" s="1"/>
  <c r="P41" i="6"/>
  <c r="O41" i="6"/>
  <c r="O86" i="6" s="1"/>
  <c r="N41" i="6"/>
  <c r="N86" i="6" s="1"/>
  <c r="M41" i="6"/>
  <c r="M86" i="6" s="1"/>
  <c r="L41" i="6"/>
  <c r="L86" i="6" s="1"/>
  <c r="K41" i="6"/>
  <c r="K86" i="6" s="1"/>
  <c r="J41" i="6"/>
  <c r="J86" i="6" s="1"/>
  <c r="I41" i="6"/>
  <c r="I86" i="6" s="1"/>
  <c r="H41" i="6"/>
  <c r="H86" i="6" s="1"/>
  <c r="G41" i="6"/>
  <c r="G86" i="6" s="1"/>
  <c r="F41" i="6"/>
  <c r="F86" i="6" s="1"/>
  <c r="E41" i="6"/>
  <c r="E86" i="6" s="1"/>
  <c r="Q40" i="6"/>
  <c r="Q85" i="6" s="1"/>
  <c r="P40" i="6"/>
  <c r="P85" i="6" s="1"/>
  <c r="O40" i="6"/>
  <c r="O85" i="6" s="1"/>
  <c r="N40" i="6"/>
  <c r="N85" i="6" s="1"/>
  <c r="M40" i="6"/>
  <c r="M85" i="6" s="1"/>
  <c r="L40" i="6"/>
  <c r="L85" i="6" s="1"/>
  <c r="K40" i="6"/>
  <c r="K85" i="6" s="1"/>
  <c r="J40" i="6"/>
  <c r="I40" i="6"/>
  <c r="I85" i="6" s="1"/>
  <c r="H40" i="6"/>
  <c r="H85" i="6" s="1"/>
  <c r="G40" i="6"/>
  <c r="G85" i="6" s="1"/>
  <c r="F40" i="6"/>
  <c r="E40" i="6"/>
  <c r="E85" i="6" s="1"/>
  <c r="Q39" i="6"/>
  <c r="Q84" i="6" s="1"/>
  <c r="P39" i="6"/>
  <c r="P84" i="6" s="1"/>
  <c r="O39" i="6"/>
  <c r="O84" i="6" s="1"/>
  <c r="N39" i="6"/>
  <c r="N84" i="6" s="1"/>
  <c r="M39" i="6"/>
  <c r="M84" i="6" s="1"/>
  <c r="L39" i="6"/>
  <c r="L84" i="6" s="1"/>
  <c r="K39" i="6"/>
  <c r="K84" i="6" s="1"/>
  <c r="J39" i="6"/>
  <c r="J84" i="6" s="1"/>
  <c r="I39" i="6"/>
  <c r="I84" i="6" s="1"/>
  <c r="H39" i="6"/>
  <c r="H84" i="6" s="1"/>
  <c r="G39" i="6"/>
  <c r="G84" i="6" s="1"/>
  <c r="F39" i="6"/>
  <c r="F84" i="6" s="1"/>
  <c r="E39" i="6"/>
  <c r="E84" i="6" s="1"/>
  <c r="Q38" i="6"/>
  <c r="Q83" i="6" s="1"/>
  <c r="P38" i="6"/>
  <c r="O38" i="6"/>
  <c r="O83" i="6" s="1"/>
  <c r="N38" i="6"/>
  <c r="N83" i="6" s="1"/>
  <c r="M38" i="6"/>
  <c r="M83" i="6" s="1"/>
  <c r="L38" i="6"/>
  <c r="L83" i="6" s="1"/>
  <c r="K38" i="6"/>
  <c r="K83" i="6" s="1"/>
  <c r="J38" i="6"/>
  <c r="J83" i="6" s="1"/>
  <c r="I38" i="6"/>
  <c r="I83" i="6" s="1"/>
  <c r="H38" i="6"/>
  <c r="H83" i="6" s="1"/>
  <c r="G38" i="6"/>
  <c r="G83" i="6" s="1"/>
  <c r="F38" i="6"/>
  <c r="F83" i="6" s="1"/>
  <c r="E38" i="6"/>
  <c r="E83" i="6" s="1"/>
  <c r="Q37" i="6"/>
  <c r="P37" i="6"/>
  <c r="O37" i="6"/>
  <c r="O82" i="6" s="1"/>
  <c r="N37" i="6"/>
  <c r="M37" i="6"/>
  <c r="L37" i="6"/>
  <c r="L82" i="6" s="1"/>
  <c r="K37" i="6"/>
  <c r="K82" i="6" s="1"/>
  <c r="J37" i="6"/>
  <c r="J82" i="6" s="1"/>
  <c r="I37" i="6"/>
  <c r="H37" i="6"/>
  <c r="H82" i="6" s="1"/>
  <c r="G37" i="6"/>
  <c r="F37" i="6"/>
  <c r="F82" i="6" s="1"/>
  <c r="E37" i="6"/>
  <c r="E36" i="6"/>
  <c r="E81" i="6" s="1"/>
  <c r="Q36" i="6"/>
  <c r="Q81" i="6" s="1"/>
  <c r="P36" i="6"/>
  <c r="P81" i="6" s="1"/>
  <c r="O36" i="6"/>
  <c r="O81" i="6" s="1"/>
  <c r="N36" i="6"/>
  <c r="N81" i="6" s="1"/>
  <c r="M36" i="6"/>
  <c r="M81" i="6" s="1"/>
  <c r="L36" i="6"/>
  <c r="L81" i="6" s="1"/>
  <c r="K36" i="6"/>
  <c r="K81" i="6" s="1"/>
  <c r="J36" i="6"/>
  <c r="J81" i="6" s="1"/>
  <c r="I36" i="6"/>
  <c r="I81" i="6" s="1"/>
  <c r="H36" i="6"/>
  <c r="H81" i="6" s="1"/>
  <c r="G36" i="6"/>
  <c r="G81" i="6" s="1"/>
  <c r="F36" i="6"/>
  <c r="F81" i="6" s="1"/>
  <c r="Q31" i="6"/>
  <c r="Q76" i="6" s="1"/>
  <c r="Q78" i="6" s="1"/>
  <c r="P31" i="6"/>
  <c r="P76" i="6" s="1"/>
  <c r="P78" i="6" s="1"/>
  <c r="O31" i="6"/>
  <c r="O33" i="6" s="1"/>
  <c r="N31" i="6"/>
  <c r="N76" i="6" s="1"/>
  <c r="N78" i="6" s="1"/>
  <c r="M31" i="6"/>
  <c r="M76" i="6" s="1"/>
  <c r="M78" i="6" s="1"/>
  <c r="L31" i="6"/>
  <c r="L76" i="6" s="1"/>
  <c r="L78" i="6" s="1"/>
  <c r="K31" i="6"/>
  <c r="K76" i="6" s="1"/>
  <c r="K78" i="6" s="1"/>
  <c r="J31" i="6"/>
  <c r="J76" i="6" s="1"/>
  <c r="J78" i="6" s="1"/>
  <c r="I31" i="6"/>
  <c r="I33" i="6" s="1"/>
  <c r="H31" i="6"/>
  <c r="H33" i="6" s="1"/>
  <c r="G31" i="6"/>
  <c r="G33" i="6" s="1"/>
  <c r="F31" i="6"/>
  <c r="F76" i="6" s="1"/>
  <c r="F78" i="6" s="1"/>
  <c r="E31" i="6"/>
  <c r="E76" i="6" s="1"/>
  <c r="E78" i="6" s="1"/>
  <c r="C65" i="6"/>
  <c r="B65" i="6"/>
  <c r="C64" i="6"/>
  <c r="B64" i="6"/>
  <c r="C63" i="6"/>
  <c r="B63" i="6"/>
  <c r="C62" i="6"/>
  <c r="B62" i="6"/>
  <c r="C61" i="6"/>
  <c r="B61" i="6"/>
  <c r="C60" i="6"/>
  <c r="B60" i="6"/>
  <c r="C59" i="6"/>
  <c r="B59" i="6"/>
  <c r="C58" i="6"/>
  <c r="B58" i="6"/>
  <c r="C57" i="6"/>
  <c r="B57" i="6"/>
  <c r="A65" i="6"/>
  <c r="A64" i="6"/>
  <c r="A63" i="6"/>
  <c r="A62" i="6"/>
  <c r="A61" i="6"/>
  <c r="A60" i="6"/>
  <c r="A59" i="6"/>
  <c r="A58" i="6"/>
  <c r="A57" i="6"/>
  <c r="C52" i="6"/>
  <c r="B52" i="6"/>
  <c r="A52" i="6"/>
  <c r="P54" i="6"/>
  <c r="K54" i="6"/>
  <c r="J54" i="6"/>
  <c r="I54" i="6"/>
  <c r="C44" i="6"/>
  <c r="B44" i="6"/>
  <c r="A44" i="6"/>
  <c r="C43" i="6"/>
  <c r="B43" i="6"/>
  <c r="A43" i="6"/>
  <c r="C42" i="6"/>
  <c r="B42" i="6"/>
  <c r="A42" i="6"/>
  <c r="C41" i="6"/>
  <c r="B41" i="6"/>
  <c r="A41" i="6"/>
  <c r="C40" i="6"/>
  <c r="B40" i="6"/>
  <c r="A40" i="6"/>
  <c r="C39" i="6"/>
  <c r="B39" i="6"/>
  <c r="A39" i="6"/>
  <c r="C38" i="6"/>
  <c r="B38" i="6"/>
  <c r="A38" i="6"/>
  <c r="C37" i="6"/>
  <c r="B37" i="6"/>
  <c r="A37" i="6"/>
  <c r="C36" i="6"/>
  <c r="B36" i="6"/>
  <c r="A36" i="6"/>
  <c r="Q33" i="6"/>
  <c r="P33" i="6"/>
  <c r="N33" i="6"/>
  <c r="C31" i="6"/>
  <c r="B31" i="6"/>
  <c r="A31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23" i="6"/>
  <c r="D22" i="6"/>
  <c r="D21" i="6"/>
  <c r="D20" i="6"/>
  <c r="D19" i="6"/>
  <c r="D18" i="6"/>
  <c r="D17" i="6"/>
  <c r="D16" i="6"/>
  <c r="D15" i="6"/>
  <c r="D10" i="6"/>
  <c r="D12" i="6" s="1"/>
  <c r="J33" i="6" l="1"/>
  <c r="P67" i="6"/>
  <c r="K33" i="6"/>
  <c r="K70" i="6" s="1"/>
  <c r="AD12" i="9"/>
  <c r="L33" i="6"/>
  <c r="M33" i="6"/>
  <c r="O67" i="6"/>
  <c r="K67" i="6"/>
  <c r="AE12" i="9"/>
  <c r="Z8" i="9"/>
  <c r="Z9" i="9"/>
  <c r="AE9" i="1"/>
  <c r="AD9" i="1"/>
  <c r="D81" i="6"/>
  <c r="P95" i="6"/>
  <c r="G76" i="6"/>
  <c r="G78" i="6" s="1"/>
  <c r="D37" i="6"/>
  <c r="I67" i="6"/>
  <c r="Q67" i="6"/>
  <c r="D65" i="6"/>
  <c r="D64" i="6"/>
  <c r="P97" i="6"/>
  <c r="H76" i="6"/>
  <c r="H78" i="6" s="1"/>
  <c r="AD12" i="10"/>
  <c r="AE12" i="10"/>
  <c r="S12" i="10"/>
  <c r="S12" i="9"/>
  <c r="K91" i="6"/>
  <c r="D84" i="6"/>
  <c r="D89" i="6"/>
  <c r="L91" i="6"/>
  <c r="O91" i="6"/>
  <c r="I76" i="6"/>
  <c r="I78" i="6" s="1"/>
  <c r="H91" i="6"/>
  <c r="I82" i="6"/>
  <c r="I91" i="6" s="1"/>
  <c r="M46" i="6"/>
  <c r="M70" i="6" s="1"/>
  <c r="D38" i="6"/>
  <c r="D40" i="6"/>
  <c r="D41" i="6"/>
  <c r="D42" i="6"/>
  <c r="O46" i="6"/>
  <c r="O70" i="6" s="1"/>
  <c r="F85" i="6"/>
  <c r="D85" i="6" s="1"/>
  <c r="D86" i="6"/>
  <c r="N46" i="6"/>
  <c r="N70" i="6" s="1"/>
  <c r="D88" i="6"/>
  <c r="D63" i="6"/>
  <c r="P83" i="6"/>
  <c r="D83" i="6" s="1"/>
  <c r="D87" i="6"/>
  <c r="P46" i="6"/>
  <c r="P70" i="6" s="1"/>
  <c r="M82" i="6"/>
  <c r="M91" i="6" s="1"/>
  <c r="K46" i="6"/>
  <c r="Q46" i="6"/>
  <c r="Q70" i="6" s="1"/>
  <c r="J46" i="6"/>
  <c r="O76" i="6"/>
  <c r="O78" i="6" s="1"/>
  <c r="N82" i="6"/>
  <c r="N91" i="6" s="1"/>
  <c r="J85" i="6"/>
  <c r="J91" i="6" s="1"/>
  <c r="G91" i="6"/>
  <c r="D39" i="6"/>
  <c r="D44" i="6"/>
  <c r="J67" i="6"/>
  <c r="D62" i="6"/>
  <c r="P82" i="6"/>
  <c r="D31" i="6"/>
  <c r="D33" i="6" s="1"/>
  <c r="E33" i="6"/>
  <c r="L67" i="6"/>
  <c r="Q82" i="6"/>
  <c r="Q91" i="6" s="1"/>
  <c r="F33" i="6"/>
  <c r="E46" i="6"/>
  <c r="M67" i="6"/>
  <c r="E82" i="6"/>
  <c r="E91" i="6" s="1"/>
  <c r="F67" i="6"/>
  <c r="N67" i="6"/>
  <c r="D61" i="6"/>
  <c r="G67" i="6"/>
  <c r="H67" i="6"/>
  <c r="F91" i="6"/>
  <c r="D52" i="6"/>
  <c r="D54" i="6" s="1"/>
  <c r="D57" i="6"/>
  <c r="D58" i="6"/>
  <c r="D59" i="6"/>
  <c r="D60" i="6"/>
  <c r="E67" i="6"/>
  <c r="D43" i="6"/>
  <c r="F46" i="6"/>
  <c r="G46" i="6"/>
  <c r="H46" i="6"/>
  <c r="H70" i="6" s="1"/>
  <c r="I46" i="6"/>
  <c r="I70" i="6" s="1"/>
  <c r="L46" i="6"/>
  <c r="D36" i="6"/>
  <c r="D25" i="6"/>
  <c r="AE13" i="9" l="1"/>
  <c r="AE10" i="1"/>
  <c r="L70" i="6"/>
  <c r="P98" i="6"/>
  <c r="G70" i="6"/>
  <c r="J70" i="6"/>
  <c r="AE13" i="10"/>
  <c r="D76" i="6"/>
  <c r="D78" i="6" s="1"/>
  <c r="P100" i="6"/>
  <c r="D46" i="6"/>
  <c r="D70" i="6" s="1"/>
  <c r="D67" i="6"/>
  <c r="P91" i="6"/>
  <c r="F70" i="6"/>
  <c r="E70" i="6"/>
  <c r="D82" i="6"/>
  <c r="D91" i="6" s="1"/>
  <c r="B5" i="6"/>
  <c r="B3" i="6"/>
  <c r="B1" i="6"/>
  <c r="I9" i="1"/>
  <c r="M9" i="1"/>
  <c r="Q9" i="1"/>
  <c r="B5" i="1"/>
  <c r="B3" i="1"/>
  <c r="B1" i="1"/>
  <c r="B2" i="9" l="1"/>
  <c r="B2" i="10"/>
  <c r="S9" i="1"/>
  <c r="B2" i="1"/>
  <c r="B2" i="6"/>
</calcChain>
</file>

<file path=xl/sharedStrings.xml><?xml version="1.0" encoding="utf-8"?>
<sst xmlns="http://schemas.openxmlformats.org/spreadsheetml/2006/main" count="431" uniqueCount="182">
  <si>
    <t>Client Name:</t>
    <phoneticPr fontId="5" type="noConversion"/>
  </si>
  <si>
    <t>Y.E.</t>
    <phoneticPr fontId="5" type="noConversion"/>
  </si>
  <si>
    <t>File No.:</t>
    <phoneticPr fontId="5" type="noConversion"/>
  </si>
  <si>
    <t>Expressed in:</t>
    <phoneticPr fontId="5" type="noConversion"/>
  </si>
  <si>
    <t>HK$</t>
    <phoneticPr fontId="5" type="noConversion"/>
  </si>
  <si>
    <t>Acc period from</t>
    <phoneticPr fontId="5" type="noConversion"/>
  </si>
  <si>
    <t>Acc period to</t>
    <phoneticPr fontId="5" type="noConversion"/>
  </si>
  <si>
    <t>Incorporation / Cessation</t>
    <phoneticPr fontId="5" type="noConversion"/>
  </si>
  <si>
    <t>Job-in-chg:</t>
    <phoneticPr fontId="5" type="noConversion"/>
  </si>
  <si>
    <t>DOI / DOC</t>
    <phoneticPr fontId="4" type="noConversion"/>
  </si>
  <si>
    <t>Name:</t>
    <phoneticPr fontId="5" type="noConversion"/>
  </si>
  <si>
    <t>Y.E.:</t>
    <phoneticPr fontId="5" type="noConversion"/>
  </si>
  <si>
    <t>File No:</t>
    <phoneticPr fontId="5" type="noConversion"/>
  </si>
  <si>
    <t>Sec.:</t>
    <phoneticPr fontId="10" type="noConversion"/>
  </si>
  <si>
    <t>Expressed in:</t>
    <phoneticPr fontId="10" type="noConversion"/>
  </si>
  <si>
    <t>Date</t>
    <phoneticPr fontId="4" type="noConversion"/>
  </si>
  <si>
    <t>Customer</t>
    <phoneticPr fontId="4" type="noConversion"/>
  </si>
  <si>
    <t>Amount</t>
    <phoneticPr fontId="4" type="noConversion"/>
  </si>
  <si>
    <t>Bank</t>
    <phoneticPr fontId="4" type="noConversion"/>
  </si>
  <si>
    <t>No.</t>
    <phoneticPr fontId="4" type="noConversion"/>
  </si>
  <si>
    <t>HSBC HKD SA</t>
    <phoneticPr fontId="4" type="noConversion"/>
  </si>
  <si>
    <t>Invoices no.</t>
    <phoneticPr fontId="4" type="noConversion"/>
  </si>
  <si>
    <t>^</t>
    <phoneticPr fontId="4" type="noConversion"/>
  </si>
  <si>
    <t>o/s bal.</t>
    <phoneticPr fontId="4" type="noConversion"/>
  </si>
  <si>
    <t>per TB</t>
    <phoneticPr fontId="4" type="noConversion"/>
  </si>
  <si>
    <t>1st s/s</t>
    <phoneticPr fontId="4" type="noConversion"/>
  </si>
  <si>
    <t>2nd s/s</t>
    <phoneticPr fontId="4" type="noConversion"/>
  </si>
  <si>
    <t>Accruals</t>
    <phoneticPr fontId="4" type="noConversion"/>
  </si>
  <si>
    <t>Salaries &amp; MPF</t>
    <phoneticPr fontId="4" type="noConversion"/>
  </si>
  <si>
    <t>Staff Name</t>
    <phoneticPr fontId="4" type="noConversion"/>
  </si>
  <si>
    <t>Total</t>
    <phoneticPr fontId="4" type="noConversion"/>
  </si>
  <si>
    <t>Wan Kar Hing</t>
  </si>
  <si>
    <t>Chiu Yin Ning</t>
  </si>
  <si>
    <t>Cheung Ka Yee</t>
  </si>
  <si>
    <t>Chiu Ting Chi</t>
  </si>
  <si>
    <t>Leung Chung Yi</t>
  </si>
  <si>
    <t>Yu Lee Fong</t>
  </si>
  <si>
    <t>Kong Kar Yee</t>
  </si>
  <si>
    <t>Tsang Tsz Ki</t>
  </si>
  <si>
    <t>Tsang Lai Yung</t>
  </si>
  <si>
    <t>Yue Ka Wan Rowenna</t>
  </si>
  <si>
    <t>Bonus</t>
    <phoneticPr fontId="4" type="noConversion"/>
  </si>
  <si>
    <t>Gross salaries</t>
    <phoneticPr fontId="4" type="noConversion"/>
  </si>
  <si>
    <t>^, per TB</t>
    <phoneticPr fontId="4" type="noConversion"/>
  </si>
  <si>
    <t>Director</t>
    <phoneticPr fontId="4" type="noConversion"/>
  </si>
  <si>
    <t>Remarks</t>
    <phoneticPr fontId="4" type="noConversion"/>
  </si>
  <si>
    <t>Full-time</t>
    <phoneticPr fontId="4" type="noConversion"/>
  </si>
  <si>
    <t>Part-time</t>
    <phoneticPr fontId="4" type="noConversion"/>
  </si>
  <si>
    <t>MPF (Employee portion)</t>
    <phoneticPr fontId="4" type="noConversion"/>
  </si>
  <si>
    <t>MPF (Employer portion)</t>
    <phoneticPr fontId="4" type="noConversion"/>
  </si>
  <si>
    <t>Total MPF</t>
    <phoneticPr fontId="4" type="noConversion"/>
  </si>
  <si>
    <t>per bank</t>
    <phoneticPr fontId="4" type="noConversion"/>
  </si>
  <si>
    <t>Net salaries (per bank)</t>
    <phoneticPr fontId="4" type="noConversion"/>
  </si>
  <si>
    <t>MPF (ER)</t>
    <phoneticPr fontId="4" type="noConversion"/>
  </si>
  <si>
    <t>Director's remuneration</t>
    <phoneticPr fontId="4" type="noConversion"/>
  </si>
  <si>
    <t>Salaries</t>
    <phoneticPr fontId="4" type="noConversion"/>
  </si>
  <si>
    <t>Salaries - MPF (EE)</t>
    <phoneticPr fontId="4" type="noConversion"/>
  </si>
  <si>
    <t>Account Description</t>
  </si>
  <si>
    <t>Account ID</t>
  </si>
  <si>
    <t>Cash</t>
  </si>
  <si>
    <t>HSB HKD CA</t>
  </si>
  <si>
    <t>HSB HKD SA</t>
  </si>
  <si>
    <t>BOC HKD SA</t>
  </si>
  <si>
    <t>Interbank</t>
  </si>
  <si>
    <t>Trade receivable</t>
  </si>
  <si>
    <t>Other receivables</t>
  </si>
  <si>
    <t>Trade deposit paid</t>
  </si>
  <si>
    <t>Rental &amp;  utilities deposit</t>
  </si>
  <si>
    <t>Prepayment</t>
  </si>
  <si>
    <t>Inventory</t>
  </si>
  <si>
    <t>Leasehold improvement</t>
  </si>
  <si>
    <t>Accum. Depreciation - LI</t>
  </si>
  <si>
    <t>Accum. Depreciation - CE</t>
  </si>
  <si>
    <t>Fixture &amp; furniture</t>
  </si>
  <si>
    <t>Investment in subsidiary</t>
  </si>
  <si>
    <t>Impair loss-Invest. in subsi.</t>
  </si>
  <si>
    <t>Trade payable</t>
  </si>
  <si>
    <t>Other payables</t>
  </si>
  <si>
    <t>Trade deposit received</t>
  </si>
  <si>
    <t>Accruals</t>
  </si>
  <si>
    <t>Director's C/A</t>
  </si>
  <si>
    <t>Related company C/A</t>
  </si>
  <si>
    <t>HSB Bank loan</t>
  </si>
  <si>
    <t>Obligation under Finance Lease</t>
  </si>
  <si>
    <t>Retained Earnings</t>
  </si>
  <si>
    <t>Dividends Paid</t>
  </si>
  <si>
    <t>Sales</t>
  </si>
  <si>
    <t>Services income</t>
  </si>
  <si>
    <t>Government grants</t>
  </si>
  <si>
    <t>Sundry income</t>
  </si>
  <si>
    <t>Purchases</t>
  </si>
  <si>
    <t>Subcontractor</t>
  </si>
  <si>
    <t>Transportation</t>
  </si>
  <si>
    <t>Handling charges</t>
  </si>
  <si>
    <t>Consumables</t>
  </si>
  <si>
    <t>Impairment loss</t>
  </si>
  <si>
    <t>Opening inventories</t>
  </si>
  <si>
    <t>Closing inventories</t>
  </si>
  <si>
    <t>Accounting fee</t>
  </si>
  <si>
    <t>Advertisement</t>
  </si>
  <si>
    <t>Auditor's remuneration</t>
  </si>
  <si>
    <t>Bad debt</t>
  </si>
  <si>
    <t>Bank charges</t>
  </si>
  <si>
    <t>Business registration fee</t>
  </si>
  <si>
    <t>Commission</t>
  </si>
  <si>
    <t>Computer accessories</t>
  </si>
  <si>
    <t>Depreciation</t>
  </si>
  <si>
    <t>Director's remuneration</t>
  </si>
  <si>
    <t>Electricity &amp; water</t>
  </si>
  <si>
    <t>Entertainment</t>
  </si>
  <si>
    <t>Exchange losses/(gains), net</t>
  </si>
  <si>
    <t>Government rent &amp; rates</t>
  </si>
  <si>
    <t>Insurance</t>
  </si>
  <si>
    <t>License</t>
  </si>
  <si>
    <t>Local travelling</t>
  </si>
  <si>
    <t>Loss/(gain) on disposal of PPE</t>
  </si>
  <si>
    <t>Mandatory provident fund</t>
  </si>
  <si>
    <t>Membership fee</t>
  </si>
  <si>
    <t>Motor vehicle expenses</t>
  </si>
  <si>
    <t>Office supplies</t>
  </si>
  <si>
    <t>Overseas travelling</t>
  </si>
  <si>
    <t>Penalty</t>
  </si>
  <si>
    <t>Postage &amp; courier</t>
  </si>
  <si>
    <t>Printing &amp; stationery</t>
  </si>
  <si>
    <t>Rental expenses</t>
  </si>
  <si>
    <t>Repairs &amp; maintenance</t>
  </si>
  <si>
    <t>Salaries</t>
  </si>
  <si>
    <t>Staff welfare</t>
  </si>
  <si>
    <t>Stamp duty</t>
  </si>
  <si>
    <t>Sundries</t>
  </si>
  <si>
    <t>Telecommunication</t>
  </si>
  <si>
    <t>Web hosting fee</t>
  </si>
  <si>
    <t>Interest on bank loans</t>
  </si>
  <si>
    <t>Interest on bank overdraft</t>
  </si>
  <si>
    <t>Interest on finance lease</t>
  </si>
  <si>
    <t>Income tax expenses</t>
  </si>
  <si>
    <t>Date</t>
  </si>
  <si>
    <t>Reference</t>
    <phoneticPr fontId="14" type="noConversion"/>
  </si>
  <si>
    <t>G/L Account (AR)</t>
    <phoneticPr fontId="14" type="noConversion"/>
  </si>
  <si>
    <t>G/L Account (Nature)</t>
    <phoneticPr fontId="14" type="noConversion"/>
  </si>
  <si>
    <t>Description</t>
    <phoneticPr fontId="14" type="noConversion"/>
  </si>
  <si>
    <t>AR (Amount$)</t>
    <phoneticPr fontId="14" type="noConversion"/>
  </si>
  <si>
    <t>Nature (Amount$)</t>
    <phoneticPr fontId="14" type="noConversion"/>
  </si>
  <si>
    <t>Ref. no.</t>
    <phoneticPr fontId="4" type="noConversion"/>
  </si>
  <si>
    <t>Nature</t>
    <phoneticPr fontId="4" type="noConversion"/>
  </si>
  <si>
    <t>Details</t>
  </si>
  <si>
    <t>For Peachtree import use - Please don't move this column</t>
    <phoneticPr fontId="4" type="noConversion"/>
  </si>
  <si>
    <t>Dr.</t>
    <phoneticPr fontId="4" type="noConversion"/>
  </si>
  <si>
    <t>Cr.</t>
    <phoneticPr fontId="4" type="noConversion"/>
  </si>
  <si>
    <t>G/L Account (Nature)</t>
  </si>
  <si>
    <t>G/L Account (AP)</t>
    <phoneticPr fontId="14" type="noConversion"/>
  </si>
  <si>
    <t>Nature (Amount$)</t>
  </si>
  <si>
    <t>AP (Amount$)</t>
    <phoneticPr fontId="14" type="noConversion"/>
  </si>
  <si>
    <t>G/L Account (Accruals)</t>
    <phoneticPr fontId="14" type="noConversion"/>
  </si>
  <si>
    <t>Accruals (Amount$)</t>
    <phoneticPr fontId="14" type="noConversion"/>
  </si>
  <si>
    <t>Dennis MAK CPA Limited</t>
    <phoneticPr fontId="4" type="noConversion"/>
  </si>
  <si>
    <t>DM Secretary Limited</t>
    <phoneticPr fontId="4" type="noConversion"/>
  </si>
  <si>
    <t>Number of Distributions</t>
  </si>
  <si>
    <t>Pro-surgio Company Limited</t>
    <phoneticPr fontId="14" type="noConversion"/>
  </si>
  <si>
    <t>1.4.25-31.3.26</t>
    <phoneticPr fontId="14" type="noConversion"/>
  </si>
  <si>
    <t>P003</t>
    <phoneticPr fontId="5" type="noConversion"/>
  </si>
  <si>
    <t>2603-001</t>
    <phoneticPr fontId="4" type="noConversion"/>
  </si>
  <si>
    <t>ST TERESA'S HOSPITAL</t>
  </si>
  <si>
    <t>Sales -16.3.26-31.3.26</t>
    <phoneticPr fontId="4" type="noConversion"/>
  </si>
  <si>
    <t>HSBC CR. CARD</t>
  </si>
  <si>
    <t>Amt due fr related co</t>
  </si>
  <si>
    <t>Computer</t>
  </si>
  <si>
    <t>Accum. Depreciation - FF</t>
  </si>
  <si>
    <t>Income Tax payable</t>
  </si>
  <si>
    <t>Common stock</t>
  </si>
  <si>
    <t>Interest income</t>
  </si>
  <si>
    <t>Sales discounts</t>
  </si>
  <si>
    <t>Consulting fee</t>
  </si>
  <si>
    <t>Medicine fee</t>
  </si>
  <si>
    <t>Accommodation for business tri</t>
  </si>
  <si>
    <t>Management fee</t>
  </si>
  <si>
    <t>Com. secretary fee</t>
  </si>
  <si>
    <t>Subscription fee</t>
  </si>
  <si>
    <t>Suspense</t>
  </si>
  <si>
    <r>
      <t>119600=117087+2513</t>
    </r>
    <r>
      <rPr>
        <sz val="10"/>
        <color theme="1"/>
        <rFont val="宋体"/>
        <family val="2"/>
        <charset val="134"/>
      </rPr>
      <t>（</t>
    </r>
    <r>
      <rPr>
        <sz val="10"/>
        <color theme="1"/>
        <rFont val="Arial"/>
        <family val="2"/>
      </rPr>
      <t>Handling Charge)</t>
    </r>
    <phoneticPr fontId="4" type="noConversion"/>
  </si>
  <si>
    <t>Handling Charges</t>
    <phoneticPr fontId="4" type="noConversion"/>
  </si>
  <si>
    <t>Sales Handling Charges-16.3.26-31.3.26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</si>
</sst>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76" formatCode="d/m/yy;@"/>
    <numFmt numFmtId="177" formatCode="dd/mm/yy"/>
  </numFmts>
  <fonts count="17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b/>
      <sz val="10"/>
      <color rgb="FFFF0000"/>
      <name val="Arial"/>
      <family val="2"/>
    </font>
    <font>
      <sz val="12"/>
      <name val="新細明體"/>
      <family val="1"/>
      <charset val="13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新細明體"/>
      <family val="1"/>
      <charset val="136"/>
    </font>
    <font>
      <i/>
      <sz val="10"/>
      <color rgb="FFFF0000"/>
      <name val="Arial"/>
      <family val="2"/>
    </font>
    <font>
      <sz val="10"/>
      <color theme="1"/>
      <name val="宋体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7" fillId="0" borderId="0"/>
    <xf numFmtId="0" fontId="7" fillId="0" borderId="0">
      <alignment vertical="center"/>
    </xf>
  </cellStyleXfs>
  <cellXfs count="67">
    <xf numFmtId="0" fontId="0" fillId="0" borderId="0" xfId="0">
      <alignment vertical="center"/>
    </xf>
    <xf numFmtId="0" fontId="3" fillId="0" borderId="0" xfId="2" applyFont="1" applyAlignment="1">
      <alignment horizontal="left"/>
    </xf>
    <xf numFmtId="0" fontId="3" fillId="0" borderId="1" xfId="2" applyFont="1" applyBorder="1" applyAlignment="1">
      <alignment horizontal="left"/>
    </xf>
    <xf numFmtId="0" fontId="3" fillId="0" borderId="0" xfId="3" applyNumberFormat="1" applyFont="1" applyAlignment="1">
      <alignment horizontal="left"/>
    </xf>
    <xf numFmtId="0" fontId="6" fillId="0" borderId="1" xfId="2" applyFont="1" applyBorder="1" applyAlignment="1">
      <alignment horizontal="left"/>
    </xf>
    <xf numFmtId="0" fontId="3" fillId="0" borderId="0" xfId="2" applyFont="1"/>
    <xf numFmtId="0" fontId="3" fillId="0" borderId="1" xfId="2" applyFont="1" applyBorder="1"/>
    <xf numFmtId="0" fontId="2" fillId="0" borderId="0" xfId="2"/>
    <xf numFmtId="43" fontId="3" fillId="0" borderId="0" xfId="3" applyFont="1"/>
    <xf numFmtId="176" fontId="8" fillId="0" borderId="1" xfId="4" applyNumberFormat="1" applyFont="1" applyBorder="1" applyAlignment="1">
      <alignment horizontal="left"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6" fillId="0" borderId="0" xfId="0" applyFont="1" applyAlignment="1"/>
    <xf numFmtId="0" fontId="8" fillId="0" borderId="0" xfId="0" applyFont="1">
      <alignment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14" fontId="9" fillId="0" borderId="0" xfId="0" applyNumberFormat="1" applyFont="1">
      <alignment vertical="center"/>
    </xf>
    <xf numFmtId="43" fontId="9" fillId="0" borderId="0" xfId="1" applyFont="1">
      <alignment vertical="center"/>
    </xf>
    <xf numFmtId="43" fontId="8" fillId="0" borderId="0" xfId="1" applyFont="1">
      <alignment vertical="center"/>
    </xf>
    <xf numFmtId="43" fontId="3" fillId="0" borderId="0" xfId="1" applyFont="1" applyAlignment="1">
      <alignment horizontal="center"/>
    </xf>
    <xf numFmtId="0" fontId="6" fillId="0" borderId="0" xfId="0" applyFont="1" applyAlignment="1">
      <alignment horizontal="center" vertical="center"/>
    </xf>
    <xf numFmtId="43" fontId="9" fillId="0" borderId="0" xfId="0" applyNumberFormat="1" applyFont="1">
      <alignment vertical="center"/>
    </xf>
    <xf numFmtId="43" fontId="8" fillId="2" borderId="2" xfId="1" applyFont="1" applyFill="1" applyBorder="1">
      <alignment vertical="center"/>
    </xf>
    <xf numFmtId="43" fontId="8" fillId="0" borderId="0" xfId="1" applyFont="1" applyAlignment="1">
      <alignment horizontal="center" vertical="center"/>
    </xf>
    <xf numFmtId="43" fontId="6" fillId="0" borderId="0" xfId="1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43" fontId="8" fillId="2" borderId="0" xfId="1" applyFont="1" applyFill="1">
      <alignment vertical="center"/>
    </xf>
    <xf numFmtId="0" fontId="6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43" fontId="11" fillId="0" borderId="0" xfId="1" applyFont="1">
      <alignment vertical="center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49" fontId="12" fillId="0" borderId="2" xfId="5" applyNumberFormat="1" applyFont="1" applyBorder="1" applyAlignment="1">
      <alignment horizontal="left" vertical="center"/>
    </xf>
    <xf numFmtId="0" fontId="2" fillId="0" borderId="0" xfId="5" applyFont="1">
      <alignment vertical="center"/>
    </xf>
    <xf numFmtId="49" fontId="13" fillId="0" borderId="0" xfId="5" applyNumberFormat="1" applyFont="1" applyAlignment="1">
      <alignment horizontal="left" vertical="center"/>
    </xf>
    <xf numFmtId="0" fontId="13" fillId="0" borderId="0" xfId="5" applyFont="1" applyAlignment="1">
      <alignment horizontal="left" vertical="center"/>
    </xf>
    <xf numFmtId="49" fontId="13" fillId="0" borderId="3" xfId="5" applyNumberFormat="1" applyFont="1" applyBorder="1" applyAlignment="1">
      <alignment horizontal="left" vertical="center"/>
    </xf>
    <xf numFmtId="0" fontId="13" fillId="0" borderId="3" xfId="5" applyFont="1" applyBorder="1" applyAlignment="1">
      <alignment horizontal="left" vertical="center"/>
    </xf>
    <xf numFmtId="0" fontId="6" fillId="2" borderId="0" xfId="0" applyFont="1" applyFill="1" applyAlignment="1">
      <alignment horizontal="centerContinuous" vertical="center"/>
    </xf>
    <xf numFmtId="0" fontId="6" fillId="2" borderId="0" xfId="0" applyFont="1" applyFill="1">
      <alignment vertical="center"/>
    </xf>
    <xf numFmtId="14" fontId="6" fillId="2" borderId="0" xfId="0" applyNumberFormat="1" applyFont="1" applyFill="1" applyAlignment="1">
      <alignment horizontal="left" vertical="center"/>
    </xf>
    <xf numFmtId="14" fontId="6" fillId="3" borderId="0" xfId="0" applyNumberFormat="1" applyFont="1" applyFill="1" applyAlignment="1">
      <alignment horizontal="left" vertical="center" wrapText="1"/>
    </xf>
    <xf numFmtId="14" fontId="6" fillId="4" borderId="0" xfId="0" applyNumberFormat="1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9" fillId="3" borderId="0" xfId="0" applyFont="1" applyFill="1">
      <alignment vertical="center"/>
    </xf>
    <xf numFmtId="0" fontId="9" fillId="4" borderId="0" xfId="0" applyFont="1" applyFill="1">
      <alignment vertical="center"/>
    </xf>
    <xf numFmtId="43" fontId="9" fillId="3" borderId="0" xfId="0" applyNumberFormat="1" applyFont="1" applyFill="1">
      <alignment vertical="center"/>
    </xf>
    <xf numFmtId="43" fontId="9" fillId="4" borderId="0" xfId="0" applyNumberFormat="1" applyFont="1" applyFill="1">
      <alignment vertical="center"/>
    </xf>
    <xf numFmtId="0" fontId="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4" fontId="6" fillId="2" borderId="0" xfId="0" applyNumberFormat="1" applyFont="1" applyFill="1">
      <alignment vertical="center"/>
    </xf>
    <xf numFmtId="0" fontId="9" fillId="2" borderId="0" xfId="0" applyFont="1" applyFill="1" applyAlignment="1">
      <alignment horizontal="centerContinuous" vertical="center"/>
    </xf>
    <xf numFmtId="177" fontId="9" fillId="2" borderId="0" xfId="0" applyNumberFormat="1" applyFont="1" applyFill="1">
      <alignment vertical="center"/>
    </xf>
    <xf numFmtId="0" fontId="9" fillId="2" borderId="0" xfId="0" applyFont="1" applyFill="1">
      <alignment vertical="center"/>
    </xf>
    <xf numFmtId="43" fontId="15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14" fontId="6" fillId="2" borderId="0" xfId="0" applyNumberFormat="1" applyFont="1" applyFill="1" applyAlignment="1">
      <alignment horizontal="left" vertical="center" wrapText="1"/>
    </xf>
    <xf numFmtId="0" fontId="2" fillId="2" borderId="0" xfId="0" applyFont="1" applyFill="1">
      <alignment vertical="center"/>
    </xf>
    <xf numFmtId="0" fontId="8" fillId="0" borderId="1" xfId="0" applyFont="1" applyBorder="1">
      <alignment vertical="center"/>
    </xf>
    <xf numFmtId="0" fontId="3" fillId="5" borderId="0" xfId="0" applyFont="1" applyFill="1" applyAlignment="1">
      <alignment horizontal="center"/>
    </xf>
    <xf numFmtId="0" fontId="9" fillId="5" borderId="0" xfId="0" applyFont="1" applyFill="1">
      <alignment vertical="center"/>
    </xf>
    <xf numFmtId="0" fontId="9" fillId="6" borderId="0" xfId="0" applyFont="1" applyFill="1">
      <alignment vertical="center"/>
    </xf>
    <xf numFmtId="0" fontId="3" fillId="0" borderId="0" xfId="0" applyFont="1" applyAlignment="1">
      <alignment horizontal="center"/>
    </xf>
  </cellXfs>
  <cellStyles count="6">
    <cellStyle name="一般" xfId="0" builtinId="0"/>
    <cellStyle name="一般 2" xfId="2" xr:uid="{E7D54F5C-1081-4EB6-A9B2-0B3378946FF4}"/>
    <cellStyle name="一般 2 2" xfId="4" xr:uid="{70B185EA-D6E7-4D72-9B94-AECD18934923}"/>
    <cellStyle name="一般 3" xfId="5" xr:uid="{840FFEFC-24CC-44B5-A542-71FAED972CE6}"/>
    <cellStyle name="千分位" xfId="1" builtinId="3"/>
    <cellStyle name="千分位 2" xfId="3" xr:uid="{7F61F912-B044-40DA-B119-5F3BE1D3B7E1}"/>
  </cellStyles>
  <dxfs count="0"/>
  <tableStyles count="1" defaultTableStyle="TableStyleMedium2" defaultPivotStyle="PivotStyleLight16">
    <tableStyle name="Invisible" pivot="0" table="0" count="0" xr9:uid="{ECFA7B48-5892-44EA-B011-7C710A2B61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DB998-FC21-42D2-96E0-194C6338EB16}">
  <sheetPr>
    <tabColor rgb="FFFF0000"/>
  </sheetPr>
  <dimension ref="A1:I13"/>
  <sheetViews>
    <sheetView zoomScaleNormal="100" workbookViewId="0">
      <selection activeCell="B19" sqref="B19"/>
    </sheetView>
  </sheetViews>
  <sheetFormatPr defaultColWidth="8" defaultRowHeight="12.75"/>
  <cols>
    <col min="1" max="1" width="22.75" style="7" bestFit="1" customWidth="1"/>
    <col min="2" max="2" width="23.75" style="5" bestFit="1" customWidth="1"/>
    <col min="3" max="16384" width="8" style="7"/>
  </cols>
  <sheetData>
    <row r="1" spans="1:9" s="1" customFormat="1">
      <c r="A1" s="1" t="s">
        <v>0</v>
      </c>
      <c r="B1" s="62" t="s">
        <v>158</v>
      </c>
      <c r="H1" s="3"/>
      <c r="I1" s="3"/>
    </row>
    <row r="2" spans="1:9" s="1" customFormat="1">
      <c r="A2" s="1" t="s">
        <v>1</v>
      </c>
      <c r="B2" s="62" t="s">
        <v>159</v>
      </c>
      <c r="H2" s="3"/>
      <c r="I2" s="3"/>
    </row>
    <row r="3" spans="1:9" s="1" customFormat="1">
      <c r="A3" s="1" t="s">
        <v>2</v>
      </c>
      <c r="B3" s="4" t="s">
        <v>160</v>
      </c>
      <c r="H3" s="3"/>
      <c r="I3" s="3"/>
    </row>
    <row r="4" spans="1:9" s="1" customFormat="1">
      <c r="H4" s="3"/>
      <c r="I4" s="3"/>
    </row>
    <row r="5" spans="1:9">
      <c r="A5" s="5" t="s">
        <v>3</v>
      </c>
      <c r="B5" s="6" t="s">
        <v>4</v>
      </c>
    </row>
    <row r="6" spans="1:9" s="5" customFormat="1">
      <c r="H6" s="8"/>
      <c r="I6" s="8"/>
    </row>
    <row r="7" spans="1:9">
      <c r="A7" s="5" t="s">
        <v>5</v>
      </c>
      <c r="B7" s="9">
        <v>45748</v>
      </c>
    </row>
    <row r="8" spans="1:9">
      <c r="A8" s="5" t="s">
        <v>6</v>
      </c>
      <c r="B8" s="9">
        <v>46112</v>
      </c>
    </row>
    <row r="9" spans="1:9">
      <c r="A9" s="5" t="s">
        <v>7</v>
      </c>
      <c r="B9" s="6"/>
      <c r="C9" s="7" t="s">
        <v>9</v>
      </c>
    </row>
    <row r="11" spans="1:9">
      <c r="A11" s="5" t="s">
        <v>8</v>
      </c>
      <c r="B11" s="2"/>
    </row>
    <row r="12" spans="1:9">
      <c r="A12" s="5"/>
    </row>
    <row r="13" spans="1:9">
      <c r="A13" s="5"/>
    </row>
  </sheetData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&amp;L&amp;"Arial,粗體"Dennis Mak CPA Limited&amp;"Arial,標準"
&amp;"Arial,斜體"Certified Public Accountants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948F-E863-4FB3-9424-4E8EE5C5B92E}">
  <sheetPr>
    <tabColor rgb="FF00B050"/>
  </sheetPr>
  <dimension ref="A1:AF10"/>
  <sheetViews>
    <sheetView zoomScaleNormal="100" workbookViewId="0">
      <pane ySplit="7" topLeftCell="A8" activePane="bottomLeft" state="frozen"/>
      <selection pane="bottomLeft" activeCell="I21" sqref="I21"/>
    </sheetView>
  </sheetViews>
  <sheetFormatPr defaultRowHeight="12.75" outlineLevelCol="1"/>
  <cols>
    <col min="1" max="1" width="7.375" style="10" customWidth="1"/>
    <col min="2" max="2" width="10.875" style="10" customWidth="1"/>
    <col min="3" max="3" width="9.5" style="10" bestFit="1" customWidth="1"/>
    <col min="4" max="4" width="10.75" style="10" customWidth="1"/>
    <col min="5" max="5" width="10" style="10" bestFit="1" customWidth="1"/>
    <col min="6" max="6" width="11.125" style="10" bestFit="1" customWidth="1"/>
    <col min="7" max="7" width="19.375" style="10" bestFit="1" customWidth="1"/>
    <col min="8" max="8" width="1.625" style="10" customWidth="1"/>
    <col min="9" max="9" width="9.75" style="18" customWidth="1"/>
    <col min="10" max="10" width="1.625" style="10" customWidth="1"/>
    <col min="11" max="11" width="12.875" style="10" customWidth="1"/>
    <col min="12" max="12" width="9" style="10" customWidth="1"/>
    <col min="13" max="13" width="9.625" style="19" customWidth="1"/>
    <col min="14" max="14" width="1.625" style="19" customWidth="1"/>
    <col min="15" max="15" width="12.875" style="10" hidden="1" customWidth="1" outlineLevel="1"/>
    <col min="16" max="16" width="9" style="10" hidden="1" customWidth="1" outlineLevel="1"/>
    <col min="17" max="17" width="9.625" style="19" hidden="1" customWidth="1" outlineLevel="1"/>
    <col min="18" max="18" width="1.625" style="19" hidden="1" customWidth="1" outlineLevel="1"/>
    <col min="19" max="19" width="9.625" style="19" hidden="1" customWidth="1" outlineLevel="1"/>
    <col min="20" max="20" width="1.625" style="19" customWidth="1" collapsed="1"/>
    <col min="21" max="21" width="19" style="10" customWidth="1"/>
    <col min="22" max="22" width="1.625" style="10" customWidth="1" outlineLevel="1"/>
    <col min="23" max="23" width="9" style="10" outlineLevel="1"/>
    <col min="24" max="24" width="11.5" style="10" bestFit="1" customWidth="1" outlineLevel="1"/>
    <col min="25" max="25" width="2.125" style="59" customWidth="1" outlineLevel="1"/>
    <col min="26" max="26" width="10.5" style="59" customWidth="1" outlineLevel="1"/>
    <col min="27" max="28" width="8.375" style="10" bestFit="1" customWidth="1" outlineLevel="1"/>
    <col min="29" max="29" width="53.25" style="10" bestFit="1" customWidth="1" outlineLevel="1"/>
    <col min="30" max="30" width="10.25" style="10" bestFit="1" customWidth="1" outlineLevel="1"/>
    <col min="31" max="31" width="10.625" style="10" bestFit="1" customWidth="1" outlineLevel="1"/>
    <col min="32" max="32" width="1.625" style="10" customWidth="1" outlineLevel="1"/>
    <col min="33" max="16384" width="9" style="10"/>
  </cols>
  <sheetData>
    <row r="1" spans="1:31">
      <c r="A1" s="11" t="s">
        <v>10</v>
      </c>
      <c r="B1" s="11" t="str">
        <f>'Master Pg'!$B1</f>
        <v>Pro-surgio Company Limited</v>
      </c>
    </row>
    <row r="2" spans="1:31">
      <c r="A2" s="11" t="s">
        <v>11</v>
      </c>
      <c r="B2" s="11" t="str">
        <f>'Master Pg'!$B2</f>
        <v>1.4.25-31.3.26</v>
      </c>
    </row>
    <row r="3" spans="1:31">
      <c r="A3" s="11" t="s">
        <v>12</v>
      </c>
      <c r="B3" s="11" t="str">
        <f>'Master Pg'!$B3</f>
        <v>P003</v>
      </c>
    </row>
    <row r="4" spans="1:31">
      <c r="A4" s="12" t="s">
        <v>13</v>
      </c>
      <c r="B4" s="13" t="s">
        <v>64</v>
      </c>
    </row>
    <row r="5" spans="1:31">
      <c r="A5" s="12" t="s">
        <v>14</v>
      </c>
      <c r="B5" s="13" t="str">
        <f>'Master Pg'!$B$5</f>
        <v>HK$</v>
      </c>
      <c r="W5" s="40" t="s">
        <v>146</v>
      </c>
      <c r="X5" s="40"/>
      <c r="Y5" s="40"/>
      <c r="Z5" s="40"/>
      <c r="AA5" s="55"/>
      <c r="AB5" s="40"/>
      <c r="AC5" s="40"/>
      <c r="AD5" s="40"/>
      <c r="AE5" s="40"/>
    </row>
    <row r="6" spans="1:31" s="14" customFormat="1" ht="38.25">
      <c r="I6" s="19"/>
      <c r="K6" s="66" t="s">
        <v>25</v>
      </c>
      <c r="L6" s="66"/>
      <c r="M6" s="66"/>
      <c r="N6" s="19"/>
      <c r="O6" s="66" t="s">
        <v>26</v>
      </c>
      <c r="P6" s="66"/>
      <c r="Q6" s="66"/>
      <c r="R6" s="19"/>
      <c r="S6" s="19"/>
      <c r="T6" s="19"/>
      <c r="W6" s="41" t="s">
        <v>136</v>
      </c>
      <c r="X6" s="42" t="s">
        <v>137</v>
      </c>
      <c r="Y6" s="42"/>
      <c r="Z6" s="60" t="s">
        <v>157</v>
      </c>
      <c r="AA6" s="43" t="s">
        <v>138</v>
      </c>
      <c r="AB6" s="44" t="s">
        <v>139</v>
      </c>
      <c r="AC6" s="51" t="s">
        <v>140</v>
      </c>
      <c r="AD6" s="45" t="s">
        <v>141</v>
      </c>
      <c r="AE6" s="46" t="s">
        <v>142</v>
      </c>
    </row>
    <row r="7" spans="1:31" s="16" customFormat="1">
      <c r="A7" s="16" t="s">
        <v>19</v>
      </c>
      <c r="B7" s="16" t="s">
        <v>143</v>
      </c>
      <c r="C7" s="16" t="s">
        <v>15</v>
      </c>
      <c r="D7" s="16" t="s">
        <v>144</v>
      </c>
      <c r="E7" s="16" t="s">
        <v>16</v>
      </c>
      <c r="F7" s="16" t="s">
        <v>21</v>
      </c>
      <c r="G7" s="15" t="s">
        <v>145</v>
      </c>
      <c r="I7" s="20" t="s">
        <v>17</v>
      </c>
      <c r="J7" s="63"/>
      <c r="K7" s="16" t="s">
        <v>18</v>
      </c>
      <c r="L7" s="16" t="s">
        <v>15</v>
      </c>
      <c r="M7" s="24" t="s">
        <v>17</v>
      </c>
      <c r="N7" s="20"/>
      <c r="O7" s="16" t="s">
        <v>18</v>
      </c>
      <c r="P7" s="16" t="s">
        <v>15</v>
      </c>
      <c r="Q7" s="24" t="s">
        <v>17</v>
      </c>
      <c r="R7" s="20"/>
      <c r="S7" s="24" t="s">
        <v>23</v>
      </c>
      <c r="T7" s="20"/>
      <c r="W7" s="54"/>
      <c r="X7" s="41"/>
      <c r="Y7" s="41"/>
      <c r="Z7" s="41"/>
      <c r="AA7" s="52" t="s">
        <v>147</v>
      </c>
      <c r="AB7" s="53" t="s">
        <v>148</v>
      </c>
      <c r="AC7" s="51"/>
      <c r="AD7" s="52" t="s">
        <v>147</v>
      </c>
      <c r="AE7" s="53" t="s">
        <v>148</v>
      </c>
    </row>
    <row r="8" spans="1:31">
      <c r="A8" s="10">
        <v>1</v>
      </c>
      <c r="B8" s="10" t="s">
        <v>161</v>
      </c>
      <c r="C8" s="17">
        <v>46112</v>
      </c>
      <c r="D8" s="17" t="s">
        <v>86</v>
      </c>
      <c r="E8" s="10" t="s">
        <v>162</v>
      </c>
      <c r="G8" s="10" t="s">
        <v>163</v>
      </c>
      <c r="I8" s="18">
        <v>119600</v>
      </c>
      <c r="J8" s="64"/>
      <c r="K8" s="10" t="s">
        <v>20</v>
      </c>
      <c r="L8" s="17">
        <v>46114</v>
      </c>
      <c r="M8" s="18">
        <v>117087</v>
      </c>
      <c r="N8" s="18"/>
      <c r="P8" s="17"/>
      <c r="Q8" s="18"/>
      <c r="R8" s="18"/>
      <c r="S8" s="18"/>
      <c r="T8" s="18"/>
      <c r="U8" s="65" t="s">
        <v>179</v>
      </c>
      <c r="W8" s="56">
        <f>IF(C8="","",C8)</f>
        <v>46112</v>
      </c>
      <c r="X8" s="57" t="str">
        <f>IF(D8="","","AR"&amp;"-"&amp;B8)</f>
        <v>AR-2603-001</v>
      </c>
      <c r="Y8" s="41"/>
      <c r="Z8" s="61">
        <f>IF(X8="","",COUNTIF(X:X,X8)*2)</f>
        <v>2</v>
      </c>
      <c r="AA8" s="47">
        <f>IF($D8="","",IF($B$4="","",VLOOKUP($B$4,'Chart of Accounts'!$A:$B,2,FALSE)))</f>
        <v>1100</v>
      </c>
      <c r="AB8" s="48">
        <f>IF(D8="","",VLOOKUP(D:D,'Chart of Accounts'!$A:$B,2,FALSE))</f>
        <v>4000</v>
      </c>
      <c r="AC8" s="57" t="str">
        <f>IF(D8="","",D8&amp;":"&amp;E8&amp;IF(F8="",""," - "&amp;F8)&amp;IF(G8="",""," - "&amp;G8))</f>
        <v>Sales:ST TERESA'S HOSPITAL - Sales -16.3.26-31.3.26</v>
      </c>
      <c r="AD8" s="49">
        <f>I:I</f>
        <v>119600</v>
      </c>
      <c r="AE8" s="50">
        <f>-I:I</f>
        <v>-119600</v>
      </c>
    </row>
    <row r="9" spans="1:31">
      <c r="H9" s="26"/>
      <c r="I9" s="23">
        <f>SUM(I8:I8)</f>
        <v>119600</v>
      </c>
      <c r="J9" s="64"/>
      <c r="M9" s="23">
        <f>SUM(M8:M8)</f>
        <v>117087</v>
      </c>
      <c r="Q9" s="23">
        <f>SUM(Q8:Q8)</f>
        <v>0</v>
      </c>
      <c r="S9" s="23">
        <f>SUM(S8:S8)</f>
        <v>0</v>
      </c>
      <c r="AD9" s="23">
        <f>SUM(AD8:AD8)</f>
        <v>119600</v>
      </c>
      <c r="AE9" s="23">
        <f>SUM(AE8:AE8)</f>
        <v>-119600</v>
      </c>
    </row>
    <row r="10" spans="1:31" s="21" customFormat="1">
      <c r="M10" s="25"/>
      <c r="N10" s="25"/>
      <c r="Q10" s="25" t="s">
        <v>22</v>
      </c>
      <c r="R10" s="25"/>
      <c r="S10" s="25" t="s">
        <v>22</v>
      </c>
      <c r="T10" s="25"/>
      <c r="Y10" s="59"/>
      <c r="Z10" s="59"/>
      <c r="AE10" s="58">
        <f>SUM(AD9:AE9)</f>
        <v>0</v>
      </c>
    </row>
  </sheetData>
  <mergeCells count="2">
    <mergeCell ref="K6:M6"/>
    <mergeCell ref="O6:Q6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0546-7CFD-49EF-8A9D-B9B2F139E7B7}">
  <sheetPr>
    <tabColor rgb="FF002060"/>
  </sheetPr>
  <dimension ref="A1:AF13"/>
  <sheetViews>
    <sheetView tabSelected="1" zoomScaleNormal="100" workbookViewId="0">
      <pane ySplit="7" topLeftCell="A8" activePane="bottomLeft" state="frozen"/>
      <selection pane="bottomLeft" activeCell="I27" sqref="I27"/>
    </sheetView>
  </sheetViews>
  <sheetFormatPr defaultRowHeight="12.75" outlineLevelCol="1"/>
  <cols>
    <col min="1" max="1" width="9" style="10"/>
    <col min="2" max="2" width="10.875" style="10" customWidth="1"/>
    <col min="3" max="3" width="9.5" style="10" bestFit="1" customWidth="1"/>
    <col min="4" max="4" width="13.75" style="10" bestFit="1" customWidth="1"/>
    <col min="5" max="5" width="13.375" style="10" customWidth="1"/>
    <col min="6" max="6" width="11.125" style="10" bestFit="1" customWidth="1"/>
    <col min="7" max="7" width="21.75" style="10" customWidth="1"/>
    <col min="8" max="8" width="1.625" style="10" customWidth="1"/>
    <col min="9" max="9" width="10.875" style="18" customWidth="1"/>
    <col min="10" max="10" width="1.625" style="10" customWidth="1"/>
    <col min="11" max="11" width="12.875" style="10" customWidth="1"/>
    <col min="12" max="12" width="9" style="10" customWidth="1"/>
    <col min="13" max="13" width="9.625" style="19" customWidth="1"/>
    <col min="14" max="14" width="1.625" style="19" hidden="1" customWidth="1" outlineLevel="1"/>
    <col min="15" max="15" width="12.875" style="10" hidden="1" customWidth="1" outlineLevel="1"/>
    <col min="16" max="16" width="9" style="10" hidden="1" customWidth="1" outlineLevel="1"/>
    <col min="17" max="17" width="9.625" style="19" hidden="1" customWidth="1" outlineLevel="1"/>
    <col min="18" max="18" width="1.625" style="19" hidden="1" customWidth="1" outlineLevel="1"/>
    <col min="19" max="19" width="9.625" style="19" hidden="1" customWidth="1" outlineLevel="1"/>
    <col min="20" max="20" width="1.625" style="19" customWidth="1" collapsed="1"/>
    <col min="21" max="21" width="32.5" style="10" customWidth="1"/>
    <col min="22" max="22" width="1.625" style="10" customWidth="1" outlineLevel="1"/>
    <col min="23" max="23" width="9" style="10" outlineLevel="1"/>
    <col min="24" max="24" width="11.5" style="10" bestFit="1" customWidth="1" outlineLevel="1"/>
    <col min="25" max="25" width="2.125" style="59" customWidth="1" outlineLevel="1"/>
    <col min="26" max="26" width="10.5" style="59" customWidth="1" outlineLevel="1"/>
    <col min="27" max="28" width="8.375" style="10" bestFit="1" customWidth="1" outlineLevel="1"/>
    <col min="29" max="29" width="53.25" style="10" bestFit="1" customWidth="1" outlineLevel="1"/>
    <col min="30" max="30" width="10.25" style="10" bestFit="1" customWidth="1" outlineLevel="1"/>
    <col min="31" max="31" width="10.625" style="10" bestFit="1" customWidth="1" outlineLevel="1"/>
    <col min="32" max="32" width="1.625" style="10" customWidth="1" outlineLevel="1"/>
    <col min="33" max="16384" width="9" style="10"/>
  </cols>
  <sheetData>
    <row r="1" spans="1:31">
      <c r="A1" s="11" t="s">
        <v>10</v>
      </c>
      <c r="B1" s="11" t="str">
        <f>'Master Pg'!$B1</f>
        <v>Pro-surgio Company Limited</v>
      </c>
    </row>
    <row r="2" spans="1:31">
      <c r="A2" s="11" t="s">
        <v>11</v>
      </c>
      <c r="B2" s="11" t="str">
        <f>'Master Pg'!$B2</f>
        <v>1.4.25-31.3.26</v>
      </c>
    </row>
    <row r="3" spans="1:31">
      <c r="A3" s="11" t="s">
        <v>12</v>
      </c>
      <c r="B3" s="11" t="str">
        <f>'Master Pg'!$B3</f>
        <v>P003</v>
      </c>
    </row>
    <row r="4" spans="1:31">
      <c r="A4" s="12" t="s">
        <v>13</v>
      </c>
      <c r="B4" s="13" t="s">
        <v>76</v>
      </c>
    </row>
    <row r="5" spans="1:31">
      <c r="A5" s="12" t="s">
        <v>14</v>
      </c>
      <c r="B5" s="13" t="str">
        <f>'Master Pg'!$B$5</f>
        <v>HK$</v>
      </c>
      <c r="W5" s="40" t="s">
        <v>146</v>
      </c>
      <c r="X5" s="40"/>
      <c r="Y5" s="40"/>
      <c r="Z5" s="40"/>
      <c r="AA5" s="55"/>
      <c r="AB5" s="40"/>
      <c r="AC5" s="40"/>
      <c r="AD5" s="40"/>
      <c r="AE5" s="40"/>
    </row>
    <row r="6" spans="1:31" s="14" customFormat="1" ht="38.25">
      <c r="I6" s="19"/>
      <c r="K6" s="66" t="s">
        <v>25</v>
      </c>
      <c r="L6" s="66"/>
      <c r="M6" s="66"/>
      <c r="N6" s="19"/>
      <c r="O6" s="66" t="s">
        <v>26</v>
      </c>
      <c r="P6" s="66"/>
      <c r="Q6" s="66"/>
      <c r="R6" s="19"/>
      <c r="S6" s="19"/>
      <c r="T6" s="19"/>
      <c r="W6" s="41" t="s">
        <v>136</v>
      </c>
      <c r="X6" s="42" t="s">
        <v>137</v>
      </c>
      <c r="Y6" s="42"/>
      <c r="Z6" s="60" t="s">
        <v>157</v>
      </c>
      <c r="AA6" s="43" t="s">
        <v>149</v>
      </c>
      <c r="AB6" s="44" t="s">
        <v>150</v>
      </c>
      <c r="AC6" s="51" t="s">
        <v>140</v>
      </c>
      <c r="AD6" s="45" t="s">
        <v>151</v>
      </c>
      <c r="AE6" s="46" t="s">
        <v>152</v>
      </c>
    </row>
    <row r="7" spans="1:31" s="16" customFormat="1">
      <c r="A7" s="16" t="s">
        <v>19</v>
      </c>
      <c r="B7" s="16" t="s">
        <v>143</v>
      </c>
      <c r="C7" s="16" t="s">
        <v>15</v>
      </c>
      <c r="D7" s="16" t="s">
        <v>144</v>
      </c>
      <c r="E7" s="16" t="s">
        <v>16</v>
      </c>
      <c r="F7" s="16" t="s">
        <v>21</v>
      </c>
      <c r="G7" s="15" t="s">
        <v>145</v>
      </c>
      <c r="I7" s="20" t="s">
        <v>17</v>
      </c>
      <c r="J7" s="15"/>
      <c r="K7" s="16" t="s">
        <v>18</v>
      </c>
      <c r="L7" s="16" t="s">
        <v>15</v>
      </c>
      <c r="M7" s="24" t="s">
        <v>17</v>
      </c>
      <c r="N7" s="20"/>
      <c r="O7" s="16" t="s">
        <v>18</v>
      </c>
      <c r="P7" s="16" t="s">
        <v>15</v>
      </c>
      <c r="Q7" s="24" t="s">
        <v>17</v>
      </c>
      <c r="R7" s="20"/>
      <c r="S7" s="24" t="s">
        <v>23</v>
      </c>
      <c r="T7" s="20"/>
      <c r="W7" s="54"/>
      <c r="X7" s="41"/>
      <c r="Y7" s="41"/>
      <c r="Z7" s="41"/>
      <c r="AA7" s="52" t="s">
        <v>147</v>
      </c>
      <c r="AB7" s="53" t="s">
        <v>148</v>
      </c>
      <c r="AC7" s="51"/>
      <c r="AD7" s="52" t="s">
        <v>147</v>
      </c>
      <c r="AE7" s="53" t="s">
        <v>148</v>
      </c>
    </row>
    <row r="8" spans="1:31">
      <c r="B8" s="10" t="s">
        <v>161</v>
      </c>
      <c r="C8" s="17">
        <v>46112</v>
      </c>
      <c r="D8" s="17" t="s">
        <v>180</v>
      </c>
      <c r="E8" s="10" t="s">
        <v>162</v>
      </c>
      <c r="G8" s="10" t="s">
        <v>181</v>
      </c>
      <c r="I8" s="18">
        <v>2513</v>
      </c>
      <c r="K8" s="10" t="s">
        <v>20</v>
      </c>
      <c r="L8" s="17">
        <v>46114</v>
      </c>
      <c r="M8" s="18">
        <v>2513</v>
      </c>
      <c r="N8" s="18"/>
      <c r="P8" s="17"/>
      <c r="Q8" s="18"/>
      <c r="R8" s="18"/>
      <c r="S8" s="18"/>
      <c r="T8" s="18"/>
      <c r="U8" s="65" t="s">
        <v>179</v>
      </c>
      <c r="W8" s="56">
        <f>IF(C8="","",C8)</f>
        <v>46112</v>
      </c>
      <c r="X8" s="57" t="str">
        <f>IF(D8="","","AP"&amp;"-"&amp;B8)</f>
        <v>AP-2603-001</v>
      </c>
      <c r="Y8" s="41"/>
      <c r="Z8" s="61">
        <f>IF(X8="","",COUNTIF(X:X,X8)*2)</f>
        <v>2</v>
      </c>
      <c r="AA8" s="47">
        <f>IF(D8="","",VLOOKUP(D:D,'Chart of Accounts'!$A:$B,2,FALSE))</f>
        <v>5300</v>
      </c>
      <c r="AB8" s="48">
        <f>IF($D8="","",IF($B$4="","",VLOOKUP($B$4,'Chart of Accounts'!$A:$B,2,FALSE)))</f>
        <v>2000</v>
      </c>
      <c r="AC8" s="57" t="str">
        <f>IF(D8="","",D8&amp;":"&amp;E8&amp;IF(F8="",""," - "&amp;F8)&amp;IF(G8="",""," - "&amp;G8))</f>
        <v>Handling Charges:ST TERESA'S HOSPITAL - Sales Handling Charges-16.3.26-31.3.26</v>
      </c>
      <c r="AD8" s="49">
        <f>I:I</f>
        <v>2513</v>
      </c>
      <c r="AE8" s="50">
        <f>-I:I</f>
        <v>-2513</v>
      </c>
    </row>
    <row r="9" spans="1:31">
      <c r="C9" s="17"/>
      <c r="D9" s="17"/>
      <c r="L9" s="17"/>
      <c r="M9" s="18"/>
      <c r="N9" s="18"/>
      <c r="Q9" s="18"/>
      <c r="R9" s="18"/>
      <c r="S9" s="18"/>
      <c r="T9" s="18"/>
      <c r="U9" s="65"/>
      <c r="W9" s="56" t="str">
        <f t="shared" ref="W9:W10" si="0">IF(C9="","",C9)</f>
        <v/>
      </c>
      <c r="X9" s="57" t="str">
        <f t="shared" ref="X9:X10" si="1">IF(D9="","","AP"&amp;"-"&amp;B9)</f>
        <v/>
      </c>
      <c r="Y9" s="41"/>
      <c r="Z9" s="61" t="str">
        <f>IF(X9="","",COUNTIF(X:X,X9)*2)</f>
        <v/>
      </c>
      <c r="AA9" s="47" t="str">
        <f>IF(D9="","",VLOOKUP(D:D,'Chart of Accounts'!$A:$B,2,FALSE))</f>
        <v/>
      </c>
      <c r="AB9" s="48" t="str">
        <f>IF($D9="","",IF($B$4="","",VLOOKUP($B$4,'Chart of Accounts'!$A:$B,2,FALSE)))</f>
        <v/>
      </c>
      <c r="AC9" s="57" t="str">
        <f t="shared" ref="AC9:AC10" si="2">IF(D9="","",D9&amp;":"&amp;E9&amp;IF(F9="",""," - "&amp;F9)&amp;IF(G9="",""," - "&amp;G9))</f>
        <v/>
      </c>
      <c r="AD9" s="49">
        <f>I:I</f>
        <v>0</v>
      </c>
      <c r="AE9" s="50">
        <f>-I:I</f>
        <v>0</v>
      </c>
    </row>
    <row r="10" spans="1:31">
      <c r="C10" s="17"/>
      <c r="D10" s="17"/>
      <c r="L10" s="17"/>
      <c r="M10" s="18"/>
      <c r="N10" s="18"/>
      <c r="Q10" s="18"/>
      <c r="R10" s="18"/>
      <c r="S10" s="18"/>
      <c r="T10" s="18"/>
      <c r="U10" s="65"/>
      <c r="W10" s="56" t="str">
        <f t="shared" si="0"/>
        <v/>
      </c>
      <c r="X10" s="57" t="str">
        <f t="shared" si="1"/>
        <v/>
      </c>
      <c r="Y10" s="41"/>
      <c r="Z10" s="61" t="str">
        <f>IF(X10="","",COUNTIF(X:X,X10)*2)</f>
        <v/>
      </c>
      <c r="AA10" s="47" t="str">
        <f>IF(D10="","",VLOOKUP(D:D,'Chart of Accounts'!$A:$B,2,FALSE))</f>
        <v/>
      </c>
      <c r="AB10" s="48" t="str">
        <f>IF($D10="","",IF($B$4="","",VLOOKUP($B$4,'Chart of Accounts'!$A:$B,2,FALSE)))</f>
        <v/>
      </c>
      <c r="AC10" s="57" t="str">
        <f t="shared" si="2"/>
        <v/>
      </c>
      <c r="AD10" s="49">
        <f>I:I</f>
        <v>0</v>
      </c>
      <c r="AE10" s="50">
        <f>-I:I</f>
        <v>0</v>
      </c>
    </row>
    <row r="12" spans="1:31">
      <c r="H12" s="26" t="s">
        <v>24</v>
      </c>
      <c r="I12" s="23">
        <f>SUM(I8:I11)</f>
        <v>2513</v>
      </c>
      <c r="M12" s="23">
        <f>SUM(M8:M11)</f>
        <v>2513</v>
      </c>
      <c r="Q12" s="23">
        <f>SUM(Q8:Q11)</f>
        <v>0</v>
      </c>
      <c r="S12" s="23">
        <f>SUM(S8:S11)</f>
        <v>0</v>
      </c>
      <c r="AD12" s="23">
        <f>SUM(AD8:AD11)</f>
        <v>2513</v>
      </c>
      <c r="AE12" s="23">
        <f>SUM(AE8:AE11)</f>
        <v>-2513</v>
      </c>
    </row>
    <row r="13" spans="1:31" s="21" customFormat="1">
      <c r="I13" s="21" t="s">
        <v>22</v>
      </c>
      <c r="M13" s="25" t="s">
        <v>22</v>
      </c>
      <c r="N13" s="25"/>
      <c r="Q13" s="25" t="s">
        <v>22</v>
      </c>
      <c r="R13" s="25"/>
      <c r="S13" s="25" t="s">
        <v>22</v>
      </c>
      <c r="T13" s="25"/>
      <c r="Y13" s="59"/>
      <c r="Z13" s="59"/>
      <c r="AE13" s="58">
        <f>SUM(AD12:AE12)</f>
        <v>0</v>
      </c>
    </row>
  </sheetData>
  <mergeCells count="2">
    <mergeCell ref="K6:M6"/>
    <mergeCell ref="O6:Q6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29497-AC76-4A5D-96F7-174CA9946A5C}">
  <sheetPr>
    <tabColor rgb="FF002060"/>
  </sheetPr>
  <dimension ref="A1:AF13"/>
  <sheetViews>
    <sheetView zoomScaleNormal="100" workbookViewId="0">
      <pane ySplit="7" topLeftCell="A8" activePane="bottomLeft" state="frozen"/>
      <selection pane="bottomLeft" activeCell="G33" sqref="G33"/>
    </sheetView>
  </sheetViews>
  <sheetFormatPr defaultRowHeight="12.75" outlineLevelCol="1"/>
  <cols>
    <col min="1" max="1" width="9" style="10"/>
    <col min="2" max="2" width="10.875" style="10" customWidth="1"/>
    <col min="3" max="3" width="9.5" style="10" bestFit="1" customWidth="1"/>
    <col min="4" max="4" width="19.25" style="10" bestFit="1" customWidth="1"/>
    <col min="5" max="5" width="21.375" style="10" bestFit="1" customWidth="1"/>
    <col min="6" max="6" width="11.625" style="10" bestFit="1" customWidth="1"/>
    <col min="7" max="7" width="20" style="10" bestFit="1" customWidth="1"/>
    <col min="8" max="8" width="1.625" style="10" customWidth="1"/>
    <col min="9" max="9" width="11.125" style="18" bestFit="1" customWidth="1"/>
    <col min="10" max="10" width="1.625" style="10" hidden="1" customWidth="1" outlineLevel="1"/>
    <col min="11" max="11" width="12.875" style="10" hidden="1" customWidth="1" outlineLevel="1"/>
    <col min="12" max="12" width="9" style="10" hidden="1" customWidth="1" outlineLevel="1"/>
    <col min="13" max="13" width="9.625" style="19" hidden="1" customWidth="1" outlineLevel="1"/>
    <col min="14" max="14" width="1.625" style="19" hidden="1" customWidth="1" outlineLevel="1"/>
    <col min="15" max="15" width="12.875" style="10" hidden="1" customWidth="1" outlineLevel="1"/>
    <col min="16" max="16" width="9" style="10" hidden="1" customWidth="1" outlineLevel="1"/>
    <col min="17" max="17" width="9.625" style="19" hidden="1" customWidth="1" outlineLevel="1"/>
    <col min="18" max="18" width="1.625" style="19" hidden="1" customWidth="1" outlineLevel="1"/>
    <col min="19" max="19" width="9.625" style="19" hidden="1" customWidth="1" outlineLevel="1"/>
    <col min="20" max="20" width="1.625" style="19" hidden="1" customWidth="1" outlineLevel="1"/>
    <col min="21" max="21" width="9" style="10" collapsed="1"/>
    <col min="22" max="22" width="1.625" style="10" customWidth="1" outlineLevel="1"/>
    <col min="23" max="23" width="9" style="10" outlineLevel="1"/>
    <col min="24" max="24" width="11.5" style="10" bestFit="1" customWidth="1" outlineLevel="1"/>
    <col min="25" max="25" width="2.125" style="59" customWidth="1" outlineLevel="1"/>
    <col min="26" max="26" width="10.5" style="59" customWidth="1" outlineLevel="1"/>
    <col min="27" max="27" width="8.375" style="10" bestFit="1" customWidth="1" outlineLevel="1"/>
    <col min="28" max="28" width="10" style="10" bestFit="1" customWidth="1" outlineLevel="1"/>
    <col min="29" max="29" width="53.25" style="10" bestFit="1" customWidth="1" outlineLevel="1"/>
    <col min="30" max="30" width="10.25" style="10" bestFit="1" customWidth="1" outlineLevel="1"/>
    <col min="31" max="31" width="10.625" style="10" bestFit="1" customWidth="1" outlineLevel="1"/>
    <col min="32" max="32" width="1.625" style="10" customWidth="1" outlineLevel="1"/>
    <col min="33" max="16384" width="9" style="10"/>
  </cols>
  <sheetData>
    <row r="1" spans="1:31">
      <c r="A1" s="11" t="s">
        <v>10</v>
      </c>
      <c r="B1" s="11" t="str">
        <f>'Master Pg'!$B1</f>
        <v>Pro-surgio Company Limited</v>
      </c>
    </row>
    <row r="2" spans="1:31">
      <c r="A2" s="11" t="s">
        <v>11</v>
      </c>
      <c r="B2" s="11" t="str">
        <f>'Master Pg'!$B2</f>
        <v>1.4.25-31.3.26</v>
      </c>
    </row>
    <row r="3" spans="1:31">
      <c r="A3" s="11" t="s">
        <v>12</v>
      </c>
      <c r="B3" s="11" t="str">
        <f>'Master Pg'!$B3</f>
        <v>P003</v>
      </c>
    </row>
    <row r="4" spans="1:31">
      <c r="A4" s="12" t="s">
        <v>13</v>
      </c>
      <c r="B4" s="13" t="s">
        <v>79</v>
      </c>
    </row>
    <row r="5" spans="1:31">
      <c r="A5" s="12" t="s">
        <v>14</v>
      </c>
      <c r="B5" s="13" t="str">
        <f>'Master Pg'!$B$5</f>
        <v>HK$</v>
      </c>
      <c r="W5" s="40" t="s">
        <v>146</v>
      </c>
      <c r="X5" s="40"/>
      <c r="Y5" s="40"/>
      <c r="Z5" s="40"/>
      <c r="AA5" s="55"/>
      <c r="AB5" s="40"/>
      <c r="AC5" s="40"/>
      <c r="AD5" s="40"/>
      <c r="AE5" s="40"/>
    </row>
    <row r="6" spans="1:31" s="14" customFormat="1" ht="38.25">
      <c r="I6" s="19"/>
      <c r="K6" s="66" t="s">
        <v>25</v>
      </c>
      <c r="L6" s="66"/>
      <c r="M6" s="66"/>
      <c r="N6" s="19"/>
      <c r="O6" s="66" t="s">
        <v>26</v>
      </c>
      <c r="P6" s="66"/>
      <c r="Q6" s="66"/>
      <c r="R6" s="19"/>
      <c r="S6" s="19"/>
      <c r="T6" s="19"/>
      <c r="W6" s="41" t="s">
        <v>136</v>
      </c>
      <c r="X6" s="42" t="s">
        <v>137</v>
      </c>
      <c r="Y6" s="42"/>
      <c r="Z6" s="60" t="s">
        <v>157</v>
      </c>
      <c r="AA6" s="43" t="s">
        <v>149</v>
      </c>
      <c r="AB6" s="44" t="s">
        <v>153</v>
      </c>
      <c r="AC6" s="51" t="s">
        <v>140</v>
      </c>
      <c r="AD6" s="45" t="s">
        <v>151</v>
      </c>
      <c r="AE6" s="46" t="s">
        <v>154</v>
      </c>
    </row>
    <row r="7" spans="1:31" s="16" customFormat="1">
      <c r="A7" s="16" t="s">
        <v>19</v>
      </c>
      <c r="B7" s="16" t="s">
        <v>143</v>
      </c>
      <c r="C7" s="16" t="s">
        <v>15</v>
      </c>
      <c r="D7" s="16" t="s">
        <v>144</v>
      </c>
      <c r="E7" s="16" t="s">
        <v>16</v>
      </c>
      <c r="F7" s="16" t="s">
        <v>21</v>
      </c>
      <c r="G7" s="15" t="s">
        <v>145</v>
      </c>
      <c r="I7" s="20" t="s">
        <v>17</v>
      </c>
      <c r="J7" s="15"/>
      <c r="K7" s="16" t="s">
        <v>18</v>
      </c>
      <c r="L7" s="16" t="s">
        <v>15</v>
      </c>
      <c r="M7" s="24" t="s">
        <v>17</v>
      </c>
      <c r="N7" s="20"/>
      <c r="O7" s="16" t="s">
        <v>18</v>
      </c>
      <c r="P7" s="16" t="s">
        <v>15</v>
      </c>
      <c r="Q7" s="24" t="s">
        <v>17</v>
      </c>
      <c r="R7" s="20"/>
      <c r="S7" s="24" t="s">
        <v>23</v>
      </c>
      <c r="T7" s="20"/>
      <c r="W7" s="54"/>
      <c r="X7" s="41"/>
      <c r="Y7" s="41"/>
      <c r="Z7" s="41"/>
      <c r="AA7" s="52" t="s">
        <v>147</v>
      </c>
      <c r="AB7" s="53" t="s">
        <v>148</v>
      </c>
      <c r="AC7" s="51"/>
      <c r="AD7" s="52" t="s">
        <v>147</v>
      </c>
      <c r="AE7" s="53" t="s">
        <v>148</v>
      </c>
    </row>
    <row r="8" spans="1:31">
      <c r="A8" s="10">
        <v>1</v>
      </c>
      <c r="B8" s="10" t="s">
        <v>161</v>
      </c>
      <c r="C8" s="17">
        <v>46112</v>
      </c>
      <c r="D8" s="17" t="s">
        <v>98</v>
      </c>
      <c r="E8" s="10" t="s">
        <v>156</v>
      </c>
      <c r="I8" s="18">
        <v>8000</v>
      </c>
      <c r="L8" s="17"/>
      <c r="M8" s="18"/>
      <c r="N8" s="18"/>
      <c r="P8" s="17"/>
      <c r="Q8" s="18"/>
      <c r="R8" s="18"/>
      <c r="S8" s="18"/>
      <c r="T8" s="18"/>
      <c r="W8" s="56">
        <f>IF(C8="","",C8)</f>
        <v>46112</v>
      </c>
      <c r="X8" s="57" t="str">
        <f>IF(D8="","","JV"&amp;"-"&amp;B8)</f>
        <v>JV-2603-001</v>
      </c>
      <c r="Y8" s="41"/>
      <c r="Z8" s="61">
        <f>IF(X8="","",COUNTIF(X:X,X8)*2)</f>
        <v>6</v>
      </c>
      <c r="AA8" s="47">
        <f>IF(D8="","",VLOOKUP(D:D,'Chart of Accounts'!$A:$B,2,FALSE))</f>
        <v>6000</v>
      </c>
      <c r="AB8" s="48">
        <f>IF($D8="","",IF($B$4="","",VLOOKUP($B$4,'Chart of Accounts'!$A:$B,2,FALSE)))</f>
        <v>2200</v>
      </c>
      <c r="AC8" s="57" t="str">
        <f t="shared" ref="AC8:AC10" si="0">IF(D8="","",D8&amp;":"&amp;E8&amp;IF(F8="",""," - "&amp;F8)&amp;IF(G8="",""," - "&amp;G8))</f>
        <v>Accounting fee:DM Secretary Limited</v>
      </c>
      <c r="AD8" s="49">
        <f>I:I</f>
        <v>8000</v>
      </c>
      <c r="AE8" s="50">
        <f>-I:I</f>
        <v>-8000</v>
      </c>
    </row>
    <row r="9" spans="1:31">
      <c r="A9" s="10">
        <v>2</v>
      </c>
      <c r="B9" s="10" t="s">
        <v>161</v>
      </c>
      <c r="C9" s="17">
        <v>46112</v>
      </c>
      <c r="D9" s="10" t="s">
        <v>100</v>
      </c>
      <c r="E9" s="10" t="s">
        <v>155</v>
      </c>
      <c r="I9" s="18">
        <v>10200</v>
      </c>
      <c r="M9" s="18"/>
      <c r="N9" s="18"/>
      <c r="Q9" s="18"/>
      <c r="R9" s="18"/>
      <c r="S9" s="18"/>
      <c r="T9" s="18"/>
      <c r="W9" s="56">
        <f t="shared" ref="W9:W10" si="1">IF(C9="","",C9)</f>
        <v>46112</v>
      </c>
      <c r="X9" s="57" t="str">
        <f t="shared" ref="X9:X10" si="2">IF(D9="","","JV"&amp;"-"&amp;B9)</f>
        <v>JV-2603-001</v>
      </c>
      <c r="Y9" s="41"/>
      <c r="Z9" s="61">
        <f>IF(X9="","",COUNTIF(X:X,X9)*2)</f>
        <v>6</v>
      </c>
      <c r="AA9" s="47">
        <f>IF(D9="","",VLOOKUP(D:D,'Chart of Accounts'!$A:$B,2,FALSE))</f>
        <v>6100</v>
      </c>
      <c r="AB9" s="48">
        <f>IF($D9="","",IF($B$4="","",VLOOKUP($B$4,'Chart of Accounts'!$A:$B,2,FALSE)))</f>
        <v>2200</v>
      </c>
      <c r="AC9" s="57" t="str">
        <f t="shared" si="0"/>
        <v>Auditor's remuneration:Dennis MAK CPA Limited</v>
      </c>
      <c r="AD9" s="49">
        <f>I:I</f>
        <v>10200</v>
      </c>
      <c r="AE9" s="50">
        <f>-I:I</f>
        <v>-10200</v>
      </c>
    </row>
    <row r="10" spans="1:31">
      <c r="A10" s="10">
        <v>3</v>
      </c>
      <c r="B10" s="10" t="s">
        <v>161</v>
      </c>
      <c r="C10" s="17">
        <v>46112</v>
      </c>
      <c r="D10" s="10" t="s">
        <v>107</v>
      </c>
      <c r="I10" s="18">
        <v>700000</v>
      </c>
      <c r="M10" s="18"/>
      <c r="N10" s="18"/>
      <c r="Q10" s="18"/>
      <c r="R10" s="18"/>
      <c r="S10" s="18">
        <f>I:I-M:M-Q:Q</f>
        <v>700000</v>
      </c>
      <c r="T10" s="18"/>
      <c r="W10" s="56">
        <f t="shared" si="1"/>
        <v>46112</v>
      </c>
      <c r="X10" s="57" t="str">
        <f t="shared" si="2"/>
        <v>JV-2603-001</v>
      </c>
      <c r="Y10" s="41"/>
      <c r="Z10" s="61">
        <f>IF(X10="","",COUNTIF(X:X,X10)*2)</f>
        <v>6</v>
      </c>
      <c r="AA10" s="47">
        <f>IF(D10="","",VLOOKUP(D:D,'Chart of Accounts'!$A:$B,2,FALSE))</f>
        <v>6450</v>
      </c>
      <c r="AB10" s="48">
        <f>IF($D10="","",IF($B$4="","",VLOOKUP($B$4,'Chart of Accounts'!$A:$B,2,FALSE)))</f>
        <v>2200</v>
      </c>
      <c r="AC10" s="57" t="str">
        <f t="shared" si="0"/>
        <v>Director's remuneration:</v>
      </c>
      <c r="AD10" s="49">
        <f>I:I</f>
        <v>700000</v>
      </c>
      <c r="AE10" s="50">
        <f>-I:I</f>
        <v>-700000</v>
      </c>
    </row>
    <row r="12" spans="1:31">
      <c r="H12" s="26" t="s">
        <v>24</v>
      </c>
      <c r="I12" s="23">
        <f>SUM(I8:I11)</f>
        <v>718200</v>
      </c>
      <c r="M12" s="23">
        <f>SUM(M8:M11)</f>
        <v>0</v>
      </c>
      <c r="Q12" s="23">
        <f>SUM(Q8:Q11)</f>
        <v>0</v>
      </c>
      <c r="S12" s="23">
        <f>SUM(S8:S11)</f>
        <v>700000</v>
      </c>
      <c r="AD12" s="23">
        <f>SUM(AD8:AD11)</f>
        <v>718200</v>
      </c>
      <c r="AE12" s="23">
        <f>SUM(AE8:AE11)</f>
        <v>-718200</v>
      </c>
    </row>
    <row r="13" spans="1:31" s="21" customFormat="1">
      <c r="I13" s="21" t="s">
        <v>22</v>
      </c>
      <c r="M13" s="25" t="s">
        <v>22</v>
      </c>
      <c r="N13" s="25"/>
      <c r="Q13" s="25" t="s">
        <v>22</v>
      </c>
      <c r="R13" s="25"/>
      <c r="S13" s="25" t="s">
        <v>22</v>
      </c>
      <c r="T13" s="25"/>
      <c r="Y13" s="59"/>
      <c r="Z13" s="59"/>
      <c r="AE13" s="58">
        <f>SUM(AD12:AE12)</f>
        <v>0</v>
      </c>
    </row>
  </sheetData>
  <mergeCells count="2">
    <mergeCell ref="K6:M6"/>
    <mergeCell ref="O6:Q6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B596-50EA-4F8F-9109-A3F1F5FD1701}">
  <sheetPr>
    <tabColor rgb="FF00B0F0"/>
  </sheetPr>
  <dimension ref="A1:Q101"/>
  <sheetViews>
    <sheetView workbookViewId="0">
      <pane ySplit="6" topLeftCell="A7" activePane="bottomLeft" state="frozen"/>
      <selection pane="bottomLeft" activeCell="D16" sqref="D16"/>
    </sheetView>
  </sheetViews>
  <sheetFormatPr defaultRowHeight="12.75"/>
  <cols>
    <col min="1" max="1" width="9" style="10"/>
    <col min="2" max="2" width="18.75" style="10" bestFit="1" customWidth="1"/>
    <col min="3" max="3" width="9.75" style="10" customWidth="1"/>
    <col min="4" max="4" width="12.125" style="10" bestFit="1" customWidth="1"/>
    <col min="5" max="16" width="10.625" style="10" bestFit="1" customWidth="1"/>
    <col min="17" max="17" width="9.625" style="10" bestFit="1" customWidth="1"/>
    <col min="18" max="16384" width="9" style="10"/>
  </cols>
  <sheetData>
    <row r="1" spans="1:17">
      <c r="A1" s="11" t="s">
        <v>10</v>
      </c>
      <c r="B1" s="11" t="str">
        <f>'Master Pg'!$B1</f>
        <v>Pro-surgio Company Limited</v>
      </c>
    </row>
    <row r="2" spans="1:17">
      <c r="A2" s="11" t="s">
        <v>11</v>
      </c>
      <c r="B2" s="11" t="str">
        <f>'Master Pg'!$B2</f>
        <v>1.4.25-31.3.26</v>
      </c>
    </row>
    <row r="3" spans="1:17">
      <c r="A3" s="11" t="s">
        <v>12</v>
      </c>
      <c r="B3" s="11" t="str">
        <f>'Master Pg'!$B3</f>
        <v>P003</v>
      </c>
    </row>
    <row r="4" spans="1:17">
      <c r="A4" s="12" t="s">
        <v>13</v>
      </c>
      <c r="B4" s="13" t="s">
        <v>28</v>
      </c>
    </row>
    <row r="5" spans="1:17">
      <c r="A5" s="12" t="s">
        <v>14</v>
      </c>
      <c r="B5" s="13" t="str">
        <f>'Master Pg'!$B$5</f>
        <v>HK$</v>
      </c>
    </row>
    <row r="6" spans="1:17" s="16" customFormat="1">
      <c r="F6" s="15"/>
    </row>
    <row r="7" spans="1:17" s="16" customFormat="1">
      <c r="F7" s="15"/>
    </row>
    <row r="8" spans="1:17" s="16" customFormat="1">
      <c r="A8" s="28" t="s">
        <v>42</v>
      </c>
      <c r="F8" s="15"/>
    </row>
    <row r="9" spans="1:17" s="16" customFormat="1">
      <c r="A9" s="16" t="s">
        <v>19</v>
      </c>
      <c r="B9" s="16" t="s">
        <v>29</v>
      </c>
      <c r="C9" s="16" t="s">
        <v>45</v>
      </c>
      <c r="D9" s="29" t="s">
        <v>30</v>
      </c>
      <c r="E9" s="30">
        <v>45017</v>
      </c>
      <c r="F9" s="30">
        <v>45047</v>
      </c>
      <c r="G9" s="30">
        <v>45078</v>
      </c>
      <c r="H9" s="30">
        <v>45108</v>
      </c>
      <c r="I9" s="30">
        <v>45139</v>
      </c>
      <c r="J9" s="30">
        <v>45170</v>
      </c>
      <c r="K9" s="30">
        <v>45200</v>
      </c>
      <c r="L9" s="30">
        <v>45231</v>
      </c>
      <c r="M9" s="30">
        <v>45261</v>
      </c>
      <c r="N9" s="30">
        <v>45292</v>
      </c>
      <c r="O9" s="30">
        <v>45323</v>
      </c>
      <c r="P9" s="30">
        <v>45352</v>
      </c>
      <c r="Q9" s="16" t="s">
        <v>41</v>
      </c>
    </row>
    <row r="10" spans="1:17">
      <c r="A10" s="10">
        <v>1</v>
      </c>
      <c r="B10" s="10" t="s">
        <v>31</v>
      </c>
      <c r="C10" s="10" t="s">
        <v>44</v>
      </c>
      <c r="D10" s="27">
        <f>SUM(E10:Q10)</f>
        <v>600000</v>
      </c>
      <c r="E10" s="18">
        <v>50000</v>
      </c>
      <c r="F10" s="18">
        <v>50000</v>
      </c>
      <c r="G10" s="18">
        <v>50000</v>
      </c>
      <c r="H10" s="18">
        <v>50000</v>
      </c>
      <c r="I10" s="18">
        <v>50000</v>
      </c>
      <c r="J10" s="18">
        <v>50000</v>
      </c>
      <c r="K10" s="18">
        <v>50000</v>
      </c>
      <c r="L10" s="18">
        <v>50000</v>
      </c>
      <c r="M10" s="18">
        <v>50000</v>
      </c>
      <c r="N10" s="18">
        <v>50000</v>
      </c>
      <c r="O10" s="18">
        <v>50000</v>
      </c>
      <c r="P10" s="18">
        <v>50000</v>
      </c>
      <c r="Q10" s="18">
        <v>0</v>
      </c>
    </row>
    <row r="11" spans="1:17">
      <c r="D11" s="27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8"/>
    </row>
    <row r="12" spans="1:17">
      <c r="D12" s="23">
        <f>SUM(D10:D11)</f>
        <v>600000</v>
      </c>
      <c r="E12" s="23">
        <f t="shared" ref="E12:Q12" si="0">SUM(E10:E11)</f>
        <v>50000</v>
      </c>
      <c r="F12" s="23">
        <f t="shared" si="0"/>
        <v>50000</v>
      </c>
      <c r="G12" s="23">
        <f t="shared" si="0"/>
        <v>50000</v>
      </c>
      <c r="H12" s="23">
        <f t="shared" si="0"/>
        <v>50000</v>
      </c>
      <c r="I12" s="23">
        <f t="shared" si="0"/>
        <v>50000</v>
      </c>
      <c r="J12" s="23">
        <f t="shared" si="0"/>
        <v>50000</v>
      </c>
      <c r="K12" s="23">
        <f t="shared" si="0"/>
        <v>50000</v>
      </c>
      <c r="L12" s="23">
        <f t="shared" si="0"/>
        <v>50000</v>
      </c>
      <c r="M12" s="23">
        <f t="shared" si="0"/>
        <v>50000</v>
      </c>
      <c r="N12" s="23">
        <f t="shared" si="0"/>
        <v>50000</v>
      </c>
      <c r="O12" s="23">
        <f t="shared" si="0"/>
        <v>50000</v>
      </c>
      <c r="P12" s="23">
        <f t="shared" si="0"/>
        <v>50000</v>
      </c>
      <c r="Q12" s="23">
        <f t="shared" si="0"/>
        <v>0</v>
      </c>
    </row>
    <row r="13" spans="1:17">
      <c r="D13" s="25" t="s">
        <v>43</v>
      </c>
      <c r="E13" s="25" t="s">
        <v>22</v>
      </c>
      <c r="F13" s="25" t="s">
        <v>22</v>
      </c>
      <c r="G13" s="25" t="s">
        <v>22</v>
      </c>
      <c r="H13" s="25" t="s">
        <v>22</v>
      </c>
      <c r="I13" s="25" t="s">
        <v>22</v>
      </c>
      <c r="J13" s="25" t="s">
        <v>22</v>
      </c>
      <c r="K13" s="25" t="s">
        <v>22</v>
      </c>
      <c r="L13" s="25" t="s">
        <v>22</v>
      </c>
      <c r="M13" s="25" t="s">
        <v>22</v>
      </c>
      <c r="N13" s="25" t="s">
        <v>22</v>
      </c>
      <c r="O13" s="25" t="s">
        <v>22</v>
      </c>
      <c r="P13" s="25" t="s">
        <v>22</v>
      </c>
      <c r="Q13" s="25" t="s">
        <v>22</v>
      </c>
    </row>
    <row r="14" spans="1:17">
      <c r="D14" s="27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8"/>
    </row>
    <row r="15" spans="1:17">
      <c r="A15" s="10">
        <v>2</v>
      </c>
      <c r="B15" s="10" t="s">
        <v>32</v>
      </c>
      <c r="C15" s="10" t="s">
        <v>46</v>
      </c>
      <c r="D15" s="27">
        <f t="shared" ref="D15:D23" si="1">SUM(E15:Q15)</f>
        <v>229488</v>
      </c>
      <c r="E15" s="18">
        <v>18700</v>
      </c>
      <c r="F15" s="18">
        <v>18700</v>
      </c>
      <c r="G15" s="18">
        <v>18700</v>
      </c>
      <c r="H15" s="18">
        <v>18700</v>
      </c>
      <c r="I15" s="18">
        <v>18700</v>
      </c>
      <c r="J15" s="18">
        <v>18700</v>
      </c>
      <c r="K15" s="18">
        <v>18700</v>
      </c>
      <c r="L15" s="18">
        <v>18700</v>
      </c>
      <c r="M15" s="18">
        <v>18700</v>
      </c>
      <c r="N15" s="18">
        <v>18700</v>
      </c>
      <c r="O15" s="18">
        <v>18700</v>
      </c>
      <c r="P15" s="18">
        <v>18700</v>
      </c>
      <c r="Q15" s="18">
        <v>5088</v>
      </c>
    </row>
    <row r="16" spans="1:17">
      <c r="A16" s="10">
        <v>3</v>
      </c>
      <c r="B16" s="10" t="s">
        <v>33</v>
      </c>
      <c r="C16" s="10" t="s">
        <v>46</v>
      </c>
      <c r="D16" s="27">
        <f t="shared" si="1"/>
        <v>244568</v>
      </c>
      <c r="E16" s="18">
        <v>19200</v>
      </c>
      <c r="F16" s="18">
        <v>20080</v>
      </c>
      <c r="G16" s="18">
        <v>20080</v>
      </c>
      <c r="H16" s="18">
        <v>20080</v>
      </c>
      <c r="I16" s="18">
        <v>20080</v>
      </c>
      <c r="J16" s="18">
        <v>20080</v>
      </c>
      <c r="K16" s="18">
        <v>20080</v>
      </c>
      <c r="L16" s="18">
        <v>20080</v>
      </c>
      <c r="M16" s="18">
        <v>20080</v>
      </c>
      <c r="N16" s="18">
        <v>20080</v>
      </c>
      <c r="O16" s="18">
        <v>20080</v>
      </c>
      <c r="P16" s="18">
        <v>20080</v>
      </c>
      <c r="Q16" s="18">
        <v>4488</v>
      </c>
    </row>
    <row r="17" spans="1:17">
      <c r="A17" s="10">
        <v>4</v>
      </c>
      <c r="B17" s="10" t="s">
        <v>34</v>
      </c>
      <c r="C17" s="10" t="s">
        <v>46</v>
      </c>
      <c r="D17" s="27">
        <f t="shared" si="1"/>
        <v>306828</v>
      </c>
      <c r="E17" s="18">
        <v>24315</v>
      </c>
      <c r="F17" s="18">
        <v>25195</v>
      </c>
      <c r="G17" s="18">
        <v>25195</v>
      </c>
      <c r="H17" s="18">
        <v>25195</v>
      </c>
      <c r="I17" s="18">
        <v>25195</v>
      </c>
      <c r="J17" s="18">
        <v>25195</v>
      </c>
      <c r="K17" s="18">
        <v>25195</v>
      </c>
      <c r="L17" s="18">
        <v>25195</v>
      </c>
      <c r="M17" s="18">
        <v>25195</v>
      </c>
      <c r="N17" s="18">
        <v>25195</v>
      </c>
      <c r="O17" s="18">
        <v>25195</v>
      </c>
      <c r="P17" s="18">
        <v>25195</v>
      </c>
      <c r="Q17" s="18">
        <v>5368</v>
      </c>
    </row>
    <row r="18" spans="1:17">
      <c r="A18" s="10">
        <v>5</v>
      </c>
      <c r="B18" s="10" t="s">
        <v>35</v>
      </c>
      <c r="C18" s="10" t="s">
        <v>46</v>
      </c>
      <c r="D18" s="27">
        <f t="shared" si="1"/>
        <v>291176</v>
      </c>
      <c r="E18" s="18">
        <v>22875</v>
      </c>
      <c r="F18" s="18">
        <v>23695</v>
      </c>
      <c r="G18" s="18">
        <v>23695</v>
      </c>
      <c r="H18" s="18">
        <v>23695</v>
      </c>
      <c r="I18" s="18">
        <v>23695</v>
      </c>
      <c r="J18" s="18">
        <v>23695</v>
      </c>
      <c r="K18" s="18">
        <v>23695</v>
      </c>
      <c r="L18" s="18">
        <v>23695</v>
      </c>
      <c r="M18" s="18">
        <v>23695</v>
      </c>
      <c r="N18" s="18">
        <v>23695</v>
      </c>
      <c r="O18" s="18">
        <v>23695</v>
      </c>
      <c r="P18" s="18">
        <v>23695</v>
      </c>
      <c r="Q18" s="18">
        <v>7656</v>
      </c>
    </row>
    <row r="19" spans="1:17">
      <c r="A19" s="10">
        <v>6</v>
      </c>
      <c r="B19" s="10" t="s">
        <v>36</v>
      </c>
      <c r="C19" s="10" t="s">
        <v>46</v>
      </c>
      <c r="D19" s="27">
        <f t="shared" si="1"/>
        <v>273956</v>
      </c>
      <c r="E19" s="18">
        <v>21385</v>
      </c>
      <c r="F19" s="18">
        <v>22265</v>
      </c>
      <c r="G19" s="18">
        <v>22265</v>
      </c>
      <c r="H19" s="18">
        <v>22265</v>
      </c>
      <c r="I19" s="18">
        <v>22265</v>
      </c>
      <c r="J19" s="18">
        <v>22265</v>
      </c>
      <c r="K19" s="18">
        <v>22265</v>
      </c>
      <c r="L19" s="18">
        <v>22265</v>
      </c>
      <c r="M19" s="18">
        <v>22265</v>
      </c>
      <c r="N19" s="18">
        <v>22265</v>
      </c>
      <c r="O19" s="18">
        <v>22265</v>
      </c>
      <c r="P19" s="18">
        <v>22265</v>
      </c>
      <c r="Q19" s="18">
        <v>7656</v>
      </c>
    </row>
    <row r="20" spans="1:17">
      <c r="A20" s="10">
        <v>7</v>
      </c>
      <c r="B20" s="10" t="s">
        <v>37</v>
      </c>
      <c r="C20" s="10" t="s">
        <v>46</v>
      </c>
      <c r="D20" s="27">
        <f t="shared" si="1"/>
        <v>289030.64000000007</v>
      </c>
      <c r="E20" s="18">
        <v>20388.669999999998</v>
      </c>
      <c r="F20" s="18">
        <v>16818.669999999998</v>
      </c>
      <c r="G20" s="18">
        <v>17159.330000000002</v>
      </c>
      <c r="H20" s="18">
        <v>25477.33</v>
      </c>
      <c r="I20" s="18">
        <v>25477.33</v>
      </c>
      <c r="J20" s="18">
        <v>25477.33</v>
      </c>
      <c r="K20" s="18">
        <v>25477.33</v>
      </c>
      <c r="L20" s="18">
        <v>25477.33</v>
      </c>
      <c r="M20" s="18">
        <v>25477.33</v>
      </c>
      <c r="N20" s="18">
        <v>25477.33</v>
      </c>
      <c r="O20" s="18">
        <v>25477.33</v>
      </c>
      <c r="P20" s="18">
        <v>25477.33</v>
      </c>
      <c r="Q20" s="18">
        <v>5368</v>
      </c>
    </row>
    <row r="21" spans="1:17">
      <c r="A21" s="10">
        <v>8</v>
      </c>
      <c r="B21" s="10" t="s">
        <v>38</v>
      </c>
      <c r="C21" s="10" t="s">
        <v>46</v>
      </c>
      <c r="D21" s="27">
        <f t="shared" si="1"/>
        <v>99646</v>
      </c>
      <c r="E21" s="18">
        <v>6350</v>
      </c>
      <c r="F21" s="18">
        <v>4350</v>
      </c>
      <c r="G21" s="18">
        <v>6900</v>
      </c>
      <c r="H21" s="18">
        <v>8950</v>
      </c>
      <c r="I21" s="18">
        <v>8950</v>
      </c>
      <c r="J21" s="18">
        <v>8950</v>
      </c>
      <c r="K21" s="18">
        <v>8950</v>
      </c>
      <c r="L21" s="18">
        <v>8950</v>
      </c>
      <c r="M21" s="18">
        <v>8950</v>
      </c>
      <c r="N21" s="18">
        <v>8950</v>
      </c>
      <c r="O21" s="18">
        <v>8950</v>
      </c>
      <c r="P21" s="18">
        <v>8950</v>
      </c>
      <c r="Q21" s="18">
        <v>1496</v>
      </c>
    </row>
    <row r="22" spans="1:17">
      <c r="A22" s="10">
        <v>9</v>
      </c>
      <c r="B22" s="10" t="s">
        <v>39</v>
      </c>
      <c r="C22" s="10" t="s">
        <v>47</v>
      </c>
      <c r="D22" s="27">
        <f t="shared" si="1"/>
        <v>51856</v>
      </c>
      <c r="E22" s="18">
        <v>3336</v>
      </c>
      <c r="F22" s="18">
        <v>3058</v>
      </c>
      <c r="G22" s="18">
        <v>3336</v>
      </c>
      <c r="H22" s="18">
        <v>3614</v>
      </c>
      <c r="I22" s="18">
        <v>3614</v>
      </c>
      <c r="J22" s="18">
        <v>3614</v>
      </c>
      <c r="K22" s="18">
        <v>3614</v>
      </c>
      <c r="L22" s="18">
        <v>3614</v>
      </c>
      <c r="M22" s="18">
        <v>3614</v>
      </c>
      <c r="N22" s="18">
        <v>3614</v>
      </c>
      <c r="O22" s="18">
        <v>3614</v>
      </c>
      <c r="P22" s="18">
        <v>3614</v>
      </c>
      <c r="Q22" s="18">
        <v>9600</v>
      </c>
    </row>
    <row r="23" spans="1:17">
      <c r="A23" s="10">
        <v>10</v>
      </c>
      <c r="B23" s="10" t="s">
        <v>40</v>
      </c>
      <c r="C23" s="10" t="s">
        <v>47</v>
      </c>
      <c r="D23" s="27">
        <f t="shared" si="1"/>
        <v>37262</v>
      </c>
      <c r="E23" s="18">
        <v>2618</v>
      </c>
      <c r="F23" s="18">
        <v>3146</v>
      </c>
      <c r="G23" s="18">
        <v>792</v>
      </c>
      <c r="H23" s="18">
        <v>3322</v>
      </c>
      <c r="I23" s="18">
        <v>3322</v>
      </c>
      <c r="J23" s="18">
        <v>3322</v>
      </c>
      <c r="K23" s="18">
        <v>3322</v>
      </c>
      <c r="L23" s="18">
        <v>3322</v>
      </c>
      <c r="M23" s="18">
        <v>3322</v>
      </c>
      <c r="N23" s="18">
        <v>3322</v>
      </c>
      <c r="O23" s="18">
        <v>3322</v>
      </c>
      <c r="P23" s="18">
        <v>3322</v>
      </c>
      <c r="Q23" s="18">
        <v>808</v>
      </c>
    </row>
    <row r="24" spans="1:17">
      <c r="D24" s="27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8"/>
    </row>
    <row r="25" spans="1:17">
      <c r="D25" s="23">
        <f>SUM(D15:D24)</f>
        <v>1823810.6400000001</v>
      </c>
      <c r="E25" s="23">
        <f t="shared" ref="E25:Q25" si="2">SUM(E15:E24)</f>
        <v>139167.66999999998</v>
      </c>
      <c r="F25" s="23">
        <f t="shared" si="2"/>
        <v>137307.66999999998</v>
      </c>
      <c r="G25" s="23">
        <f t="shared" si="2"/>
        <v>138122.33000000002</v>
      </c>
      <c r="H25" s="23">
        <f t="shared" si="2"/>
        <v>151298.33000000002</v>
      </c>
      <c r="I25" s="23">
        <f t="shared" si="2"/>
        <v>151298.33000000002</v>
      </c>
      <c r="J25" s="23">
        <f t="shared" si="2"/>
        <v>151298.33000000002</v>
      </c>
      <c r="K25" s="23">
        <f t="shared" si="2"/>
        <v>151298.33000000002</v>
      </c>
      <c r="L25" s="23">
        <f t="shared" si="2"/>
        <v>151298.33000000002</v>
      </c>
      <c r="M25" s="23">
        <f t="shared" si="2"/>
        <v>151298.33000000002</v>
      </c>
      <c r="N25" s="23">
        <f t="shared" si="2"/>
        <v>151298.33000000002</v>
      </c>
      <c r="O25" s="23">
        <f t="shared" si="2"/>
        <v>151298.33000000002</v>
      </c>
      <c r="P25" s="23">
        <f t="shared" si="2"/>
        <v>151298.33000000002</v>
      </c>
      <c r="Q25" s="23">
        <f t="shared" si="2"/>
        <v>47528</v>
      </c>
    </row>
    <row r="26" spans="1:17" s="21" customFormat="1">
      <c r="D26" s="21" t="s">
        <v>43</v>
      </c>
      <c r="E26" s="21" t="s">
        <v>22</v>
      </c>
      <c r="F26" s="21" t="s">
        <v>22</v>
      </c>
      <c r="G26" s="21" t="s">
        <v>22</v>
      </c>
      <c r="H26" s="21" t="s">
        <v>22</v>
      </c>
      <c r="I26" s="21" t="s">
        <v>22</v>
      </c>
      <c r="J26" s="21" t="s">
        <v>22</v>
      </c>
      <c r="K26" s="21" t="s">
        <v>22</v>
      </c>
      <c r="L26" s="21" t="s">
        <v>22</v>
      </c>
      <c r="M26" s="21" t="s">
        <v>22</v>
      </c>
      <c r="N26" s="21" t="s">
        <v>22</v>
      </c>
      <c r="O26" s="21" t="s">
        <v>22</v>
      </c>
      <c r="P26" s="21" t="s">
        <v>22</v>
      </c>
      <c r="Q26" s="21" t="s">
        <v>22</v>
      </c>
    </row>
    <row r="29" spans="1:17">
      <c r="A29" s="28" t="s">
        <v>48</v>
      </c>
    </row>
    <row r="30" spans="1:17" s="16" customFormat="1">
      <c r="A30" s="16" t="s">
        <v>19</v>
      </c>
      <c r="B30" s="16" t="s">
        <v>29</v>
      </c>
      <c r="C30" s="16" t="s">
        <v>45</v>
      </c>
      <c r="D30" s="29" t="s">
        <v>30</v>
      </c>
      <c r="E30" s="30">
        <v>45017</v>
      </c>
      <c r="F30" s="30">
        <v>45047</v>
      </c>
      <c r="G30" s="30">
        <v>45078</v>
      </c>
      <c r="H30" s="30">
        <v>45108</v>
      </c>
      <c r="I30" s="30">
        <v>45139</v>
      </c>
      <c r="J30" s="30">
        <v>45170</v>
      </c>
      <c r="K30" s="30">
        <v>45200</v>
      </c>
      <c r="L30" s="30">
        <v>45231</v>
      </c>
      <c r="M30" s="30">
        <v>45261</v>
      </c>
      <c r="N30" s="30">
        <v>45292</v>
      </c>
      <c r="O30" s="30">
        <v>45323</v>
      </c>
      <c r="P30" s="30">
        <v>45352</v>
      </c>
      <c r="Q30" s="16" t="s">
        <v>41</v>
      </c>
    </row>
    <row r="31" spans="1:17">
      <c r="A31" s="10">
        <f>IF(A10&gt;0,A10," ")</f>
        <v>1</v>
      </c>
      <c r="B31" s="10" t="str">
        <f>IF(B10&gt;0,B10," ")</f>
        <v>Wan Kar Hing</v>
      </c>
      <c r="C31" s="10" t="str">
        <f>IF(C10&gt;0,C10," ")</f>
        <v>Director</v>
      </c>
      <c r="D31" s="27">
        <f>SUM(E31:Q31)</f>
        <v>18000</v>
      </c>
      <c r="E31" s="18">
        <f>IF(10:10*0.05&gt;1500,1500,10:10*0.05)</f>
        <v>1500</v>
      </c>
      <c r="F31" s="18">
        <f t="shared" ref="F31:Q31" si="3">IF(10:10*0.05&gt;1500,1500,10:10*0.05)</f>
        <v>1500</v>
      </c>
      <c r="G31" s="18">
        <f t="shared" si="3"/>
        <v>1500</v>
      </c>
      <c r="H31" s="18">
        <f t="shared" si="3"/>
        <v>1500</v>
      </c>
      <c r="I31" s="18">
        <f t="shared" si="3"/>
        <v>1500</v>
      </c>
      <c r="J31" s="18">
        <f t="shared" si="3"/>
        <v>1500</v>
      </c>
      <c r="K31" s="18">
        <f t="shared" si="3"/>
        <v>1500</v>
      </c>
      <c r="L31" s="18">
        <f t="shared" si="3"/>
        <v>1500</v>
      </c>
      <c r="M31" s="18">
        <f t="shared" si="3"/>
        <v>1500</v>
      </c>
      <c r="N31" s="18">
        <f t="shared" si="3"/>
        <v>1500</v>
      </c>
      <c r="O31" s="18">
        <f t="shared" si="3"/>
        <v>1500</v>
      </c>
      <c r="P31" s="31">
        <f t="shared" si="3"/>
        <v>1500</v>
      </c>
      <c r="Q31" s="18">
        <f t="shared" si="3"/>
        <v>0</v>
      </c>
    </row>
    <row r="32" spans="1:17">
      <c r="D32" s="27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</row>
    <row r="33" spans="1:17">
      <c r="D33" s="23">
        <f>SUM(D31:D32)</f>
        <v>18000</v>
      </c>
      <c r="E33" s="23">
        <f t="shared" ref="E33" si="4">SUM(E31:E32)</f>
        <v>1500</v>
      </c>
      <c r="F33" s="23">
        <f t="shared" ref="F33" si="5">SUM(F31:F32)</f>
        <v>1500</v>
      </c>
      <c r="G33" s="23">
        <f t="shared" ref="G33" si="6">SUM(G31:G32)</f>
        <v>1500</v>
      </c>
      <c r="H33" s="23">
        <f t="shared" ref="H33" si="7">SUM(H31:H32)</f>
        <v>1500</v>
      </c>
      <c r="I33" s="23">
        <f t="shared" ref="I33" si="8">SUM(I31:I32)</f>
        <v>1500</v>
      </c>
      <c r="J33" s="23">
        <f t="shared" ref="J33" si="9">SUM(J31:J32)</f>
        <v>1500</v>
      </c>
      <c r="K33" s="23">
        <f t="shared" ref="K33" si="10">SUM(K31:K32)</f>
        <v>1500</v>
      </c>
      <c r="L33" s="23">
        <f t="shared" ref="L33" si="11">SUM(L31:L32)</f>
        <v>1500</v>
      </c>
      <c r="M33" s="23">
        <f t="shared" ref="M33" si="12">SUM(M31:M32)</f>
        <v>1500</v>
      </c>
      <c r="N33" s="23">
        <f t="shared" ref="N33" si="13">SUM(N31:N32)</f>
        <v>1500</v>
      </c>
      <c r="O33" s="23">
        <f t="shared" ref="O33" si="14">SUM(O31:O32)</f>
        <v>1500</v>
      </c>
      <c r="P33" s="23">
        <f t="shared" ref="P33" si="15">SUM(P31:P32)</f>
        <v>1500</v>
      </c>
      <c r="Q33" s="23">
        <f t="shared" ref="Q33" si="16">SUM(Q31:Q32)</f>
        <v>0</v>
      </c>
    </row>
    <row r="34" spans="1:17">
      <c r="D34" s="25" t="s">
        <v>43</v>
      </c>
      <c r="E34" s="21" t="s">
        <v>22</v>
      </c>
      <c r="F34" s="21" t="s">
        <v>22</v>
      </c>
      <c r="G34" s="21" t="s">
        <v>22</v>
      </c>
      <c r="H34" s="21" t="s">
        <v>22</v>
      </c>
      <c r="I34" s="21" t="s">
        <v>22</v>
      </c>
      <c r="J34" s="21" t="s">
        <v>22</v>
      </c>
      <c r="K34" s="21" t="s">
        <v>22</v>
      </c>
      <c r="L34" s="21" t="s">
        <v>22</v>
      </c>
      <c r="M34" s="21" t="s">
        <v>22</v>
      </c>
      <c r="N34" s="21" t="s">
        <v>22</v>
      </c>
      <c r="O34" s="21" t="s">
        <v>22</v>
      </c>
      <c r="P34" s="21" t="s">
        <v>22</v>
      </c>
      <c r="Q34" s="21" t="s">
        <v>22</v>
      </c>
    </row>
    <row r="35" spans="1:17">
      <c r="D35" s="27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</row>
    <row r="36" spans="1:17">
      <c r="A36" s="10">
        <f t="shared" ref="A36:C36" si="17">IF(A15&gt;0,A15," ")</f>
        <v>2</v>
      </c>
      <c r="B36" s="10" t="str">
        <f t="shared" si="17"/>
        <v>Chiu Yin Ning</v>
      </c>
      <c r="C36" s="10" t="str">
        <f t="shared" si="17"/>
        <v>Full-time</v>
      </c>
      <c r="D36" s="27">
        <f t="shared" ref="D36:D44" si="18">SUM(E36:Q36)</f>
        <v>11474.4</v>
      </c>
      <c r="E36" s="18">
        <f>IF(15:15*0.05&gt;1500,1500,15:15*0.05)</f>
        <v>935</v>
      </c>
      <c r="F36" s="18">
        <f t="shared" ref="F36:Q36" si="19">IF(15:15*0.05&gt;1500,1500,15:15*0.05)</f>
        <v>935</v>
      </c>
      <c r="G36" s="18">
        <f t="shared" si="19"/>
        <v>935</v>
      </c>
      <c r="H36" s="18">
        <f t="shared" si="19"/>
        <v>935</v>
      </c>
      <c r="I36" s="18">
        <f t="shared" si="19"/>
        <v>935</v>
      </c>
      <c r="J36" s="18">
        <f t="shared" si="19"/>
        <v>935</v>
      </c>
      <c r="K36" s="18">
        <f t="shared" si="19"/>
        <v>935</v>
      </c>
      <c r="L36" s="18">
        <f t="shared" si="19"/>
        <v>935</v>
      </c>
      <c r="M36" s="18">
        <f t="shared" si="19"/>
        <v>935</v>
      </c>
      <c r="N36" s="18">
        <f t="shared" si="19"/>
        <v>935</v>
      </c>
      <c r="O36" s="18">
        <f t="shared" si="19"/>
        <v>935</v>
      </c>
      <c r="P36" s="31">
        <f t="shared" si="19"/>
        <v>935</v>
      </c>
      <c r="Q36" s="18">
        <f t="shared" si="19"/>
        <v>254.4</v>
      </c>
    </row>
    <row r="37" spans="1:17">
      <c r="A37" s="10">
        <f t="shared" ref="A37:C37" si="20">IF(A16&gt;0,A16," ")</f>
        <v>3</v>
      </c>
      <c r="B37" s="10" t="str">
        <f t="shared" si="20"/>
        <v>Cheung Ka Yee</v>
      </c>
      <c r="C37" s="10" t="str">
        <f t="shared" si="20"/>
        <v>Full-time</v>
      </c>
      <c r="D37" s="27">
        <f t="shared" si="18"/>
        <v>12228.4</v>
      </c>
      <c r="E37" s="18">
        <f t="shared" ref="E37:Q37" si="21">IF(16:16*0.05&gt;1500,1500,16:16*0.05)</f>
        <v>960</v>
      </c>
      <c r="F37" s="18">
        <f t="shared" si="21"/>
        <v>1004</v>
      </c>
      <c r="G37" s="18">
        <f t="shared" si="21"/>
        <v>1004</v>
      </c>
      <c r="H37" s="18">
        <f t="shared" si="21"/>
        <v>1004</v>
      </c>
      <c r="I37" s="18">
        <f t="shared" si="21"/>
        <v>1004</v>
      </c>
      <c r="J37" s="18">
        <f t="shared" si="21"/>
        <v>1004</v>
      </c>
      <c r="K37" s="18">
        <f t="shared" si="21"/>
        <v>1004</v>
      </c>
      <c r="L37" s="18">
        <f t="shared" si="21"/>
        <v>1004</v>
      </c>
      <c r="M37" s="18">
        <f t="shared" si="21"/>
        <v>1004</v>
      </c>
      <c r="N37" s="18">
        <f t="shared" si="21"/>
        <v>1004</v>
      </c>
      <c r="O37" s="18">
        <f t="shared" si="21"/>
        <v>1004</v>
      </c>
      <c r="P37" s="31">
        <f t="shared" si="21"/>
        <v>1004</v>
      </c>
      <c r="Q37" s="18">
        <f t="shared" si="21"/>
        <v>224.4</v>
      </c>
    </row>
    <row r="38" spans="1:17">
      <c r="A38" s="10">
        <f t="shared" ref="A38:C38" si="22">IF(A17&gt;0,A17," ")</f>
        <v>4</v>
      </c>
      <c r="B38" s="10" t="str">
        <f t="shared" si="22"/>
        <v>Chiu Ting Chi</v>
      </c>
      <c r="C38" s="10" t="str">
        <f t="shared" si="22"/>
        <v>Full-time</v>
      </c>
      <c r="D38" s="27">
        <f t="shared" si="18"/>
        <v>15341.4</v>
      </c>
      <c r="E38" s="18">
        <f t="shared" ref="E38:Q38" si="23">IF(17:17*0.05&gt;1500,1500,17:17*0.05)</f>
        <v>1215.75</v>
      </c>
      <c r="F38" s="18">
        <f t="shared" si="23"/>
        <v>1259.75</v>
      </c>
      <c r="G38" s="18">
        <f t="shared" si="23"/>
        <v>1259.75</v>
      </c>
      <c r="H38" s="18">
        <f t="shared" si="23"/>
        <v>1259.75</v>
      </c>
      <c r="I38" s="18">
        <f t="shared" si="23"/>
        <v>1259.75</v>
      </c>
      <c r="J38" s="18">
        <f t="shared" si="23"/>
        <v>1259.75</v>
      </c>
      <c r="K38" s="18">
        <f t="shared" si="23"/>
        <v>1259.75</v>
      </c>
      <c r="L38" s="18">
        <f t="shared" si="23"/>
        <v>1259.75</v>
      </c>
      <c r="M38" s="18">
        <f t="shared" si="23"/>
        <v>1259.75</v>
      </c>
      <c r="N38" s="18">
        <f t="shared" si="23"/>
        <v>1259.75</v>
      </c>
      <c r="O38" s="18">
        <f t="shared" si="23"/>
        <v>1259.75</v>
      </c>
      <c r="P38" s="31">
        <f t="shared" si="23"/>
        <v>1259.75</v>
      </c>
      <c r="Q38" s="18">
        <f t="shared" si="23"/>
        <v>268.40000000000003</v>
      </c>
    </row>
    <row r="39" spans="1:17">
      <c r="A39" s="10">
        <f t="shared" ref="A39:C39" si="24">IF(A18&gt;0,A18," ")</f>
        <v>5</v>
      </c>
      <c r="B39" s="10" t="str">
        <f t="shared" si="24"/>
        <v>Leung Chung Yi</v>
      </c>
      <c r="C39" s="10" t="str">
        <f t="shared" si="24"/>
        <v>Full-time</v>
      </c>
      <c r="D39" s="27">
        <f t="shared" si="18"/>
        <v>14558.8</v>
      </c>
      <c r="E39" s="18">
        <f t="shared" ref="E39:Q39" si="25">IF(18:18*0.05&gt;1500,1500,18:18*0.05)</f>
        <v>1143.75</v>
      </c>
      <c r="F39" s="18">
        <f t="shared" si="25"/>
        <v>1184.75</v>
      </c>
      <c r="G39" s="18">
        <f t="shared" si="25"/>
        <v>1184.75</v>
      </c>
      <c r="H39" s="18">
        <f t="shared" si="25"/>
        <v>1184.75</v>
      </c>
      <c r="I39" s="18">
        <f t="shared" si="25"/>
        <v>1184.75</v>
      </c>
      <c r="J39" s="18">
        <f t="shared" si="25"/>
        <v>1184.75</v>
      </c>
      <c r="K39" s="18">
        <f t="shared" si="25"/>
        <v>1184.75</v>
      </c>
      <c r="L39" s="18">
        <f t="shared" si="25"/>
        <v>1184.75</v>
      </c>
      <c r="M39" s="18">
        <f t="shared" si="25"/>
        <v>1184.75</v>
      </c>
      <c r="N39" s="18">
        <f t="shared" si="25"/>
        <v>1184.75</v>
      </c>
      <c r="O39" s="18">
        <f t="shared" si="25"/>
        <v>1184.75</v>
      </c>
      <c r="P39" s="31">
        <f t="shared" si="25"/>
        <v>1184.75</v>
      </c>
      <c r="Q39" s="18">
        <f t="shared" si="25"/>
        <v>382.8</v>
      </c>
    </row>
    <row r="40" spans="1:17">
      <c r="A40" s="10">
        <f t="shared" ref="A40:C40" si="26">IF(A19&gt;0,A19," ")</f>
        <v>6</v>
      </c>
      <c r="B40" s="10" t="str">
        <f t="shared" si="26"/>
        <v>Yu Lee Fong</v>
      </c>
      <c r="C40" s="10" t="str">
        <f t="shared" si="26"/>
        <v>Full-time</v>
      </c>
      <c r="D40" s="27">
        <f t="shared" si="18"/>
        <v>13697.8</v>
      </c>
      <c r="E40" s="18">
        <f t="shared" ref="E40:Q40" si="27">IF(19:19*0.05&gt;1500,1500,19:19*0.05)</f>
        <v>1069.25</v>
      </c>
      <c r="F40" s="18">
        <f t="shared" si="27"/>
        <v>1113.25</v>
      </c>
      <c r="G40" s="18">
        <f t="shared" si="27"/>
        <v>1113.25</v>
      </c>
      <c r="H40" s="18">
        <f t="shared" si="27"/>
        <v>1113.25</v>
      </c>
      <c r="I40" s="18">
        <f t="shared" si="27"/>
        <v>1113.25</v>
      </c>
      <c r="J40" s="18">
        <f t="shared" si="27"/>
        <v>1113.25</v>
      </c>
      <c r="K40" s="18">
        <f t="shared" si="27"/>
        <v>1113.25</v>
      </c>
      <c r="L40" s="18">
        <f t="shared" si="27"/>
        <v>1113.25</v>
      </c>
      <c r="M40" s="18">
        <f t="shared" si="27"/>
        <v>1113.25</v>
      </c>
      <c r="N40" s="18">
        <f t="shared" si="27"/>
        <v>1113.25</v>
      </c>
      <c r="O40" s="18">
        <f t="shared" si="27"/>
        <v>1113.25</v>
      </c>
      <c r="P40" s="31">
        <f t="shared" si="27"/>
        <v>1113.25</v>
      </c>
      <c r="Q40" s="18">
        <f t="shared" si="27"/>
        <v>382.8</v>
      </c>
    </row>
    <row r="41" spans="1:17">
      <c r="A41" s="10">
        <f t="shared" ref="A41:C41" si="28">IF(A20&gt;0,A20," ")</f>
        <v>7</v>
      </c>
      <c r="B41" s="10" t="str">
        <f t="shared" si="28"/>
        <v>Kong Kar Yee</v>
      </c>
      <c r="C41" s="10" t="str">
        <f t="shared" si="28"/>
        <v>Full-time</v>
      </c>
      <c r="D41" s="27">
        <f t="shared" si="18"/>
        <v>14451.532000000001</v>
      </c>
      <c r="E41" s="18">
        <f t="shared" ref="E41:Q41" si="29">IF(20:20*0.05&gt;1500,1500,20:20*0.05)</f>
        <v>1019.4335</v>
      </c>
      <c r="F41" s="18">
        <f t="shared" si="29"/>
        <v>840.93349999999998</v>
      </c>
      <c r="G41" s="18">
        <f t="shared" si="29"/>
        <v>857.96650000000011</v>
      </c>
      <c r="H41" s="18">
        <f t="shared" si="29"/>
        <v>1273.8665000000001</v>
      </c>
      <c r="I41" s="18">
        <f t="shared" si="29"/>
        <v>1273.8665000000001</v>
      </c>
      <c r="J41" s="18">
        <f t="shared" si="29"/>
        <v>1273.8665000000001</v>
      </c>
      <c r="K41" s="18">
        <f t="shared" si="29"/>
        <v>1273.8665000000001</v>
      </c>
      <c r="L41" s="18">
        <f t="shared" si="29"/>
        <v>1273.8665000000001</v>
      </c>
      <c r="M41" s="18">
        <f t="shared" si="29"/>
        <v>1273.8665000000001</v>
      </c>
      <c r="N41" s="18">
        <f t="shared" si="29"/>
        <v>1273.8665000000001</v>
      </c>
      <c r="O41" s="18">
        <f t="shared" si="29"/>
        <v>1273.8665000000001</v>
      </c>
      <c r="P41" s="31">
        <f t="shared" si="29"/>
        <v>1273.8665000000001</v>
      </c>
      <c r="Q41" s="18">
        <f t="shared" si="29"/>
        <v>268.40000000000003</v>
      </c>
    </row>
    <row r="42" spans="1:17">
      <c r="A42" s="10">
        <f t="shared" ref="A42:C42" si="30">IF(A21&gt;0,A21," ")</f>
        <v>8</v>
      </c>
      <c r="B42" s="10" t="str">
        <f t="shared" si="30"/>
        <v>Tsang Tsz Ki</v>
      </c>
      <c r="C42" s="10" t="str">
        <f t="shared" si="30"/>
        <v>Full-time</v>
      </c>
      <c r="D42" s="27">
        <f t="shared" si="18"/>
        <v>4982.3</v>
      </c>
      <c r="E42" s="18">
        <f t="shared" ref="E42:Q42" si="31">IF(21:21*0.05&gt;1500,1500,21:21*0.05)</f>
        <v>317.5</v>
      </c>
      <c r="F42" s="18">
        <f t="shared" si="31"/>
        <v>217.5</v>
      </c>
      <c r="G42" s="18">
        <f t="shared" si="31"/>
        <v>345</v>
      </c>
      <c r="H42" s="18">
        <f t="shared" si="31"/>
        <v>447.5</v>
      </c>
      <c r="I42" s="18">
        <f t="shared" si="31"/>
        <v>447.5</v>
      </c>
      <c r="J42" s="18">
        <f t="shared" si="31"/>
        <v>447.5</v>
      </c>
      <c r="K42" s="18">
        <f t="shared" si="31"/>
        <v>447.5</v>
      </c>
      <c r="L42" s="18">
        <f t="shared" si="31"/>
        <v>447.5</v>
      </c>
      <c r="M42" s="18">
        <f t="shared" si="31"/>
        <v>447.5</v>
      </c>
      <c r="N42" s="18">
        <f t="shared" si="31"/>
        <v>447.5</v>
      </c>
      <c r="O42" s="18">
        <f t="shared" si="31"/>
        <v>447.5</v>
      </c>
      <c r="P42" s="31">
        <f t="shared" si="31"/>
        <v>447.5</v>
      </c>
      <c r="Q42" s="18">
        <f t="shared" si="31"/>
        <v>74.8</v>
      </c>
    </row>
    <row r="43" spans="1:17">
      <c r="A43" s="10">
        <f t="shared" ref="A43:C43" si="32">IF(A22&gt;0,A22," ")</f>
        <v>9</v>
      </c>
      <c r="B43" s="10" t="str">
        <f t="shared" si="32"/>
        <v>Tsang Lai Yung</v>
      </c>
      <c r="C43" s="10" t="str">
        <f t="shared" si="32"/>
        <v>Part-time</v>
      </c>
      <c r="D43" s="27">
        <f t="shared" si="18"/>
        <v>2592.8000000000002</v>
      </c>
      <c r="E43" s="18">
        <f t="shared" ref="E43:Q43" si="33">IF(22:22*0.05&gt;1500,1500,22:22*0.05)</f>
        <v>166.8</v>
      </c>
      <c r="F43" s="18">
        <f t="shared" si="33"/>
        <v>152.9</v>
      </c>
      <c r="G43" s="18">
        <f t="shared" si="33"/>
        <v>166.8</v>
      </c>
      <c r="H43" s="18">
        <f t="shared" si="33"/>
        <v>180.70000000000002</v>
      </c>
      <c r="I43" s="18">
        <f t="shared" si="33"/>
        <v>180.70000000000002</v>
      </c>
      <c r="J43" s="18">
        <f t="shared" si="33"/>
        <v>180.70000000000002</v>
      </c>
      <c r="K43" s="18">
        <f t="shared" si="33"/>
        <v>180.70000000000002</v>
      </c>
      <c r="L43" s="18">
        <f t="shared" si="33"/>
        <v>180.70000000000002</v>
      </c>
      <c r="M43" s="18">
        <f t="shared" si="33"/>
        <v>180.70000000000002</v>
      </c>
      <c r="N43" s="18">
        <f t="shared" si="33"/>
        <v>180.70000000000002</v>
      </c>
      <c r="O43" s="18">
        <f t="shared" si="33"/>
        <v>180.70000000000002</v>
      </c>
      <c r="P43" s="31">
        <f t="shared" si="33"/>
        <v>180.70000000000002</v>
      </c>
      <c r="Q43" s="18">
        <f t="shared" si="33"/>
        <v>480</v>
      </c>
    </row>
    <row r="44" spans="1:17">
      <c r="A44" s="10">
        <f t="shared" ref="A44:C44" si="34">IF(A23&gt;0,A23," ")</f>
        <v>10</v>
      </c>
      <c r="B44" s="10" t="str">
        <f t="shared" si="34"/>
        <v>Yue Ka Wan Rowenna</v>
      </c>
      <c r="C44" s="10" t="str">
        <f t="shared" si="34"/>
        <v>Part-time</v>
      </c>
      <c r="D44" s="27">
        <f t="shared" si="18"/>
        <v>1863.1</v>
      </c>
      <c r="E44" s="18">
        <f t="shared" ref="E44:Q44" si="35">IF(23:23*0.05&gt;1500,1500,23:23*0.05)</f>
        <v>130.9</v>
      </c>
      <c r="F44" s="18">
        <f t="shared" si="35"/>
        <v>157.30000000000001</v>
      </c>
      <c r="G44" s="18">
        <f t="shared" si="35"/>
        <v>39.6</v>
      </c>
      <c r="H44" s="18">
        <f t="shared" si="35"/>
        <v>166.10000000000002</v>
      </c>
      <c r="I44" s="18">
        <f t="shared" si="35"/>
        <v>166.10000000000002</v>
      </c>
      <c r="J44" s="18">
        <f t="shared" si="35"/>
        <v>166.10000000000002</v>
      </c>
      <c r="K44" s="18">
        <f t="shared" si="35"/>
        <v>166.10000000000002</v>
      </c>
      <c r="L44" s="18">
        <f t="shared" si="35"/>
        <v>166.10000000000002</v>
      </c>
      <c r="M44" s="18">
        <f t="shared" si="35"/>
        <v>166.10000000000002</v>
      </c>
      <c r="N44" s="18">
        <f t="shared" si="35"/>
        <v>166.10000000000002</v>
      </c>
      <c r="O44" s="18">
        <f t="shared" si="35"/>
        <v>166.10000000000002</v>
      </c>
      <c r="P44" s="31">
        <f t="shared" si="35"/>
        <v>166.10000000000002</v>
      </c>
      <c r="Q44" s="18">
        <f t="shared" si="35"/>
        <v>40.400000000000006</v>
      </c>
    </row>
    <row r="45" spans="1:17">
      <c r="D45" s="27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</row>
    <row r="46" spans="1:17">
      <c r="D46" s="23">
        <f>SUM(D36:D45)</f>
        <v>91190.532000000021</v>
      </c>
      <c r="E46" s="23">
        <f t="shared" ref="E46" si="36">SUM(E36:E45)</f>
        <v>6958.3834999999999</v>
      </c>
      <c r="F46" s="23">
        <f t="shared" ref="F46" si="37">SUM(F36:F45)</f>
        <v>6865.3834999999999</v>
      </c>
      <c r="G46" s="23">
        <f t="shared" ref="G46" si="38">SUM(G36:G45)</f>
        <v>6906.116500000001</v>
      </c>
      <c r="H46" s="23">
        <f t="shared" ref="H46" si="39">SUM(H36:H45)</f>
        <v>7564.9165000000003</v>
      </c>
      <c r="I46" s="23">
        <f t="shared" ref="I46" si="40">SUM(I36:I45)</f>
        <v>7564.9165000000003</v>
      </c>
      <c r="J46" s="23">
        <f t="shared" ref="J46" si="41">SUM(J36:J45)</f>
        <v>7564.9165000000003</v>
      </c>
      <c r="K46" s="23">
        <f t="shared" ref="K46" si="42">SUM(K36:K45)</f>
        <v>7564.9165000000003</v>
      </c>
      <c r="L46" s="23">
        <f t="shared" ref="L46" si="43">SUM(L36:L45)</f>
        <v>7564.9165000000003</v>
      </c>
      <c r="M46" s="23">
        <f t="shared" ref="M46" si="44">SUM(M36:M45)</f>
        <v>7564.9165000000003</v>
      </c>
      <c r="N46" s="23">
        <f t="shared" ref="N46" si="45">SUM(N36:N45)</f>
        <v>7564.9165000000003</v>
      </c>
      <c r="O46" s="23">
        <f t="shared" ref="O46" si="46">SUM(O36:O45)</f>
        <v>7564.9165000000003</v>
      </c>
      <c r="P46" s="23">
        <f t="shared" ref="P46" si="47">SUM(P36:P45)</f>
        <v>7564.9165000000003</v>
      </c>
      <c r="Q46" s="23">
        <f t="shared" ref="Q46" si="48">SUM(Q36:Q45)</f>
        <v>2376.4</v>
      </c>
    </row>
    <row r="47" spans="1:17">
      <c r="D47" s="21" t="s">
        <v>22</v>
      </c>
      <c r="E47" s="21" t="s">
        <v>22</v>
      </c>
      <c r="F47" s="21" t="s">
        <v>22</v>
      </c>
      <c r="G47" s="21" t="s">
        <v>22</v>
      </c>
      <c r="H47" s="21" t="s">
        <v>22</v>
      </c>
      <c r="I47" s="21" t="s">
        <v>22</v>
      </c>
      <c r="J47" s="21" t="s">
        <v>22</v>
      </c>
      <c r="K47" s="21" t="s">
        <v>22</v>
      </c>
      <c r="L47" s="21" t="s">
        <v>22</v>
      </c>
      <c r="M47" s="21" t="s">
        <v>22</v>
      </c>
      <c r="N47" s="21" t="s">
        <v>22</v>
      </c>
      <c r="O47" s="21" t="s">
        <v>22</v>
      </c>
      <c r="P47" s="21" t="s">
        <v>22</v>
      </c>
      <c r="Q47" s="21" t="s">
        <v>22</v>
      </c>
    </row>
    <row r="50" spans="1:17">
      <c r="A50" s="28" t="s">
        <v>49</v>
      </c>
    </row>
    <row r="51" spans="1:17" s="16" customFormat="1">
      <c r="A51" s="16" t="s">
        <v>19</v>
      </c>
      <c r="B51" s="16" t="s">
        <v>29</v>
      </c>
      <c r="C51" s="16" t="s">
        <v>45</v>
      </c>
      <c r="D51" s="29" t="s">
        <v>30</v>
      </c>
      <c r="E51" s="30">
        <v>45017</v>
      </c>
      <c r="F51" s="30">
        <v>45047</v>
      </c>
      <c r="G51" s="30">
        <v>45078</v>
      </c>
      <c r="H51" s="30">
        <v>45108</v>
      </c>
      <c r="I51" s="30">
        <v>45139</v>
      </c>
      <c r="J51" s="30">
        <v>45170</v>
      </c>
      <c r="K51" s="30">
        <v>45200</v>
      </c>
      <c r="L51" s="30">
        <v>45231</v>
      </c>
      <c r="M51" s="30">
        <v>45261</v>
      </c>
      <c r="N51" s="30">
        <v>45292</v>
      </c>
      <c r="O51" s="30">
        <v>45323</v>
      </c>
      <c r="P51" s="30">
        <v>45352</v>
      </c>
      <c r="Q51" s="16" t="s">
        <v>41</v>
      </c>
    </row>
    <row r="52" spans="1:17">
      <c r="A52" s="10">
        <f>IF(A10&gt;0,A10," ")</f>
        <v>1</v>
      </c>
      <c r="B52" s="10" t="str">
        <f t="shared" ref="B52:C52" si="49">IF(B10&gt;0,B10," ")</f>
        <v>Wan Kar Hing</v>
      </c>
      <c r="C52" s="10" t="str">
        <f t="shared" si="49"/>
        <v>Director</v>
      </c>
      <c r="D52" s="27">
        <f>SUM(E52:Q52)</f>
        <v>18000</v>
      </c>
      <c r="E52" s="18">
        <f>IF(10:10*0.05&gt;1500,1500,10:10*0.05)</f>
        <v>1500</v>
      </c>
      <c r="F52" s="18">
        <f t="shared" ref="F52:Q52" si="50">IF(10:10*0.05&gt;1500,1500,10:10*0.05)</f>
        <v>1500</v>
      </c>
      <c r="G52" s="18">
        <f t="shared" si="50"/>
        <v>1500</v>
      </c>
      <c r="H52" s="18">
        <f t="shared" si="50"/>
        <v>1500</v>
      </c>
      <c r="I52" s="18">
        <f t="shared" si="50"/>
        <v>1500</v>
      </c>
      <c r="J52" s="18">
        <f t="shared" si="50"/>
        <v>1500</v>
      </c>
      <c r="K52" s="18">
        <f t="shared" si="50"/>
        <v>1500</v>
      </c>
      <c r="L52" s="18">
        <f t="shared" si="50"/>
        <v>1500</v>
      </c>
      <c r="M52" s="18">
        <f t="shared" si="50"/>
        <v>1500</v>
      </c>
      <c r="N52" s="18">
        <f t="shared" si="50"/>
        <v>1500</v>
      </c>
      <c r="O52" s="18">
        <f t="shared" si="50"/>
        <v>1500</v>
      </c>
      <c r="P52" s="31">
        <f t="shared" si="50"/>
        <v>1500</v>
      </c>
      <c r="Q52" s="18">
        <f t="shared" si="50"/>
        <v>0</v>
      </c>
    </row>
    <row r="53" spans="1:17">
      <c r="D53" s="2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</row>
    <row r="54" spans="1:17">
      <c r="D54" s="23">
        <f>SUM(D52:D53)</f>
        <v>18000</v>
      </c>
      <c r="E54" s="23">
        <f t="shared" ref="E54" si="51">SUM(E52:E53)</f>
        <v>1500</v>
      </c>
      <c r="F54" s="23">
        <f t="shared" ref="F54" si="52">SUM(F52:F53)</f>
        <v>1500</v>
      </c>
      <c r="G54" s="23">
        <f t="shared" ref="G54" si="53">SUM(G52:G53)</f>
        <v>1500</v>
      </c>
      <c r="H54" s="23">
        <f t="shared" ref="H54" si="54">SUM(H52:H53)</f>
        <v>1500</v>
      </c>
      <c r="I54" s="23">
        <f t="shared" ref="I54" si="55">SUM(I52:I53)</f>
        <v>1500</v>
      </c>
      <c r="J54" s="23">
        <f t="shared" ref="J54" si="56">SUM(J52:J53)</f>
        <v>1500</v>
      </c>
      <c r="K54" s="23">
        <f t="shared" ref="K54" si="57">SUM(K52:K53)</f>
        <v>1500</v>
      </c>
      <c r="L54" s="23">
        <f t="shared" ref="L54" si="58">SUM(L52:L53)</f>
        <v>1500</v>
      </c>
      <c r="M54" s="23">
        <f t="shared" ref="M54" si="59">SUM(M52:M53)</f>
        <v>1500</v>
      </c>
      <c r="N54" s="23">
        <f t="shared" ref="N54" si="60">SUM(N52:N53)</f>
        <v>1500</v>
      </c>
      <c r="O54" s="23">
        <f t="shared" ref="O54" si="61">SUM(O52:O53)</f>
        <v>1500</v>
      </c>
      <c r="P54" s="23">
        <f t="shared" ref="P54" si="62">SUM(P52:P53)</f>
        <v>1500</v>
      </c>
      <c r="Q54" s="23">
        <f t="shared" ref="Q54" si="63">SUM(Q52:Q53)</f>
        <v>0</v>
      </c>
    </row>
    <row r="55" spans="1:17">
      <c r="D55" s="25" t="s">
        <v>43</v>
      </c>
      <c r="E55" s="21" t="s">
        <v>22</v>
      </c>
      <c r="F55" s="21" t="s">
        <v>22</v>
      </c>
      <c r="G55" s="21" t="s">
        <v>22</v>
      </c>
      <c r="H55" s="21" t="s">
        <v>22</v>
      </c>
      <c r="I55" s="21" t="s">
        <v>22</v>
      </c>
      <c r="J55" s="21" t="s">
        <v>22</v>
      </c>
      <c r="K55" s="21" t="s">
        <v>22</v>
      </c>
      <c r="L55" s="21" t="s">
        <v>22</v>
      </c>
      <c r="M55" s="21" t="s">
        <v>22</v>
      </c>
      <c r="N55" s="21" t="s">
        <v>22</v>
      </c>
      <c r="O55" s="21" t="s">
        <v>22</v>
      </c>
      <c r="P55" s="21" t="s">
        <v>22</v>
      </c>
      <c r="Q55" s="21" t="s">
        <v>22</v>
      </c>
    </row>
    <row r="56" spans="1:17">
      <c r="D56" s="27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</row>
    <row r="57" spans="1:17">
      <c r="A57" s="10">
        <f>IF(A15&gt;0,A15," ")</f>
        <v>2</v>
      </c>
      <c r="B57" s="10" t="str">
        <f t="shared" ref="B57:C57" si="64">IF(B15&gt;0,B15," ")</f>
        <v>Chiu Yin Ning</v>
      </c>
      <c r="C57" s="10" t="str">
        <f t="shared" si="64"/>
        <v>Full-time</v>
      </c>
      <c r="D57" s="27">
        <f t="shared" ref="D57:D65" si="65">SUM(E57:Q57)</f>
        <v>11474.4</v>
      </c>
      <c r="E57" s="18">
        <f>IF(15:15*0.05&gt;1500,1500,15:15*0.05)</f>
        <v>935</v>
      </c>
      <c r="F57" s="18">
        <f t="shared" ref="F57:Q57" si="66">IF(15:15*0.05&gt;1500,1500,15:15*0.05)</f>
        <v>935</v>
      </c>
      <c r="G57" s="18">
        <f t="shared" si="66"/>
        <v>935</v>
      </c>
      <c r="H57" s="18">
        <f t="shared" si="66"/>
        <v>935</v>
      </c>
      <c r="I57" s="18">
        <f t="shared" si="66"/>
        <v>935</v>
      </c>
      <c r="J57" s="18">
        <f t="shared" si="66"/>
        <v>935</v>
      </c>
      <c r="K57" s="18">
        <f t="shared" si="66"/>
        <v>935</v>
      </c>
      <c r="L57" s="18">
        <f t="shared" si="66"/>
        <v>935</v>
      </c>
      <c r="M57" s="18">
        <f t="shared" si="66"/>
        <v>935</v>
      </c>
      <c r="N57" s="18">
        <f t="shared" si="66"/>
        <v>935</v>
      </c>
      <c r="O57" s="18">
        <f t="shared" si="66"/>
        <v>935</v>
      </c>
      <c r="P57" s="31">
        <f t="shared" si="66"/>
        <v>935</v>
      </c>
      <c r="Q57" s="18">
        <f t="shared" si="66"/>
        <v>254.4</v>
      </c>
    </row>
    <row r="58" spans="1:17">
      <c r="A58" s="10">
        <f t="shared" ref="A58:C65" si="67">IF(A16&gt;0,A16," ")</f>
        <v>3</v>
      </c>
      <c r="B58" s="10" t="str">
        <f t="shared" si="67"/>
        <v>Cheung Ka Yee</v>
      </c>
      <c r="C58" s="10" t="str">
        <f t="shared" si="67"/>
        <v>Full-time</v>
      </c>
      <c r="D58" s="27">
        <f t="shared" si="65"/>
        <v>12228.4</v>
      </c>
      <c r="E58" s="18">
        <f t="shared" ref="E58:Q65" si="68">IF(16:16*0.05&gt;1500,1500,16:16*0.05)</f>
        <v>960</v>
      </c>
      <c r="F58" s="18">
        <f t="shared" si="68"/>
        <v>1004</v>
      </c>
      <c r="G58" s="18">
        <f t="shared" si="68"/>
        <v>1004</v>
      </c>
      <c r="H58" s="18">
        <f t="shared" si="68"/>
        <v>1004</v>
      </c>
      <c r="I58" s="18">
        <f t="shared" si="68"/>
        <v>1004</v>
      </c>
      <c r="J58" s="18">
        <f t="shared" si="68"/>
        <v>1004</v>
      </c>
      <c r="K58" s="18">
        <f t="shared" si="68"/>
        <v>1004</v>
      </c>
      <c r="L58" s="18">
        <f t="shared" si="68"/>
        <v>1004</v>
      </c>
      <c r="M58" s="18">
        <f t="shared" si="68"/>
        <v>1004</v>
      </c>
      <c r="N58" s="18">
        <f t="shared" si="68"/>
        <v>1004</v>
      </c>
      <c r="O58" s="18">
        <f t="shared" si="68"/>
        <v>1004</v>
      </c>
      <c r="P58" s="31">
        <f t="shared" si="68"/>
        <v>1004</v>
      </c>
      <c r="Q58" s="18">
        <f t="shared" si="68"/>
        <v>224.4</v>
      </c>
    </row>
    <row r="59" spans="1:17">
      <c r="A59" s="10">
        <f t="shared" si="67"/>
        <v>4</v>
      </c>
      <c r="B59" s="10" t="str">
        <f t="shared" si="67"/>
        <v>Chiu Ting Chi</v>
      </c>
      <c r="C59" s="10" t="str">
        <f t="shared" si="67"/>
        <v>Full-time</v>
      </c>
      <c r="D59" s="27">
        <f t="shared" si="65"/>
        <v>15341.4</v>
      </c>
      <c r="E59" s="18">
        <f t="shared" si="68"/>
        <v>1215.75</v>
      </c>
      <c r="F59" s="18">
        <f t="shared" si="68"/>
        <v>1259.75</v>
      </c>
      <c r="G59" s="18">
        <f t="shared" si="68"/>
        <v>1259.75</v>
      </c>
      <c r="H59" s="18">
        <f t="shared" si="68"/>
        <v>1259.75</v>
      </c>
      <c r="I59" s="18">
        <f t="shared" si="68"/>
        <v>1259.75</v>
      </c>
      <c r="J59" s="18">
        <f t="shared" si="68"/>
        <v>1259.75</v>
      </c>
      <c r="K59" s="18">
        <f t="shared" si="68"/>
        <v>1259.75</v>
      </c>
      <c r="L59" s="18">
        <f t="shared" si="68"/>
        <v>1259.75</v>
      </c>
      <c r="M59" s="18">
        <f t="shared" si="68"/>
        <v>1259.75</v>
      </c>
      <c r="N59" s="18">
        <f t="shared" si="68"/>
        <v>1259.75</v>
      </c>
      <c r="O59" s="18">
        <f t="shared" si="68"/>
        <v>1259.75</v>
      </c>
      <c r="P59" s="31">
        <f t="shared" si="68"/>
        <v>1259.75</v>
      </c>
      <c r="Q59" s="18">
        <f t="shared" si="68"/>
        <v>268.40000000000003</v>
      </c>
    </row>
    <row r="60" spans="1:17">
      <c r="A60" s="10">
        <f t="shared" si="67"/>
        <v>5</v>
      </c>
      <c r="B60" s="10" t="str">
        <f t="shared" si="67"/>
        <v>Leung Chung Yi</v>
      </c>
      <c r="C60" s="10" t="str">
        <f t="shared" si="67"/>
        <v>Full-time</v>
      </c>
      <c r="D60" s="27">
        <f t="shared" si="65"/>
        <v>14558.8</v>
      </c>
      <c r="E60" s="18">
        <f t="shared" si="68"/>
        <v>1143.75</v>
      </c>
      <c r="F60" s="18">
        <f t="shared" si="68"/>
        <v>1184.75</v>
      </c>
      <c r="G60" s="18">
        <f t="shared" si="68"/>
        <v>1184.75</v>
      </c>
      <c r="H60" s="18">
        <f t="shared" si="68"/>
        <v>1184.75</v>
      </c>
      <c r="I60" s="18">
        <f t="shared" si="68"/>
        <v>1184.75</v>
      </c>
      <c r="J60" s="18">
        <f t="shared" si="68"/>
        <v>1184.75</v>
      </c>
      <c r="K60" s="18">
        <f t="shared" si="68"/>
        <v>1184.75</v>
      </c>
      <c r="L60" s="18">
        <f t="shared" si="68"/>
        <v>1184.75</v>
      </c>
      <c r="M60" s="18">
        <f t="shared" si="68"/>
        <v>1184.75</v>
      </c>
      <c r="N60" s="18">
        <f t="shared" si="68"/>
        <v>1184.75</v>
      </c>
      <c r="O60" s="18">
        <f t="shared" si="68"/>
        <v>1184.75</v>
      </c>
      <c r="P60" s="31">
        <f t="shared" si="68"/>
        <v>1184.75</v>
      </c>
      <c r="Q60" s="18">
        <f t="shared" si="68"/>
        <v>382.8</v>
      </c>
    </row>
    <row r="61" spans="1:17">
      <c r="A61" s="10">
        <f t="shared" si="67"/>
        <v>6</v>
      </c>
      <c r="B61" s="10" t="str">
        <f t="shared" si="67"/>
        <v>Yu Lee Fong</v>
      </c>
      <c r="C61" s="10" t="str">
        <f t="shared" si="67"/>
        <v>Full-time</v>
      </c>
      <c r="D61" s="27">
        <f t="shared" si="65"/>
        <v>13697.8</v>
      </c>
      <c r="E61" s="18">
        <f t="shared" si="68"/>
        <v>1069.25</v>
      </c>
      <c r="F61" s="18">
        <f t="shared" si="68"/>
        <v>1113.25</v>
      </c>
      <c r="G61" s="18">
        <f t="shared" si="68"/>
        <v>1113.25</v>
      </c>
      <c r="H61" s="18">
        <f t="shared" si="68"/>
        <v>1113.25</v>
      </c>
      <c r="I61" s="18">
        <f t="shared" si="68"/>
        <v>1113.25</v>
      </c>
      <c r="J61" s="18">
        <f t="shared" si="68"/>
        <v>1113.25</v>
      </c>
      <c r="K61" s="18">
        <f t="shared" si="68"/>
        <v>1113.25</v>
      </c>
      <c r="L61" s="18">
        <f t="shared" si="68"/>
        <v>1113.25</v>
      </c>
      <c r="M61" s="18">
        <f t="shared" si="68"/>
        <v>1113.25</v>
      </c>
      <c r="N61" s="18">
        <f t="shared" si="68"/>
        <v>1113.25</v>
      </c>
      <c r="O61" s="18">
        <f t="shared" si="68"/>
        <v>1113.25</v>
      </c>
      <c r="P61" s="31">
        <f t="shared" si="68"/>
        <v>1113.25</v>
      </c>
      <c r="Q61" s="18">
        <f t="shared" si="68"/>
        <v>382.8</v>
      </c>
    </row>
    <row r="62" spans="1:17">
      <c r="A62" s="10">
        <f t="shared" si="67"/>
        <v>7</v>
      </c>
      <c r="B62" s="10" t="str">
        <f t="shared" si="67"/>
        <v>Kong Kar Yee</v>
      </c>
      <c r="C62" s="10" t="str">
        <f t="shared" si="67"/>
        <v>Full-time</v>
      </c>
      <c r="D62" s="27">
        <f t="shared" si="65"/>
        <v>14451.532000000001</v>
      </c>
      <c r="E62" s="18">
        <f t="shared" si="68"/>
        <v>1019.4335</v>
      </c>
      <c r="F62" s="18">
        <f t="shared" si="68"/>
        <v>840.93349999999998</v>
      </c>
      <c r="G62" s="18">
        <f t="shared" si="68"/>
        <v>857.96650000000011</v>
      </c>
      <c r="H62" s="18">
        <f t="shared" si="68"/>
        <v>1273.8665000000001</v>
      </c>
      <c r="I62" s="18">
        <f t="shared" si="68"/>
        <v>1273.8665000000001</v>
      </c>
      <c r="J62" s="18">
        <f t="shared" si="68"/>
        <v>1273.8665000000001</v>
      </c>
      <c r="K62" s="18">
        <f t="shared" si="68"/>
        <v>1273.8665000000001</v>
      </c>
      <c r="L62" s="18">
        <f t="shared" si="68"/>
        <v>1273.8665000000001</v>
      </c>
      <c r="M62" s="18">
        <f t="shared" si="68"/>
        <v>1273.8665000000001</v>
      </c>
      <c r="N62" s="18">
        <f t="shared" si="68"/>
        <v>1273.8665000000001</v>
      </c>
      <c r="O62" s="18">
        <f t="shared" si="68"/>
        <v>1273.8665000000001</v>
      </c>
      <c r="P62" s="31">
        <f t="shared" si="68"/>
        <v>1273.8665000000001</v>
      </c>
      <c r="Q62" s="18">
        <f t="shared" si="68"/>
        <v>268.40000000000003</v>
      </c>
    </row>
    <row r="63" spans="1:17">
      <c r="A63" s="10">
        <f t="shared" si="67"/>
        <v>8</v>
      </c>
      <c r="B63" s="10" t="str">
        <f t="shared" si="67"/>
        <v>Tsang Tsz Ki</v>
      </c>
      <c r="C63" s="10" t="str">
        <f t="shared" si="67"/>
        <v>Full-time</v>
      </c>
      <c r="D63" s="27">
        <f t="shared" si="65"/>
        <v>4982.3</v>
      </c>
      <c r="E63" s="18">
        <f t="shared" si="68"/>
        <v>317.5</v>
      </c>
      <c r="F63" s="18">
        <f t="shared" si="68"/>
        <v>217.5</v>
      </c>
      <c r="G63" s="18">
        <f t="shared" si="68"/>
        <v>345</v>
      </c>
      <c r="H63" s="18">
        <f t="shared" si="68"/>
        <v>447.5</v>
      </c>
      <c r="I63" s="18">
        <f t="shared" si="68"/>
        <v>447.5</v>
      </c>
      <c r="J63" s="18">
        <f t="shared" si="68"/>
        <v>447.5</v>
      </c>
      <c r="K63" s="18">
        <f t="shared" si="68"/>
        <v>447.5</v>
      </c>
      <c r="L63" s="18">
        <f t="shared" si="68"/>
        <v>447.5</v>
      </c>
      <c r="M63" s="18">
        <f t="shared" si="68"/>
        <v>447.5</v>
      </c>
      <c r="N63" s="18">
        <f t="shared" si="68"/>
        <v>447.5</v>
      </c>
      <c r="O63" s="18">
        <f t="shared" si="68"/>
        <v>447.5</v>
      </c>
      <c r="P63" s="31">
        <f t="shared" si="68"/>
        <v>447.5</v>
      </c>
      <c r="Q63" s="18">
        <f t="shared" si="68"/>
        <v>74.8</v>
      </c>
    </row>
    <row r="64" spans="1:17">
      <c r="A64" s="10">
        <f t="shared" si="67"/>
        <v>9</v>
      </c>
      <c r="B64" s="10" t="str">
        <f t="shared" si="67"/>
        <v>Tsang Lai Yung</v>
      </c>
      <c r="C64" s="10" t="str">
        <f t="shared" si="67"/>
        <v>Part-time</v>
      </c>
      <c r="D64" s="27">
        <f t="shared" si="65"/>
        <v>2592.8000000000002</v>
      </c>
      <c r="E64" s="18">
        <f t="shared" si="68"/>
        <v>166.8</v>
      </c>
      <c r="F64" s="18">
        <f t="shared" si="68"/>
        <v>152.9</v>
      </c>
      <c r="G64" s="18">
        <f t="shared" si="68"/>
        <v>166.8</v>
      </c>
      <c r="H64" s="18">
        <f t="shared" si="68"/>
        <v>180.70000000000002</v>
      </c>
      <c r="I64" s="18">
        <f t="shared" si="68"/>
        <v>180.70000000000002</v>
      </c>
      <c r="J64" s="18">
        <f t="shared" si="68"/>
        <v>180.70000000000002</v>
      </c>
      <c r="K64" s="18">
        <f t="shared" si="68"/>
        <v>180.70000000000002</v>
      </c>
      <c r="L64" s="18">
        <f t="shared" si="68"/>
        <v>180.70000000000002</v>
      </c>
      <c r="M64" s="18">
        <f t="shared" si="68"/>
        <v>180.70000000000002</v>
      </c>
      <c r="N64" s="18">
        <f t="shared" si="68"/>
        <v>180.70000000000002</v>
      </c>
      <c r="O64" s="18">
        <f t="shared" si="68"/>
        <v>180.70000000000002</v>
      </c>
      <c r="P64" s="31">
        <f t="shared" si="68"/>
        <v>180.70000000000002</v>
      </c>
      <c r="Q64" s="18">
        <f t="shared" si="68"/>
        <v>480</v>
      </c>
    </row>
    <row r="65" spans="1:17">
      <c r="A65" s="10">
        <f t="shared" si="67"/>
        <v>10</v>
      </c>
      <c r="B65" s="10" t="str">
        <f t="shared" si="67"/>
        <v>Yue Ka Wan Rowenna</v>
      </c>
      <c r="C65" s="10" t="str">
        <f t="shared" si="67"/>
        <v>Part-time</v>
      </c>
      <c r="D65" s="27">
        <f t="shared" si="65"/>
        <v>1863.1</v>
      </c>
      <c r="E65" s="18">
        <f t="shared" si="68"/>
        <v>130.9</v>
      </c>
      <c r="F65" s="18">
        <f t="shared" si="68"/>
        <v>157.30000000000001</v>
      </c>
      <c r="G65" s="18">
        <f t="shared" si="68"/>
        <v>39.6</v>
      </c>
      <c r="H65" s="18">
        <f t="shared" si="68"/>
        <v>166.10000000000002</v>
      </c>
      <c r="I65" s="18">
        <f t="shared" si="68"/>
        <v>166.10000000000002</v>
      </c>
      <c r="J65" s="18">
        <f t="shared" si="68"/>
        <v>166.10000000000002</v>
      </c>
      <c r="K65" s="18">
        <f t="shared" si="68"/>
        <v>166.10000000000002</v>
      </c>
      <c r="L65" s="18">
        <f t="shared" si="68"/>
        <v>166.10000000000002</v>
      </c>
      <c r="M65" s="18">
        <f t="shared" si="68"/>
        <v>166.10000000000002</v>
      </c>
      <c r="N65" s="18">
        <f t="shared" si="68"/>
        <v>166.10000000000002</v>
      </c>
      <c r="O65" s="18">
        <f t="shared" si="68"/>
        <v>166.10000000000002</v>
      </c>
      <c r="P65" s="31">
        <f t="shared" si="68"/>
        <v>166.10000000000002</v>
      </c>
      <c r="Q65" s="18">
        <f t="shared" si="68"/>
        <v>40.400000000000006</v>
      </c>
    </row>
    <row r="66" spans="1:17">
      <c r="D66" s="27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</row>
    <row r="67" spans="1:17">
      <c r="D67" s="23">
        <f>SUM(D57:D66)</f>
        <v>91190.532000000021</v>
      </c>
      <c r="E67" s="23">
        <f t="shared" ref="E67" si="69">SUM(E57:E66)</f>
        <v>6958.3834999999999</v>
      </c>
      <c r="F67" s="23">
        <f t="shared" ref="F67" si="70">SUM(F57:F66)</f>
        <v>6865.3834999999999</v>
      </c>
      <c r="G67" s="23">
        <f t="shared" ref="G67" si="71">SUM(G57:G66)</f>
        <v>6906.116500000001</v>
      </c>
      <c r="H67" s="23">
        <f t="shared" ref="H67" si="72">SUM(H57:H66)</f>
        <v>7564.9165000000003</v>
      </c>
      <c r="I67" s="23">
        <f t="shared" ref="I67" si="73">SUM(I57:I66)</f>
        <v>7564.9165000000003</v>
      </c>
      <c r="J67" s="23">
        <f t="shared" ref="J67" si="74">SUM(J57:J66)</f>
        <v>7564.9165000000003</v>
      </c>
      <c r="K67" s="23">
        <f t="shared" ref="K67" si="75">SUM(K57:K66)</f>
        <v>7564.9165000000003</v>
      </c>
      <c r="L67" s="23">
        <f t="shared" ref="L67" si="76">SUM(L57:L66)</f>
        <v>7564.9165000000003</v>
      </c>
      <c r="M67" s="23">
        <f t="shared" ref="M67" si="77">SUM(M57:M66)</f>
        <v>7564.9165000000003</v>
      </c>
      <c r="N67" s="23">
        <f t="shared" ref="N67" si="78">SUM(N57:N66)</f>
        <v>7564.9165000000003</v>
      </c>
      <c r="O67" s="23">
        <f t="shared" ref="O67" si="79">SUM(O57:O66)</f>
        <v>7564.9165000000003</v>
      </c>
      <c r="P67" s="23">
        <f t="shared" ref="P67" si="80">SUM(P57:P66)</f>
        <v>7564.9165000000003</v>
      </c>
      <c r="Q67" s="23">
        <f t="shared" ref="Q67" si="81">SUM(Q57:Q66)</f>
        <v>2376.4</v>
      </c>
    </row>
    <row r="68" spans="1:17">
      <c r="D68" s="25" t="s">
        <v>43</v>
      </c>
      <c r="E68" s="21" t="s">
        <v>22</v>
      </c>
      <c r="F68" s="21" t="s">
        <v>22</v>
      </c>
      <c r="G68" s="21" t="s">
        <v>22</v>
      </c>
      <c r="H68" s="21" t="s">
        <v>22</v>
      </c>
      <c r="I68" s="21" t="s">
        <v>22</v>
      </c>
      <c r="J68" s="21" t="s">
        <v>22</v>
      </c>
      <c r="K68" s="21" t="s">
        <v>22</v>
      </c>
      <c r="L68" s="21" t="s">
        <v>22</v>
      </c>
      <c r="M68" s="21" t="s">
        <v>22</v>
      </c>
      <c r="N68" s="21" t="s">
        <v>22</v>
      </c>
      <c r="O68" s="21" t="s">
        <v>22</v>
      </c>
      <c r="P68" s="21" t="s">
        <v>22</v>
      </c>
      <c r="Q68" s="21" t="s">
        <v>22</v>
      </c>
    </row>
    <row r="70" spans="1:17">
      <c r="A70" s="28" t="s">
        <v>50</v>
      </c>
      <c r="C70" s="26" t="s">
        <v>51</v>
      </c>
      <c r="D70" s="23">
        <f>33:33+46:46+54:54+67:67</f>
        <v>218381.06400000004</v>
      </c>
      <c r="E70" s="23">
        <f>33:33+46:46+54:54+67:67</f>
        <v>16916.767</v>
      </c>
      <c r="F70" s="23">
        <f t="shared" ref="F70:Q70" si="82">33:33+46:46+54:54+67:67</f>
        <v>16730.767</v>
      </c>
      <c r="G70" s="23">
        <f t="shared" si="82"/>
        <v>16812.233</v>
      </c>
      <c r="H70" s="23">
        <f t="shared" si="82"/>
        <v>18129.832999999999</v>
      </c>
      <c r="I70" s="23">
        <f t="shared" si="82"/>
        <v>18129.832999999999</v>
      </c>
      <c r="J70" s="23">
        <f t="shared" si="82"/>
        <v>18129.832999999999</v>
      </c>
      <c r="K70" s="23">
        <f t="shared" si="82"/>
        <v>18129.832999999999</v>
      </c>
      <c r="L70" s="23">
        <f t="shared" si="82"/>
        <v>18129.832999999999</v>
      </c>
      <c r="M70" s="23">
        <f t="shared" si="82"/>
        <v>18129.832999999999</v>
      </c>
      <c r="N70" s="23">
        <f t="shared" si="82"/>
        <v>18129.832999999999</v>
      </c>
      <c r="O70" s="23">
        <f t="shared" si="82"/>
        <v>18129.832999999999</v>
      </c>
      <c r="P70" s="23">
        <f t="shared" si="82"/>
        <v>18129.832999999999</v>
      </c>
      <c r="Q70" s="23">
        <f t="shared" si="82"/>
        <v>4752.8</v>
      </c>
    </row>
    <row r="71" spans="1:17">
      <c r="D71" s="21" t="s">
        <v>22</v>
      </c>
      <c r="E71" s="21" t="s">
        <v>22</v>
      </c>
      <c r="F71" s="21" t="s">
        <v>22</v>
      </c>
      <c r="G71" s="21" t="s">
        <v>22</v>
      </c>
      <c r="H71" s="21" t="s">
        <v>22</v>
      </c>
      <c r="I71" s="21" t="s">
        <v>22</v>
      </c>
      <c r="J71" s="21" t="s">
        <v>22</v>
      </c>
      <c r="K71" s="21" t="s">
        <v>22</v>
      </c>
      <c r="L71" s="21" t="s">
        <v>22</v>
      </c>
      <c r="M71" s="21" t="s">
        <v>22</v>
      </c>
      <c r="N71" s="21" t="s">
        <v>22</v>
      </c>
      <c r="O71" s="21" t="s">
        <v>22</v>
      </c>
      <c r="P71" s="21" t="s">
        <v>22</v>
      </c>
      <c r="Q71" s="21" t="s">
        <v>22</v>
      </c>
    </row>
    <row r="74" spans="1:17">
      <c r="A74" s="28" t="s">
        <v>52</v>
      </c>
      <c r="B74" s="16"/>
      <c r="C74" s="16"/>
    </row>
    <row r="75" spans="1:17">
      <c r="A75" s="16" t="s">
        <v>19</v>
      </c>
      <c r="B75" s="16" t="s">
        <v>29</v>
      </c>
      <c r="C75" s="16" t="s">
        <v>45</v>
      </c>
      <c r="D75" s="29" t="s">
        <v>30</v>
      </c>
      <c r="E75" s="30">
        <v>45017</v>
      </c>
      <c r="F75" s="30">
        <v>45047</v>
      </c>
      <c r="G75" s="30">
        <v>45078</v>
      </c>
      <c r="H75" s="30">
        <v>45108</v>
      </c>
      <c r="I75" s="30">
        <v>45139</v>
      </c>
      <c r="J75" s="30">
        <v>45170</v>
      </c>
      <c r="K75" s="30">
        <v>45200</v>
      </c>
      <c r="L75" s="30">
        <v>45231</v>
      </c>
      <c r="M75" s="30">
        <v>45261</v>
      </c>
      <c r="N75" s="30">
        <v>45292</v>
      </c>
      <c r="O75" s="30">
        <v>45323</v>
      </c>
      <c r="P75" s="30">
        <v>45352</v>
      </c>
      <c r="Q75" s="16" t="s">
        <v>41</v>
      </c>
    </row>
    <row r="76" spans="1:17">
      <c r="A76" s="10">
        <f>IF(A10&gt;0,A10," ")</f>
        <v>1</v>
      </c>
      <c r="B76" s="10" t="str">
        <f t="shared" ref="B76:C76" si="83">IF(B10&gt;0,B10," ")</f>
        <v>Wan Kar Hing</v>
      </c>
      <c r="C76" s="10" t="str">
        <f t="shared" si="83"/>
        <v>Director</v>
      </c>
      <c r="D76" s="27">
        <f>SUM(E76:Q76)</f>
        <v>582000</v>
      </c>
      <c r="E76" s="18">
        <f>10:10-31:31</f>
        <v>48500</v>
      </c>
      <c r="F76" s="18">
        <f t="shared" ref="F76:Q76" si="84">10:10-31:31</f>
        <v>48500</v>
      </c>
      <c r="G76" s="18">
        <f t="shared" si="84"/>
        <v>48500</v>
      </c>
      <c r="H76" s="18">
        <f t="shared" si="84"/>
        <v>48500</v>
      </c>
      <c r="I76" s="18">
        <f t="shared" si="84"/>
        <v>48500</v>
      </c>
      <c r="J76" s="18">
        <f t="shared" si="84"/>
        <v>48500</v>
      </c>
      <c r="K76" s="18">
        <f t="shared" si="84"/>
        <v>48500</v>
      </c>
      <c r="L76" s="18">
        <f t="shared" si="84"/>
        <v>48500</v>
      </c>
      <c r="M76" s="18">
        <f t="shared" si="84"/>
        <v>48500</v>
      </c>
      <c r="N76" s="18">
        <f t="shared" si="84"/>
        <v>48500</v>
      </c>
      <c r="O76" s="18">
        <f t="shared" si="84"/>
        <v>48500</v>
      </c>
      <c r="P76" s="31">
        <f t="shared" si="84"/>
        <v>48500</v>
      </c>
      <c r="Q76" s="18">
        <f t="shared" si="84"/>
        <v>0</v>
      </c>
    </row>
    <row r="77" spans="1:17">
      <c r="D77" s="27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8"/>
    </row>
    <row r="78" spans="1:17">
      <c r="D78" s="23">
        <f>SUM(D76:D77)</f>
        <v>582000</v>
      </c>
      <c r="E78" s="23">
        <f t="shared" ref="E78" si="85">SUM(E76:E77)</f>
        <v>48500</v>
      </c>
      <c r="F78" s="23">
        <f t="shared" ref="F78" si="86">SUM(F76:F77)</f>
        <v>48500</v>
      </c>
      <c r="G78" s="23">
        <f t="shared" ref="G78" si="87">SUM(G76:G77)</f>
        <v>48500</v>
      </c>
      <c r="H78" s="23">
        <f t="shared" ref="H78" si="88">SUM(H76:H77)</f>
        <v>48500</v>
      </c>
      <c r="I78" s="23">
        <f t="shared" ref="I78" si="89">SUM(I76:I77)</f>
        <v>48500</v>
      </c>
      <c r="J78" s="23">
        <f t="shared" ref="J78" si="90">SUM(J76:J77)</f>
        <v>48500</v>
      </c>
      <c r="K78" s="23">
        <f t="shared" ref="K78" si="91">SUM(K76:K77)</f>
        <v>48500</v>
      </c>
      <c r="L78" s="23">
        <f t="shared" ref="L78" si="92">SUM(L76:L77)</f>
        <v>48500</v>
      </c>
      <c r="M78" s="23">
        <f t="shared" ref="M78" si="93">SUM(M76:M77)</f>
        <v>48500</v>
      </c>
      <c r="N78" s="23">
        <f t="shared" ref="N78" si="94">SUM(N76:N77)</f>
        <v>48500</v>
      </c>
      <c r="O78" s="23">
        <f t="shared" ref="O78" si="95">SUM(O76:O77)</f>
        <v>48500</v>
      </c>
      <c r="P78" s="23">
        <f t="shared" ref="P78" si="96">SUM(P76:P77)</f>
        <v>48500</v>
      </c>
      <c r="Q78" s="23">
        <f t="shared" ref="Q78" si="97">SUM(Q76:Q77)</f>
        <v>0</v>
      </c>
    </row>
    <row r="79" spans="1:17">
      <c r="D79" s="25" t="s">
        <v>22</v>
      </c>
      <c r="E79" s="25" t="s">
        <v>22</v>
      </c>
      <c r="F79" s="25" t="s">
        <v>22</v>
      </c>
      <c r="G79" s="25" t="s">
        <v>22</v>
      </c>
      <c r="H79" s="25" t="s">
        <v>22</v>
      </c>
      <c r="I79" s="25" t="s">
        <v>22</v>
      </c>
      <c r="J79" s="25" t="s">
        <v>22</v>
      </c>
      <c r="K79" s="25" t="s">
        <v>22</v>
      </c>
      <c r="L79" s="25" t="s">
        <v>22</v>
      </c>
      <c r="M79" s="25" t="s">
        <v>22</v>
      </c>
      <c r="N79" s="25" t="s">
        <v>22</v>
      </c>
      <c r="O79" s="25" t="s">
        <v>22</v>
      </c>
      <c r="P79" s="25" t="s">
        <v>22</v>
      </c>
      <c r="Q79" s="25" t="s">
        <v>22</v>
      </c>
    </row>
    <row r="80" spans="1:17">
      <c r="D80" s="27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8"/>
    </row>
    <row r="81" spans="1:17">
      <c r="A81" s="10">
        <f t="shared" ref="A81:C81" si="98">IF(A15&gt;0,A15," ")</f>
        <v>2</v>
      </c>
      <c r="B81" s="10" t="str">
        <f t="shared" si="98"/>
        <v>Chiu Yin Ning</v>
      </c>
      <c r="C81" s="10" t="str">
        <f t="shared" si="98"/>
        <v>Full-time</v>
      </c>
      <c r="D81" s="27">
        <f t="shared" ref="D81:D89" si="99">SUM(E81:Q81)</f>
        <v>218013.6</v>
      </c>
      <c r="E81" s="18">
        <f>15:15-36:36</f>
        <v>17765</v>
      </c>
      <c r="F81" s="18">
        <f t="shared" ref="F81:Q81" si="100">15:15-36:36</f>
        <v>17765</v>
      </c>
      <c r="G81" s="18">
        <f t="shared" si="100"/>
        <v>17765</v>
      </c>
      <c r="H81" s="18">
        <f t="shared" si="100"/>
        <v>17765</v>
      </c>
      <c r="I81" s="18">
        <f t="shared" si="100"/>
        <v>17765</v>
      </c>
      <c r="J81" s="18">
        <f t="shared" si="100"/>
        <v>17765</v>
      </c>
      <c r="K81" s="18">
        <f t="shared" si="100"/>
        <v>17765</v>
      </c>
      <c r="L81" s="18">
        <f t="shared" si="100"/>
        <v>17765</v>
      </c>
      <c r="M81" s="18">
        <f t="shared" si="100"/>
        <v>17765</v>
      </c>
      <c r="N81" s="18">
        <f t="shared" si="100"/>
        <v>17765</v>
      </c>
      <c r="O81" s="18">
        <f t="shared" si="100"/>
        <v>17765</v>
      </c>
      <c r="P81" s="31">
        <f t="shared" si="100"/>
        <v>17765</v>
      </c>
      <c r="Q81" s="18">
        <f t="shared" si="100"/>
        <v>4833.6000000000004</v>
      </c>
    </row>
    <row r="82" spans="1:17">
      <c r="A82" s="10">
        <f t="shared" ref="A82:C82" si="101">IF(A16&gt;0,A16," ")</f>
        <v>3</v>
      </c>
      <c r="B82" s="10" t="str">
        <f t="shared" si="101"/>
        <v>Cheung Ka Yee</v>
      </c>
      <c r="C82" s="10" t="str">
        <f t="shared" si="101"/>
        <v>Full-time</v>
      </c>
      <c r="D82" s="27">
        <f t="shared" si="99"/>
        <v>232339.6</v>
      </c>
      <c r="E82" s="18">
        <f t="shared" ref="E82:Q89" si="102">16:16-37:37</f>
        <v>18240</v>
      </c>
      <c r="F82" s="18">
        <f t="shared" si="102"/>
        <v>19076</v>
      </c>
      <c r="G82" s="18">
        <f t="shared" si="102"/>
        <v>19076</v>
      </c>
      <c r="H82" s="18">
        <f t="shared" si="102"/>
        <v>19076</v>
      </c>
      <c r="I82" s="18">
        <f t="shared" si="102"/>
        <v>19076</v>
      </c>
      <c r="J82" s="18">
        <f t="shared" si="102"/>
        <v>19076</v>
      </c>
      <c r="K82" s="18">
        <f t="shared" si="102"/>
        <v>19076</v>
      </c>
      <c r="L82" s="18">
        <f t="shared" si="102"/>
        <v>19076</v>
      </c>
      <c r="M82" s="18">
        <f t="shared" si="102"/>
        <v>19076</v>
      </c>
      <c r="N82" s="18">
        <f t="shared" si="102"/>
        <v>19076</v>
      </c>
      <c r="O82" s="18">
        <f t="shared" si="102"/>
        <v>19076</v>
      </c>
      <c r="P82" s="31">
        <f t="shared" si="102"/>
        <v>19076</v>
      </c>
      <c r="Q82" s="18">
        <f t="shared" si="102"/>
        <v>4263.6000000000004</v>
      </c>
    </row>
    <row r="83" spans="1:17">
      <c r="A83" s="10">
        <f t="shared" ref="A83:C83" si="103">IF(A17&gt;0,A17," ")</f>
        <v>4</v>
      </c>
      <c r="B83" s="10" t="str">
        <f t="shared" si="103"/>
        <v>Chiu Ting Chi</v>
      </c>
      <c r="C83" s="10" t="str">
        <f t="shared" si="103"/>
        <v>Full-time</v>
      </c>
      <c r="D83" s="27">
        <f t="shared" si="99"/>
        <v>291486.59999999998</v>
      </c>
      <c r="E83" s="18">
        <f t="shared" si="102"/>
        <v>23099.25</v>
      </c>
      <c r="F83" s="18">
        <f t="shared" si="102"/>
        <v>23935.25</v>
      </c>
      <c r="G83" s="18">
        <f t="shared" si="102"/>
        <v>23935.25</v>
      </c>
      <c r="H83" s="18">
        <f t="shared" si="102"/>
        <v>23935.25</v>
      </c>
      <c r="I83" s="18">
        <f t="shared" si="102"/>
        <v>23935.25</v>
      </c>
      <c r="J83" s="18">
        <f t="shared" si="102"/>
        <v>23935.25</v>
      </c>
      <c r="K83" s="18">
        <f t="shared" si="102"/>
        <v>23935.25</v>
      </c>
      <c r="L83" s="18">
        <f t="shared" si="102"/>
        <v>23935.25</v>
      </c>
      <c r="M83" s="18">
        <f t="shared" si="102"/>
        <v>23935.25</v>
      </c>
      <c r="N83" s="18">
        <f t="shared" si="102"/>
        <v>23935.25</v>
      </c>
      <c r="O83" s="18">
        <f t="shared" si="102"/>
        <v>23935.25</v>
      </c>
      <c r="P83" s="31">
        <f t="shared" si="102"/>
        <v>23935.25</v>
      </c>
      <c r="Q83" s="18">
        <f t="shared" si="102"/>
        <v>5099.6000000000004</v>
      </c>
    </row>
    <row r="84" spans="1:17">
      <c r="A84" s="10">
        <f t="shared" ref="A84:C84" si="104">IF(A18&gt;0,A18," ")</f>
        <v>5</v>
      </c>
      <c r="B84" s="10" t="str">
        <f t="shared" si="104"/>
        <v>Leung Chung Yi</v>
      </c>
      <c r="C84" s="10" t="str">
        <f t="shared" si="104"/>
        <v>Full-time</v>
      </c>
      <c r="D84" s="27">
        <f t="shared" si="99"/>
        <v>276617.2</v>
      </c>
      <c r="E84" s="18">
        <f t="shared" si="102"/>
        <v>21731.25</v>
      </c>
      <c r="F84" s="18">
        <f t="shared" si="102"/>
        <v>22510.25</v>
      </c>
      <c r="G84" s="18">
        <f t="shared" si="102"/>
        <v>22510.25</v>
      </c>
      <c r="H84" s="18">
        <f t="shared" si="102"/>
        <v>22510.25</v>
      </c>
      <c r="I84" s="18">
        <f t="shared" si="102"/>
        <v>22510.25</v>
      </c>
      <c r="J84" s="18">
        <f t="shared" si="102"/>
        <v>22510.25</v>
      </c>
      <c r="K84" s="18">
        <f t="shared" si="102"/>
        <v>22510.25</v>
      </c>
      <c r="L84" s="18">
        <f t="shared" si="102"/>
        <v>22510.25</v>
      </c>
      <c r="M84" s="18">
        <f t="shared" si="102"/>
        <v>22510.25</v>
      </c>
      <c r="N84" s="18">
        <f t="shared" si="102"/>
        <v>22510.25</v>
      </c>
      <c r="O84" s="18">
        <f t="shared" si="102"/>
        <v>22510.25</v>
      </c>
      <c r="P84" s="31">
        <f t="shared" si="102"/>
        <v>22510.25</v>
      </c>
      <c r="Q84" s="18">
        <f t="shared" si="102"/>
        <v>7273.2</v>
      </c>
    </row>
    <row r="85" spans="1:17">
      <c r="A85" s="10">
        <f t="shared" ref="A85:C85" si="105">IF(A19&gt;0,A19," ")</f>
        <v>6</v>
      </c>
      <c r="B85" s="10" t="str">
        <f t="shared" si="105"/>
        <v>Yu Lee Fong</v>
      </c>
      <c r="C85" s="10" t="str">
        <f t="shared" si="105"/>
        <v>Full-time</v>
      </c>
      <c r="D85" s="27">
        <f t="shared" si="99"/>
        <v>260258.2</v>
      </c>
      <c r="E85" s="18">
        <f t="shared" si="102"/>
        <v>20315.75</v>
      </c>
      <c r="F85" s="18">
        <f t="shared" si="102"/>
        <v>21151.75</v>
      </c>
      <c r="G85" s="18">
        <f t="shared" si="102"/>
        <v>21151.75</v>
      </c>
      <c r="H85" s="18">
        <f t="shared" si="102"/>
        <v>21151.75</v>
      </c>
      <c r="I85" s="18">
        <f t="shared" si="102"/>
        <v>21151.75</v>
      </c>
      <c r="J85" s="18">
        <f t="shared" si="102"/>
        <v>21151.75</v>
      </c>
      <c r="K85" s="18">
        <f t="shared" si="102"/>
        <v>21151.75</v>
      </c>
      <c r="L85" s="18">
        <f t="shared" si="102"/>
        <v>21151.75</v>
      </c>
      <c r="M85" s="18">
        <f t="shared" si="102"/>
        <v>21151.75</v>
      </c>
      <c r="N85" s="18">
        <f t="shared" si="102"/>
        <v>21151.75</v>
      </c>
      <c r="O85" s="18">
        <f t="shared" si="102"/>
        <v>21151.75</v>
      </c>
      <c r="P85" s="31">
        <f t="shared" si="102"/>
        <v>21151.75</v>
      </c>
      <c r="Q85" s="18">
        <f t="shared" si="102"/>
        <v>7273.2</v>
      </c>
    </row>
    <row r="86" spans="1:17">
      <c r="A86" s="10">
        <f t="shared" ref="A86:C86" si="106">IF(A20&gt;0,A20," ")</f>
        <v>7</v>
      </c>
      <c r="B86" s="10" t="str">
        <f t="shared" si="106"/>
        <v>Kong Kar Yee</v>
      </c>
      <c r="C86" s="10" t="str">
        <f t="shared" si="106"/>
        <v>Full-time</v>
      </c>
      <c r="D86" s="27">
        <f t="shared" si="99"/>
        <v>274579.10800000001</v>
      </c>
      <c r="E86" s="18">
        <f t="shared" si="102"/>
        <v>19369.236499999999</v>
      </c>
      <c r="F86" s="18">
        <f t="shared" si="102"/>
        <v>15977.736499999999</v>
      </c>
      <c r="G86" s="18">
        <f t="shared" si="102"/>
        <v>16301.363500000001</v>
      </c>
      <c r="H86" s="18">
        <f t="shared" si="102"/>
        <v>24203.463500000002</v>
      </c>
      <c r="I86" s="18">
        <f t="shared" si="102"/>
        <v>24203.463500000002</v>
      </c>
      <c r="J86" s="18">
        <f t="shared" si="102"/>
        <v>24203.463500000002</v>
      </c>
      <c r="K86" s="18">
        <f t="shared" si="102"/>
        <v>24203.463500000002</v>
      </c>
      <c r="L86" s="18">
        <f t="shared" si="102"/>
        <v>24203.463500000002</v>
      </c>
      <c r="M86" s="18">
        <f t="shared" si="102"/>
        <v>24203.463500000002</v>
      </c>
      <c r="N86" s="18">
        <f t="shared" si="102"/>
        <v>24203.463500000002</v>
      </c>
      <c r="O86" s="18">
        <f t="shared" si="102"/>
        <v>24203.463500000002</v>
      </c>
      <c r="P86" s="31">
        <f t="shared" si="102"/>
        <v>24203.463500000002</v>
      </c>
      <c r="Q86" s="18">
        <f t="shared" si="102"/>
        <v>5099.6000000000004</v>
      </c>
    </row>
    <row r="87" spans="1:17">
      <c r="A87" s="10">
        <f t="shared" ref="A87:C87" si="107">IF(A21&gt;0,A21," ")</f>
        <v>8</v>
      </c>
      <c r="B87" s="10" t="str">
        <f t="shared" si="107"/>
        <v>Tsang Tsz Ki</v>
      </c>
      <c r="C87" s="10" t="str">
        <f t="shared" si="107"/>
        <v>Full-time</v>
      </c>
      <c r="D87" s="27">
        <f t="shared" si="99"/>
        <v>94663.7</v>
      </c>
      <c r="E87" s="18">
        <f t="shared" si="102"/>
        <v>6032.5</v>
      </c>
      <c r="F87" s="18">
        <f t="shared" si="102"/>
        <v>4132.5</v>
      </c>
      <c r="G87" s="18">
        <f t="shared" si="102"/>
        <v>6555</v>
      </c>
      <c r="H87" s="18">
        <f t="shared" si="102"/>
        <v>8502.5</v>
      </c>
      <c r="I87" s="18">
        <f t="shared" si="102"/>
        <v>8502.5</v>
      </c>
      <c r="J87" s="18">
        <f t="shared" si="102"/>
        <v>8502.5</v>
      </c>
      <c r="K87" s="18">
        <f t="shared" si="102"/>
        <v>8502.5</v>
      </c>
      <c r="L87" s="18">
        <f t="shared" si="102"/>
        <v>8502.5</v>
      </c>
      <c r="M87" s="18">
        <f t="shared" si="102"/>
        <v>8502.5</v>
      </c>
      <c r="N87" s="18">
        <f t="shared" si="102"/>
        <v>8502.5</v>
      </c>
      <c r="O87" s="18">
        <f t="shared" si="102"/>
        <v>8502.5</v>
      </c>
      <c r="P87" s="31">
        <f t="shared" si="102"/>
        <v>8502.5</v>
      </c>
      <c r="Q87" s="18">
        <f t="shared" si="102"/>
        <v>1421.2</v>
      </c>
    </row>
    <row r="88" spans="1:17">
      <c r="A88" s="10">
        <f t="shared" ref="A88:C88" si="108">IF(A22&gt;0,A22," ")</f>
        <v>9</v>
      </c>
      <c r="B88" s="10" t="str">
        <f t="shared" si="108"/>
        <v>Tsang Lai Yung</v>
      </c>
      <c r="C88" s="10" t="str">
        <f t="shared" si="108"/>
        <v>Part-time</v>
      </c>
      <c r="D88" s="27">
        <f t="shared" si="99"/>
        <v>49263.200000000004</v>
      </c>
      <c r="E88" s="18">
        <f t="shared" si="102"/>
        <v>3169.2</v>
      </c>
      <c r="F88" s="18">
        <f t="shared" si="102"/>
        <v>2905.1</v>
      </c>
      <c r="G88" s="18">
        <f t="shared" si="102"/>
        <v>3169.2</v>
      </c>
      <c r="H88" s="18">
        <f t="shared" si="102"/>
        <v>3433.3</v>
      </c>
      <c r="I88" s="18">
        <f t="shared" si="102"/>
        <v>3433.3</v>
      </c>
      <c r="J88" s="18">
        <f t="shared" si="102"/>
        <v>3433.3</v>
      </c>
      <c r="K88" s="18">
        <f t="shared" si="102"/>
        <v>3433.3</v>
      </c>
      <c r="L88" s="18">
        <f t="shared" si="102"/>
        <v>3433.3</v>
      </c>
      <c r="M88" s="18">
        <f t="shared" si="102"/>
        <v>3433.3</v>
      </c>
      <c r="N88" s="18">
        <f t="shared" si="102"/>
        <v>3433.3</v>
      </c>
      <c r="O88" s="18">
        <f t="shared" si="102"/>
        <v>3433.3</v>
      </c>
      <c r="P88" s="31">
        <f t="shared" si="102"/>
        <v>3433.3</v>
      </c>
      <c r="Q88" s="18">
        <f t="shared" si="102"/>
        <v>9120</v>
      </c>
    </row>
    <row r="89" spans="1:17">
      <c r="A89" s="10">
        <f t="shared" ref="A89:C89" si="109">IF(A23&gt;0,A23," ")</f>
        <v>10</v>
      </c>
      <c r="B89" s="10" t="str">
        <f t="shared" si="109"/>
        <v>Yue Ka Wan Rowenna</v>
      </c>
      <c r="C89" s="10" t="str">
        <f t="shared" si="109"/>
        <v>Part-time</v>
      </c>
      <c r="D89" s="27">
        <f t="shared" si="99"/>
        <v>35398.9</v>
      </c>
      <c r="E89" s="18">
        <f t="shared" si="102"/>
        <v>2487.1</v>
      </c>
      <c r="F89" s="18">
        <f t="shared" si="102"/>
        <v>2988.7</v>
      </c>
      <c r="G89" s="18">
        <f t="shared" si="102"/>
        <v>752.4</v>
      </c>
      <c r="H89" s="18">
        <f t="shared" si="102"/>
        <v>3155.9</v>
      </c>
      <c r="I89" s="18">
        <f t="shared" si="102"/>
        <v>3155.9</v>
      </c>
      <c r="J89" s="18">
        <f t="shared" si="102"/>
        <v>3155.9</v>
      </c>
      <c r="K89" s="18">
        <f t="shared" si="102"/>
        <v>3155.9</v>
      </c>
      <c r="L89" s="18">
        <f t="shared" si="102"/>
        <v>3155.9</v>
      </c>
      <c r="M89" s="18">
        <f t="shared" si="102"/>
        <v>3155.9</v>
      </c>
      <c r="N89" s="18">
        <f t="shared" si="102"/>
        <v>3155.9</v>
      </c>
      <c r="O89" s="18">
        <f t="shared" si="102"/>
        <v>3155.9</v>
      </c>
      <c r="P89" s="31">
        <f t="shared" si="102"/>
        <v>3155.9</v>
      </c>
      <c r="Q89" s="18">
        <f t="shared" si="102"/>
        <v>767.6</v>
      </c>
    </row>
    <row r="90" spans="1:17">
      <c r="D90" s="27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8"/>
    </row>
    <row r="91" spans="1:17">
      <c r="D91" s="23">
        <f>SUM(D81:D90)</f>
        <v>1732620.1079999998</v>
      </c>
      <c r="E91" s="23">
        <f t="shared" ref="E91" si="110">SUM(E81:E90)</f>
        <v>132209.28649999999</v>
      </c>
      <c r="F91" s="23">
        <f t="shared" ref="F91" si="111">SUM(F81:F90)</f>
        <v>130442.2865</v>
      </c>
      <c r="G91" s="23">
        <f t="shared" ref="G91" si="112">SUM(G81:G90)</f>
        <v>131216.21350000001</v>
      </c>
      <c r="H91" s="23">
        <f t="shared" ref="H91" si="113">SUM(H81:H90)</f>
        <v>143733.4135</v>
      </c>
      <c r="I91" s="23">
        <f t="shared" ref="I91" si="114">SUM(I81:I90)</f>
        <v>143733.4135</v>
      </c>
      <c r="J91" s="23">
        <f t="shared" ref="J91" si="115">SUM(J81:J90)</f>
        <v>143733.4135</v>
      </c>
      <c r="K91" s="23">
        <f t="shared" ref="K91" si="116">SUM(K81:K90)</f>
        <v>143733.4135</v>
      </c>
      <c r="L91" s="23">
        <f t="shared" ref="L91" si="117">SUM(L81:L90)</f>
        <v>143733.4135</v>
      </c>
      <c r="M91" s="23">
        <f t="shared" ref="M91" si="118">SUM(M81:M90)</f>
        <v>143733.4135</v>
      </c>
      <c r="N91" s="23">
        <f t="shared" ref="N91" si="119">SUM(N81:N90)</f>
        <v>143733.4135</v>
      </c>
      <c r="O91" s="23">
        <f t="shared" ref="O91" si="120">SUM(O81:O90)</f>
        <v>143733.4135</v>
      </c>
      <c r="P91" s="23">
        <f t="shared" ref="P91" si="121">SUM(P81:P90)</f>
        <v>143733.4135</v>
      </c>
      <c r="Q91" s="23">
        <f t="shared" ref="Q91" si="122">SUM(Q81:Q90)</f>
        <v>45151.6</v>
      </c>
    </row>
    <row r="92" spans="1:17">
      <c r="D92" s="25" t="s">
        <v>22</v>
      </c>
      <c r="E92" s="21" t="s">
        <v>22</v>
      </c>
      <c r="F92" s="21" t="s">
        <v>22</v>
      </c>
      <c r="G92" s="21" t="s">
        <v>22</v>
      </c>
      <c r="H92" s="21" t="s">
        <v>22</v>
      </c>
      <c r="I92" s="21" t="s">
        <v>22</v>
      </c>
      <c r="J92" s="21" t="s">
        <v>22</v>
      </c>
      <c r="K92" s="21" t="s">
        <v>22</v>
      </c>
      <c r="L92" s="21" t="s">
        <v>22</v>
      </c>
      <c r="M92" s="21" t="s">
        <v>22</v>
      </c>
      <c r="N92" s="21" t="s">
        <v>22</v>
      </c>
      <c r="O92" s="21" t="s">
        <v>22</v>
      </c>
      <c r="P92" s="21" t="s">
        <v>22</v>
      </c>
      <c r="Q92" s="21" t="s">
        <v>22</v>
      </c>
    </row>
    <row r="94" spans="1:17">
      <c r="O94" s="32" t="s">
        <v>27</v>
      </c>
    </row>
    <row r="95" spans="1:17">
      <c r="O95" s="33" t="s">
        <v>56</v>
      </c>
      <c r="P95" s="22">
        <f>SUM(P36:P44)</f>
        <v>7564.9165000000003</v>
      </c>
    </row>
    <row r="96" spans="1:17">
      <c r="O96" s="33" t="s">
        <v>53</v>
      </c>
      <c r="P96" s="22">
        <f>SUM(P57:P65)</f>
        <v>7564.9165000000003</v>
      </c>
    </row>
    <row r="97" spans="15:16">
      <c r="O97" s="33" t="s">
        <v>54</v>
      </c>
      <c r="P97" s="22">
        <f>P31+P52+P76</f>
        <v>51500</v>
      </c>
    </row>
    <row r="98" spans="15:16">
      <c r="O98" s="33" t="s">
        <v>55</v>
      </c>
      <c r="P98" s="22">
        <f>SUM(P81:P89)</f>
        <v>143733.4135</v>
      </c>
    </row>
    <row r="100" spans="15:16">
      <c r="P100" s="23">
        <f>SUM(P95:P98)</f>
        <v>210363.24650000001</v>
      </c>
    </row>
    <row r="101" spans="15:16">
      <c r="P101" s="21" t="s">
        <v>22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1DD7E-1416-429E-9792-49FA43C6D916}">
  <dimension ref="A1:B93"/>
  <sheetViews>
    <sheetView zoomScaleNormal="100" workbookViewId="0">
      <pane ySplit="1" topLeftCell="A56" activePane="bottomLeft" state="frozen"/>
      <selection pane="bottomLeft" activeCell="A62" sqref="A62"/>
    </sheetView>
  </sheetViews>
  <sheetFormatPr defaultRowHeight="12.75"/>
  <cols>
    <col min="1" max="1" width="26" style="36" bestFit="1" customWidth="1"/>
    <col min="2" max="2" width="10" style="36" bestFit="1" customWidth="1"/>
    <col min="3" max="256" width="9" style="35"/>
    <col min="257" max="257" width="26" style="35" bestFit="1" customWidth="1"/>
    <col min="258" max="258" width="10" style="35" bestFit="1" customWidth="1"/>
    <col min="259" max="512" width="9" style="35"/>
    <col min="513" max="513" width="26" style="35" bestFit="1" customWidth="1"/>
    <col min="514" max="514" width="10" style="35" bestFit="1" customWidth="1"/>
    <col min="515" max="768" width="9" style="35"/>
    <col min="769" max="769" width="26" style="35" bestFit="1" customWidth="1"/>
    <col min="770" max="770" width="10" style="35" bestFit="1" customWidth="1"/>
    <col min="771" max="1024" width="9" style="35"/>
    <col min="1025" max="1025" width="26" style="35" bestFit="1" customWidth="1"/>
    <col min="1026" max="1026" width="10" style="35" bestFit="1" customWidth="1"/>
    <col min="1027" max="1280" width="9" style="35"/>
    <col min="1281" max="1281" width="26" style="35" bestFit="1" customWidth="1"/>
    <col min="1282" max="1282" width="10" style="35" bestFit="1" customWidth="1"/>
    <col min="1283" max="1536" width="9" style="35"/>
    <col min="1537" max="1537" width="26" style="35" bestFit="1" customWidth="1"/>
    <col min="1538" max="1538" width="10" style="35" bestFit="1" customWidth="1"/>
    <col min="1539" max="1792" width="9" style="35"/>
    <col min="1793" max="1793" width="26" style="35" bestFit="1" customWidth="1"/>
    <col min="1794" max="1794" width="10" style="35" bestFit="1" customWidth="1"/>
    <col min="1795" max="2048" width="9" style="35"/>
    <col min="2049" max="2049" width="26" style="35" bestFit="1" customWidth="1"/>
    <col min="2050" max="2050" width="10" style="35" bestFit="1" customWidth="1"/>
    <col min="2051" max="2304" width="9" style="35"/>
    <col min="2305" max="2305" width="26" style="35" bestFit="1" customWidth="1"/>
    <col min="2306" max="2306" width="10" style="35" bestFit="1" customWidth="1"/>
    <col min="2307" max="2560" width="9" style="35"/>
    <col min="2561" max="2561" width="26" style="35" bestFit="1" customWidth="1"/>
    <col min="2562" max="2562" width="10" style="35" bestFit="1" customWidth="1"/>
    <col min="2563" max="2816" width="9" style="35"/>
    <col min="2817" max="2817" width="26" style="35" bestFit="1" customWidth="1"/>
    <col min="2818" max="2818" width="10" style="35" bestFit="1" customWidth="1"/>
    <col min="2819" max="3072" width="9" style="35"/>
    <col min="3073" max="3073" width="26" style="35" bestFit="1" customWidth="1"/>
    <col min="3074" max="3074" width="10" style="35" bestFit="1" customWidth="1"/>
    <col min="3075" max="3328" width="9" style="35"/>
    <col min="3329" max="3329" width="26" style="35" bestFit="1" customWidth="1"/>
    <col min="3330" max="3330" width="10" style="35" bestFit="1" customWidth="1"/>
    <col min="3331" max="3584" width="9" style="35"/>
    <col min="3585" max="3585" width="26" style="35" bestFit="1" customWidth="1"/>
    <col min="3586" max="3586" width="10" style="35" bestFit="1" customWidth="1"/>
    <col min="3587" max="3840" width="9" style="35"/>
    <col min="3841" max="3841" width="26" style="35" bestFit="1" customWidth="1"/>
    <col min="3842" max="3842" width="10" style="35" bestFit="1" customWidth="1"/>
    <col min="3843" max="4096" width="9" style="35"/>
    <col min="4097" max="4097" width="26" style="35" bestFit="1" customWidth="1"/>
    <col min="4098" max="4098" width="10" style="35" bestFit="1" customWidth="1"/>
    <col min="4099" max="4352" width="9" style="35"/>
    <col min="4353" max="4353" width="26" style="35" bestFit="1" customWidth="1"/>
    <col min="4354" max="4354" width="10" style="35" bestFit="1" customWidth="1"/>
    <col min="4355" max="4608" width="9" style="35"/>
    <col min="4609" max="4609" width="26" style="35" bestFit="1" customWidth="1"/>
    <col min="4610" max="4610" width="10" style="35" bestFit="1" customWidth="1"/>
    <col min="4611" max="4864" width="9" style="35"/>
    <col min="4865" max="4865" width="26" style="35" bestFit="1" customWidth="1"/>
    <col min="4866" max="4866" width="10" style="35" bestFit="1" customWidth="1"/>
    <col min="4867" max="5120" width="9" style="35"/>
    <col min="5121" max="5121" width="26" style="35" bestFit="1" customWidth="1"/>
    <col min="5122" max="5122" width="10" style="35" bestFit="1" customWidth="1"/>
    <col min="5123" max="5376" width="9" style="35"/>
    <col min="5377" max="5377" width="26" style="35" bestFit="1" customWidth="1"/>
    <col min="5378" max="5378" width="10" style="35" bestFit="1" customWidth="1"/>
    <col min="5379" max="5632" width="9" style="35"/>
    <col min="5633" max="5633" width="26" style="35" bestFit="1" customWidth="1"/>
    <col min="5634" max="5634" width="10" style="35" bestFit="1" customWidth="1"/>
    <col min="5635" max="5888" width="9" style="35"/>
    <col min="5889" max="5889" width="26" style="35" bestFit="1" customWidth="1"/>
    <col min="5890" max="5890" width="10" style="35" bestFit="1" customWidth="1"/>
    <col min="5891" max="6144" width="9" style="35"/>
    <col min="6145" max="6145" width="26" style="35" bestFit="1" customWidth="1"/>
    <col min="6146" max="6146" width="10" style="35" bestFit="1" customWidth="1"/>
    <col min="6147" max="6400" width="9" style="35"/>
    <col min="6401" max="6401" width="26" style="35" bestFit="1" customWidth="1"/>
    <col min="6402" max="6402" width="10" style="35" bestFit="1" customWidth="1"/>
    <col min="6403" max="6656" width="9" style="35"/>
    <col min="6657" max="6657" width="26" style="35" bestFit="1" customWidth="1"/>
    <col min="6658" max="6658" width="10" style="35" bestFit="1" customWidth="1"/>
    <col min="6659" max="6912" width="9" style="35"/>
    <col min="6913" max="6913" width="26" style="35" bestFit="1" customWidth="1"/>
    <col min="6914" max="6914" width="10" style="35" bestFit="1" customWidth="1"/>
    <col min="6915" max="7168" width="9" style="35"/>
    <col min="7169" max="7169" width="26" style="35" bestFit="1" customWidth="1"/>
    <col min="7170" max="7170" width="10" style="35" bestFit="1" customWidth="1"/>
    <col min="7171" max="7424" width="9" style="35"/>
    <col min="7425" max="7425" width="26" style="35" bestFit="1" customWidth="1"/>
    <col min="7426" max="7426" width="10" style="35" bestFit="1" customWidth="1"/>
    <col min="7427" max="7680" width="9" style="35"/>
    <col min="7681" max="7681" width="26" style="35" bestFit="1" customWidth="1"/>
    <col min="7682" max="7682" width="10" style="35" bestFit="1" customWidth="1"/>
    <col min="7683" max="7936" width="9" style="35"/>
    <col min="7937" max="7937" width="26" style="35" bestFit="1" customWidth="1"/>
    <col min="7938" max="7938" width="10" style="35" bestFit="1" customWidth="1"/>
    <col min="7939" max="8192" width="9" style="35"/>
    <col min="8193" max="8193" width="26" style="35" bestFit="1" customWidth="1"/>
    <col min="8194" max="8194" width="10" style="35" bestFit="1" customWidth="1"/>
    <col min="8195" max="8448" width="9" style="35"/>
    <col min="8449" max="8449" width="26" style="35" bestFit="1" customWidth="1"/>
    <col min="8450" max="8450" width="10" style="35" bestFit="1" customWidth="1"/>
    <col min="8451" max="8704" width="9" style="35"/>
    <col min="8705" max="8705" width="26" style="35" bestFit="1" customWidth="1"/>
    <col min="8706" max="8706" width="10" style="35" bestFit="1" customWidth="1"/>
    <col min="8707" max="8960" width="9" style="35"/>
    <col min="8961" max="8961" width="26" style="35" bestFit="1" customWidth="1"/>
    <col min="8962" max="8962" width="10" style="35" bestFit="1" customWidth="1"/>
    <col min="8963" max="9216" width="9" style="35"/>
    <col min="9217" max="9217" width="26" style="35" bestFit="1" customWidth="1"/>
    <col min="9218" max="9218" width="10" style="35" bestFit="1" customWidth="1"/>
    <col min="9219" max="9472" width="9" style="35"/>
    <col min="9473" max="9473" width="26" style="35" bestFit="1" customWidth="1"/>
    <col min="9474" max="9474" width="10" style="35" bestFit="1" customWidth="1"/>
    <col min="9475" max="9728" width="9" style="35"/>
    <col min="9729" max="9729" width="26" style="35" bestFit="1" customWidth="1"/>
    <col min="9730" max="9730" width="10" style="35" bestFit="1" customWidth="1"/>
    <col min="9731" max="9984" width="9" style="35"/>
    <col min="9985" max="9985" width="26" style="35" bestFit="1" customWidth="1"/>
    <col min="9986" max="9986" width="10" style="35" bestFit="1" customWidth="1"/>
    <col min="9987" max="10240" width="9" style="35"/>
    <col min="10241" max="10241" width="26" style="35" bestFit="1" customWidth="1"/>
    <col min="10242" max="10242" width="10" style="35" bestFit="1" customWidth="1"/>
    <col min="10243" max="10496" width="9" style="35"/>
    <col min="10497" max="10497" width="26" style="35" bestFit="1" customWidth="1"/>
    <col min="10498" max="10498" width="10" style="35" bestFit="1" customWidth="1"/>
    <col min="10499" max="10752" width="9" style="35"/>
    <col min="10753" max="10753" width="26" style="35" bestFit="1" customWidth="1"/>
    <col min="10754" max="10754" width="10" style="35" bestFit="1" customWidth="1"/>
    <col min="10755" max="11008" width="9" style="35"/>
    <col min="11009" max="11009" width="26" style="35" bestFit="1" customWidth="1"/>
    <col min="11010" max="11010" width="10" style="35" bestFit="1" customWidth="1"/>
    <col min="11011" max="11264" width="9" style="35"/>
    <col min="11265" max="11265" width="26" style="35" bestFit="1" customWidth="1"/>
    <col min="11266" max="11266" width="10" style="35" bestFit="1" customWidth="1"/>
    <col min="11267" max="11520" width="9" style="35"/>
    <col min="11521" max="11521" width="26" style="35" bestFit="1" customWidth="1"/>
    <col min="11522" max="11522" width="10" style="35" bestFit="1" customWidth="1"/>
    <col min="11523" max="11776" width="9" style="35"/>
    <col min="11777" max="11777" width="26" style="35" bestFit="1" customWidth="1"/>
    <col min="11778" max="11778" width="10" style="35" bestFit="1" customWidth="1"/>
    <col min="11779" max="12032" width="9" style="35"/>
    <col min="12033" max="12033" width="26" style="35" bestFit="1" customWidth="1"/>
    <col min="12034" max="12034" width="10" style="35" bestFit="1" customWidth="1"/>
    <col min="12035" max="12288" width="9" style="35"/>
    <col min="12289" max="12289" width="26" style="35" bestFit="1" customWidth="1"/>
    <col min="12290" max="12290" width="10" style="35" bestFit="1" customWidth="1"/>
    <col min="12291" max="12544" width="9" style="35"/>
    <col min="12545" max="12545" width="26" style="35" bestFit="1" customWidth="1"/>
    <col min="12546" max="12546" width="10" style="35" bestFit="1" customWidth="1"/>
    <col min="12547" max="12800" width="9" style="35"/>
    <col min="12801" max="12801" width="26" style="35" bestFit="1" customWidth="1"/>
    <col min="12802" max="12802" width="10" style="35" bestFit="1" customWidth="1"/>
    <col min="12803" max="13056" width="9" style="35"/>
    <col min="13057" max="13057" width="26" style="35" bestFit="1" customWidth="1"/>
    <col min="13058" max="13058" width="10" style="35" bestFit="1" customWidth="1"/>
    <col min="13059" max="13312" width="9" style="35"/>
    <col min="13313" max="13313" width="26" style="35" bestFit="1" customWidth="1"/>
    <col min="13314" max="13314" width="10" style="35" bestFit="1" customWidth="1"/>
    <col min="13315" max="13568" width="9" style="35"/>
    <col min="13569" max="13569" width="26" style="35" bestFit="1" customWidth="1"/>
    <col min="13570" max="13570" width="10" style="35" bestFit="1" customWidth="1"/>
    <col min="13571" max="13824" width="9" style="35"/>
    <col min="13825" max="13825" width="26" style="35" bestFit="1" customWidth="1"/>
    <col min="13826" max="13826" width="10" style="35" bestFit="1" customWidth="1"/>
    <col min="13827" max="14080" width="9" style="35"/>
    <col min="14081" max="14081" width="26" style="35" bestFit="1" customWidth="1"/>
    <col min="14082" max="14082" width="10" style="35" bestFit="1" customWidth="1"/>
    <col min="14083" max="14336" width="9" style="35"/>
    <col min="14337" max="14337" width="26" style="35" bestFit="1" customWidth="1"/>
    <col min="14338" max="14338" width="10" style="35" bestFit="1" customWidth="1"/>
    <col min="14339" max="14592" width="9" style="35"/>
    <col min="14593" max="14593" width="26" style="35" bestFit="1" customWidth="1"/>
    <col min="14594" max="14594" width="10" style="35" bestFit="1" customWidth="1"/>
    <col min="14595" max="14848" width="9" style="35"/>
    <col min="14849" max="14849" width="26" style="35" bestFit="1" customWidth="1"/>
    <col min="14850" max="14850" width="10" style="35" bestFit="1" customWidth="1"/>
    <col min="14851" max="15104" width="9" style="35"/>
    <col min="15105" max="15105" width="26" style="35" bestFit="1" customWidth="1"/>
    <col min="15106" max="15106" width="10" style="35" bestFit="1" customWidth="1"/>
    <col min="15107" max="15360" width="9" style="35"/>
    <col min="15361" max="15361" width="26" style="35" bestFit="1" customWidth="1"/>
    <col min="15362" max="15362" width="10" style="35" bestFit="1" customWidth="1"/>
    <col min="15363" max="15616" width="9" style="35"/>
    <col min="15617" max="15617" width="26" style="35" bestFit="1" customWidth="1"/>
    <col min="15618" max="15618" width="10" style="35" bestFit="1" customWidth="1"/>
    <col min="15619" max="15872" width="9" style="35"/>
    <col min="15873" max="15873" width="26" style="35" bestFit="1" customWidth="1"/>
    <col min="15874" max="15874" width="10" style="35" bestFit="1" customWidth="1"/>
    <col min="15875" max="16128" width="9" style="35"/>
    <col min="16129" max="16129" width="26" style="35" bestFit="1" customWidth="1"/>
    <col min="16130" max="16130" width="10" style="35" bestFit="1" customWidth="1"/>
    <col min="16131" max="16384" width="9" style="35"/>
  </cols>
  <sheetData>
    <row r="1" spans="1:2">
      <c r="A1" s="34" t="s">
        <v>57</v>
      </c>
      <c r="B1" s="34" t="s">
        <v>58</v>
      </c>
    </row>
    <row r="2" spans="1:2">
      <c r="A2" s="36" t="s">
        <v>60</v>
      </c>
      <c r="B2" s="37">
        <v>1000</v>
      </c>
    </row>
    <row r="3" spans="1:2">
      <c r="A3" s="36" t="s">
        <v>61</v>
      </c>
      <c r="B3" s="37">
        <v>1010</v>
      </c>
    </row>
    <row r="4" spans="1:2">
      <c r="A4" s="36" t="s">
        <v>164</v>
      </c>
      <c r="B4" s="37">
        <v>1020</v>
      </c>
    </row>
    <row r="5" spans="1:2">
      <c r="A5" s="36" t="s">
        <v>62</v>
      </c>
      <c r="B5" s="37">
        <v>1030</v>
      </c>
    </row>
    <row r="6" spans="1:2">
      <c r="A6" s="36" t="s">
        <v>63</v>
      </c>
      <c r="B6" s="37">
        <v>1080</v>
      </c>
    </row>
    <row r="7" spans="1:2">
      <c r="A7" s="36" t="s">
        <v>59</v>
      </c>
      <c r="B7" s="37">
        <v>1090</v>
      </c>
    </row>
    <row r="8" spans="1:2">
      <c r="A8" s="36" t="s">
        <v>64</v>
      </c>
      <c r="B8" s="37">
        <v>1100</v>
      </c>
    </row>
    <row r="9" spans="1:2">
      <c r="A9" s="36" t="s">
        <v>65</v>
      </c>
      <c r="B9" s="37">
        <v>1120</v>
      </c>
    </row>
    <row r="10" spans="1:2">
      <c r="A10" s="36" t="s">
        <v>165</v>
      </c>
      <c r="B10" s="37">
        <v>1130</v>
      </c>
    </row>
    <row r="11" spans="1:2">
      <c r="A11" s="36" t="s">
        <v>66</v>
      </c>
      <c r="B11" s="37">
        <v>1150</v>
      </c>
    </row>
    <row r="12" spans="1:2">
      <c r="A12" s="36" t="s">
        <v>67</v>
      </c>
      <c r="B12" s="37">
        <v>1200</v>
      </c>
    </row>
    <row r="13" spans="1:2">
      <c r="A13" s="36" t="s">
        <v>68</v>
      </c>
      <c r="B13" s="37">
        <v>1300</v>
      </c>
    </row>
    <row r="14" spans="1:2">
      <c r="A14" s="36" t="s">
        <v>69</v>
      </c>
      <c r="B14" s="37">
        <v>1400</v>
      </c>
    </row>
    <row r="15" spans="1:2">
      <c r="A15" s="36" t="s">
        <v>70</v>
      </c>
      <c r="B15" s="37">
        <v>1500</v>
      </c>
    </row>
    <row r="16" spans="1:2">
      <c r="A16" s="36" t="s">
        <v>71</v>
      </c>
      <c r="B16" s="37">
        <v>1550</v>
      </c>
    </row>
    <row r="17" spans="1:2">
      <c r="A17" s="36" t="s">
        <v>166</v>
      </c>
      <c r="B17" s="37">
        <v>1600</v>
      </c>
    </row>
    <row r="18" spans="1:2">
      <c r="A18" s="36" t="s">
        <v>72</v>
      </c>
      <c r="B18" s="37">
        <v>1650</v>
      </c>
    </row>
    <row r="19" spans="1:2">
      <c r="A19" s="36" t="s">
        <v>73</v>
      </c>
      <c r="B19" s="37">
        <v>1700</v>
      </c>
    </row>
    <row r="20" spans="1:2">
      <c r="A20" s="36" t="s">
        <v>167</v>
      </c>
      <c r="B20" s="37">
        <v>1750</v>
      </c>
    </row>
    <row r="21" spans="1:2">
      <c r="A21" s="36" t="s">
        <v>74</v>
      </c>
      <c r="B21" s="37">
        <v>1900</v>
      </c>
    </row>
    <row r="22" spans="1:2">
      <c r="A22" s="36" t="s">
        <v>75</v>
      </c>
      <c r="B22" s="37">
        <v>1950</v>
      </c>
    </row>
    <row r="23" spans="1:2">
      <c r="A23" s="36" t="s">
        <v>76</v>
      </c>
      <c r="B23" s="37">
        <v>2000</v>
      </c>
    </row>
    <row r="24" spans="1:2">
      <c r="A24" s="36" t="s">
        <v>77</v>
      </c>
      <c r="B24" s="37">
        <v>2050</v>
      </c>
    </row>
    <row r="25" spans="1:2">
      <c r="A25" s="36" t="s">
        <v>78</v>
      </c>
      <c r="B25" s="37">
        <v>2100</v>
      </c>
    </row>
    <row r="26" spans="1:2">
      <c r="A26" s="36" t="s">
        <v>79</v>
      </c>
      <c r="B26" s="37">
        <v>2200</v>
      </c>
    </row>
    <row r="27" spans="1:2">
      <c r="A27" s="36" t="s">
        <v>80</v>
      </c>
      <c r="B27" s="37">
        <v>2400</v>
      </c>
    </row>
    <row r="28" spans="1:2">
      <c r="A28" s="36" t="s">
        <v>81</v>
      </c>
      <c r="B28" s="37">
        <v>2500</v>
      </c>
    </row>
    <row r="29" spans="1:2">
      <c r="A29" s="36" t="s">
        <v>82</v>
      </c>
      <c r="B29" s="37">
        <v>2700</v>
      </c>
    </row>
    <row r="30" spans="1:2">
      <c r="A30" s="36" t="s">
        <v>83</v>
      </c>
      <c r="B30" s="37">
        <v>2800</v>
      </c>
    </row>
    <row r="31" spans="1:2">
      <c r="A31" s="36" t="s">
        <v>168</v>
      </c>
      <c r="B31" s="37">
        <v>2900</v>
      </c>
    </row>
    <row r="32" spans="1:2">
      <c r="A32" s="36" t="s">
        <v>84</v>
      </c>
      <c r="B32" s="37">
        <v>3910</v>
      </c>
    </row>
    <row r="33" spans="1:2">
      <c r="A33" s="36" t="s">
        <v>169</v>
      </c>
      <c r="B33" s="37">
        <v>3920</v>
      </c>
    </row>
    <row r="34" spans="1:2">
      <c r="A34" s="36" t="s">
        <v>85</v>
      </c>
      <c r="B34" s="37">
        <v>3930</v>
      </c>
    </row>
    <row r="35" spans="1:2">
      <c r="A35" s="36" t="s">
        <v>86</v>
      </c>
      <c r="B35" s="37">
        <v>4000</v>
      </c>
    </row>
    <row r="36" spans="1:2">
      <c r="A36" s="36" t="s">
        <v>87</v>
      </c>
      <c r="B36" s="37">
        <v>4050</v>
      </c>
    </row>
    <row r="37" spans="1:2">
      <c r="A37" s="36" t="s">
        <v>170</v>
      </c>
      <c r="B37" s="37">
        <v>4100</v>
      </c>
    </row>
    <row r="38" spans="1:2">
      <c r="A38" s="36" t="s">
        <v>88</v>
      </c>
      <c r="B38" s="37">
        <v>4200</v>
      </c>
    </row>
    <row r="39" spans="1:2">
      <c r="A39" s="36" t="s">
        <v>89</v>
      </c>
      <c r="B39" s="37">
        <v>4300</v>
      </c>
    </row>
    <row r="40" spans="1:2">
      <c r="A40" s="36" t="s">
        <v>171</v>
      </c>
      <c r="B40" s="37">
        <v>4900</v>
      </c>
    </row>
    <row r="41" spans="1:2">
      <c r="A41" s="36" t="s">
        <v>90</v>
      </c>
      <c r="B41" s="37">
        <v>5000</v>
      </c>
    </row>
    <row r="42" spans="1:2">
      <c r="A42" s="36" t="s">
        <v>91</v>
      </c>
      <c r="B42" s="37">
        <v>5100</v>
      </c>
    </row>
    <row r="43" spans="1:2">
      <c r="A43" s="36" t="s">
        <v>92</v>
      </c>
      <c r="B43" s="37">
        <v>5200</v>
      </c>
    </row>
    <row r="44" spans="1:2">
      <c r="A44" s="36" t="s">
        <v>93</v>
      </c>
      <c r="B44" s="37">
        <v>5300</v>
      </c>
    </row>
    <row r="45" spans="1:2">
      <c r="A45" s="36" t="s">
        <v>172</v>
      </c>
      <c r="B45" s="37">
        <v>5310</v>
      </c>
    </row>
    <row r="46" spans="1:2">
      <c r="A46" s="36" t="s">
        <v>173</v>
      </c>
      <c r="B46" s="37">
        <v>5320</v>
      </c>
    </row>
    <row r="47" spans="1:2">
      <c r="A47" s="36" t="s">
        <v>94</v>
      </c>
      <c r="B47" s="37">
        <v>5400</v>
      </c>
    </row>
    <row r="48" spans="1:2">
      <c r="A48" s="36" t="s">
        <v>96</v>
      </c>
      <c r="B48" s="37">
        <v>5800</v>
      </c>
    </row>
    <row r="49" spans="1:2">
      <c r="A49" s="36" t="s">
        <v>97</v>
      </c>
      <c r="B49" s="37">
        <v>5900</v>
      </c>
    </row>
    <row r="50" spans="1:2">
      <c r="A50" s="36" t="s">
        <v>98</v>
      </c>
      <c r="B50" s="37">
        <v>6000</v>
      </c>
    </row>
    <row r="51" spans="1:2">
      <c r="A51" s="36" t="s">
        <v>99</v>
      </c>
      <c r="B51" s="37">
        <v>6050</v>
      </c>
    </row>
    <row r="52" spans="1:2">
      <c r="A52" s="36" t="s">
        <v>100</v>
      </c>
      <c r="B52" s="37">
        <v>6100</v>
      </c>
    </row>
    <row r="53" spans="1:2">
      <c r="A53" s="36" t="s">
        <v>174</v>
      </c>
      <c r="B53" s="37">
        <v>6110</v>
      </c>
    </row>
    <row r="54" spans="1:2">
      <c r="A54" s="36" t="s">
        <v>101</v>
      </c>
      <c r="B54" s="37">
        <v>6150</v>
      </c>
    </row>
    <row r="55" spans="1:2">
      <c r="A55" s="36" t="s">
        <v>102</v>
      </c>
      <c r="B55" s="37">
        <v>6200</v>
      </c>
    </row>
    <row r="56" spans="1:2">
      <c r="A56" s="36" t="s">
        <v>175</v>
      </c>
      <c r="B56" s="37">
        <v>6220</v>
      </c>
    </row>
    <row r="57" spans="1:2">
      <c r="A57" s="36" t="s">
        <v>103</v>
      </c>
      <c r="B57" s="37">
        <v>6250</v>
      </c>
    </row>
    <row r="58" spans="1:2">
      <c r="A58" s="36" t="s">
        <v>104</v>
      </c>
      <c r="B58" s="37">
        <v>6300</v>
      </c>
    </row>
    <row r="59" spans="1:2">
      <c r="A59" s="36" t="s">
        <v>176</v>
      </c>
      <c r="B59" s="37">
        <v>6310</v>
      </c>
    </row>
    <row r="60" spans="1:2">
      <c r="A60" s="36" t="s">
        <v>105</v>
      </c>
      <c r="B60" s="37">
        <v>6350</v>
      </c>
    </row>
    <row r="61" spans="1:2">
      <c r="A61" s="36" t="s">
        <v>106</v>
      </c>
      <c r="B61" s="37">
        <v>6400</v>
      </c>
    </row>
    <row r="62" spans="1:2">
      <c r="A62" s="36" t="s">
        <v>107</v>
      </c>
      <c r="B62" s="37">
        <v>6450</v>
      </c>
    </row>
    <row r="63" spans="1:2">
      <c r="A63" s="36" t="s">
        <v>108</v>
      </c>
      <c r="B63" s="37">
        <v>6500</v>
      </c>
    </row>
    <row r="64" spans="1:2">
      <c r="A64" s="36" t="s">
        <v>109</v>
      </c>
      <c r="B64" s="37">
        <v>6550</v>
      </c>
    </row>
    <row r="65" spans="1:2">
      <c r="A65" s="36" t="s">
        <v>110</v>
      </c>
      <c r="B65" s="37">
        <v>6580</v>
      </c>
    </row>
    <row r="66" spans="1:2">
      <c r="A66" s="36" t="s">
        <v>111</v>
      </c>
      <c r="B66" s="37">
        <v>6600</v>
      </c>
    </row>
    <row r="67" spans="1:2">
      <c r="A67" s="36" t="s">
        <v>112</v>
      </c>
      <c r="B67" s="37">
        <v>6650</v>
      </c>
    </row>
    <row r="68" spans="1:2">
      <c r="A68" s="36" t="s">
        <v>113</v>
      </c>
      <c r="B68" s="37">
        <v>6700</v>
      </c>
    </row>
    <row r="69" spans="1:2">
      <c r="A69" s="36" t="s">
        <v>114</v>
      </c>
      <c r="B69" s="37">
        <v>6750</v>
      </c>
    </row>
    <row r="70" spans="1:2">
      <c r="A70" s="36" t="s">
        <v>115</v>
      </c>
      <c r="B70" s="37">
        <v>6780</v>
      </c>
    </row>
    <row r="71" spans="1:2">
      <c r="A71" s="36" t="s">
        <v>116</v>
      </c>
      <c r="B71" s="37">
        <v>6800</v>
      </c>
    </row>
    <row r="72" spans="1:2">
      <c r="A72" s="36" t="s">
        <v>117</v>
      </c>
      <c r="B72" s="37">
        <v>6850</v>
      </c>
    </row>
    <row r="73" spans="1:2">
      <c r="A73" s="36" t="s">
        <v>118</v>
      </c>
      <c r="B73" s="37">
        <v>6900</v>
      </c>
    </row>
    <row r="74" spans="1:2">
      <c r="A74" s="36" t="s">
        <v>119</v>
      </c>
      <c r="B74" s="37">
        <v>6950</v>
      </c>
    </row>
    <row r="75" spans="1:2">
      <c r="A75" s="36" t="s">
        <v>120</v>
      </c>
      <c r="B75" s="37">
        <v>7000</v>
      </c>
    </row>
    <row r="76" spans="1:2">
      <c r="A76" s="36" t="s">
        <v>121</v>
      </c>
      <c r="B76" s="37">
        <v>7050</v>
      </c>
    </row>
    <row r="77" spans="1:2">
      <c r="A77" s="36" t="s">
        <v>122</v>
      </c>
      <c r="B77" s="37">
        <v>7100</v>
      </c>
    </row>
    <row r="78" spans="1:2">
      <c r="A78" s="36" t="s">
        <v>123</v>
      </c>
      <c r="B78" s="37">
        <v>7150</v>
      </c>
    </row>
    <row r="79" spans="1:2">
      <c r="A79" s="36" t="s">
        <v>124</v>
      </c>
      <c r="B79" s="37">
        <v>7200</v>
      </c>
    </row>
    <row r="80" spans="1:2">
      <c r="A80" s="36" t="s">
        <v>125</v>
      </c>
      <c r="B80" s="37">
        <v>7250</v>
      </c>
    </row>
    <row r="81" spans="1:2">
      <c r="A81" s="36" t="s">
        <v>126</v>
      </c>
      <c r="B81" s="37">
        <v>7300</v>
      </c>
    </row>
    <row r="82" spans="1:2">
      <c r="A82" s="36" t="s">
        <v>177</v>
      </c>
      <c r="B82" s="37">
        <v>7310</v>
      </c>
    </row>
    <row r="83" spans="1:2">
      <c r="A83" s="36" t="s">
        <v>127</v>
      </c>
      <c r="B83" s="37">
        <v>7350</v>
      </c>
    </row>
    <row r="84" spans="1:2">
      <c r="A84" s="36" t="s">
        <v>128</v>
      </c>
      <c r="B84" s="37">
        <v>7400</v>
      </c>
    </row>
    <row r="85" spans="1:2">
      <c r="A85" s="36" t="s">
        <v>129</v>
      </c>
      <c r="B85" s="37">
        <v>7450</v>
      </c>
    </row>
    <row r="86" spans="1:2">
      <c r="A86" s="36" t="s">
        <v>178</v>
      </c>
      <c r="B86" s="37">
        <v>7460</v>
      </c>
    </row>
    <row r="87" spans="1:2">
      <c r="A87" s="36" t="s">
        <v>130</v>
      </c>
      <c r="B87" s="37">
        <v>7500</v>
      </c>
    </row>
    <row r="88" spans="1:2">
      <c r="A88" s="36" t="s">
        <v>131</v>
      </c>
      <c r="B88" s="37">
        <v>7550</v>
      </c>
    </row>
    <row r="89" spans="1:2">
      <c r="A89" s="36" t="s">
        <v>132</v>
      </c>
      <c r="B89" s="37">
        <v>8000</v>
      </c>
    </row>
    <row r="90" spans="1:2">
      <c r="A90" s="36" t="s">
        <v>133</v>
      </c>
      <c r="B90" s="37">
        <v>8100</v>
      </c>
    </row>
    <row r="91" spans="1:2">
      <c r="A91" s="36" t="s">
        <v>134</v>
      </c>
      <c r="B91" s="37">
        <v>8200</v>
      </c>
    </row>
    <row r="92" spans="1:2">
      <c r="A92" s="36" t="s">
        <v>95</v>
      </c>
      <c r="B92" s="37">
        <v>8500</v>
      </c>
    </row>
    <row r="93" spans="1:2" ht="13.5" thickBot="1">
      <c r="A93" s="38" t="s">
        <v>135</v>
      </c>
      <c r="B93" s="39">
        <v>9000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Master Pg</vt:lpstr>
      <vt:lpstr>Trade Receivables</vt:lpstr>
      <vt:lpstr>Trade payables</vt:lpstr>
      <vt:lpstr>Accruals</vt:lpstr>
      <vt:lpstr>Salaries &amp; MPF</vt:lpstr>
      <vt:lpstr>Chart of 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Dennis Mak</cp:lastModifiedBy>
  <dcterms:created xsi:type="dcterms:W3CDTF">2024-03-21T07:46:51Z</dcterms:created>
  <dcterms:modified xsi:type="dcterms:W3CDTF">2026-06-23T08:11:51Z</dcterms:modified>
</cp:coreProperties>
</file>