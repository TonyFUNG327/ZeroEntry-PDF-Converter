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01-Client\I026-International Data Industry Alliance Ltd (aka. Institute of Big Data Governance Ltd)\001-Acc &amp; Audit\I026-Account 31.12.25\"/>
    </mc:Choice>
  </mc:AlternateContent>
  <xr:revisionPtr revIDLastSave="0" documentId="13_ncr:1_{78CE7521-83E3-428B-B5E8-A6BA15FBD30A}" xr6:coauthVersionLast="47" xr6:coauthVersionMax="47" xr10:uidLastSave="{00000000-0000-0000-0000-000000000000}"/>
  <bookViews>
    <workbookView xWindow="1170" yWindow="1170" windowWidth="12255" windowHeight="10920" xr2:uid="{EFDDF48E-5433-4F20-A37A-0B60A9A87F98}"/>
  </bookViews>
  <sheets>
    <sheet name="TB 31.12.25" sheetId="1" r:id="rId1"/>
    <sheet name="GL 31.12.25" sheetId="2" r:id="rId2"/>
    <sheet name="PL 31.12.25" sheetId="3" r:id="rId3"/>
    <sheet name="BS 31.12.25" sheetId="4" r:id="rId4"/>
  </sheets>
  <definedNames>
    <definedName name="_xlnm.Print_Titles" localSheetId="3">'BS 31.12.25'!$1:$1</definedName>
    <definedName name="_xlnm.Print_Titles" localSheetId="1">'GL 31.12.25'!$1:$1</definedName>
    <definedName name="_xlnm.Print_Titles" localSheetId="2">'PL 31.12.25'!$1:$1</definedName>
    <definedName name="_xlnm.Print_Titles" localSheetId="0">'TB 31.12.25'!$1:$1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6" i="4" l="1"/>
  <c r="C44" i="4"/>
  <c r="C38" i="4"/>
  <c r="C36" i="4"/>
  <c r="C32" i="4"/>
  <c r="C22" i="4"/>
  <c r="C20" i="4"/>
  <c r="C16" i="4"/>
  <c r="C10" i="4"/>
  <c r="E27" i="3"/>
  <c r="D27" i="3"/>
  <c r="C27" i="3"/>
  <c r="B27" i="3"/>
  <c r="E25" i="3"/>
  <c r="D25" i="3"/>
  <c r="C25" i="3"/>
  <c r="B25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3" i="3"/>
  <c r="D13" i="3"/>
  <c r="C13" i="3"/>
  <c r="B13" i="3"/>
  <c r="E11" i="3"/>
  <c r="D11" i="3"/>
  <c r="C11" i="3"/>
  <c r="B11" i="3"/>
  <c r="E6" i="3"/>
  <c r="D6" i="3"/>
  <c r="C6" i="3"/>
  <c r="B6" i="3"/>
  <c r="E4" i="3"/>
  <c r="C4" i="3"/>
  <c r="E3" i="3"/>
  <c r="C3" i="3"/>
  <c r="I168" i="2" l="1"/>
  <c r="I167" i="2"/>
  <c r="I159" i="2"/>
  <c r="I158" i="2"/>
  <c r="I154" i="2"/>
  <c r="I153" i="2"/>
  <c r="I150" i="2"/>
  <c r="I149" i="2"/>
  <c r="I146" i="2"/>
  <c r="I145" i="2"/>
  <c r="I142" i="2"/>
  <c r="I141" i="2"/>
  <c r="I137" i="2"/>
  <c r="I136" i="2"/>
  <c r="I133" i="2"/>
  <c r="I132" i="2"/>
  <c r="I129" i="2"/>
  <c r="I128" i="2"/>
  <c r="I114" i="2"/>
  <c r="I113" i="2"/>
  <c r="I103" i="2"/>
  <c r="I102" i="2"/>
  <c r="I99" i="2"/>
  <c r="I98" i="2"/>
  <c r="I91" i="2"/>
  <c r="I90" i="2"/>
  <c r="I78" i="2"/>
  <c r="I77" i="2"/>
  <c r="I74" i="2"/>
  <c r="I73" i="2"/>
  <c r="I70" i="2"/>
  <c r="I69" i="2"/>
  <c r="I64" i="2"/>
  <c r="I63" i="2"/>
  <c r="I56" i="2"/>
  <c r="I52" i="2"/>
  <c r="I48" i="2"/>
  <c r="I47" i="2"/>
  <c r="I23" i="2"/>
  <c r="I22" i="2"/>
  <c r="D22" i="1"/>
  <c r="C22" i="1"/>
</calcChain>
</file>

<file path=xl/sharedStrings.xml><?xml version="1.0" encoding="utf-8"?>
<sst xmlns="http://schemas.openxmlformats.org/spreadsheetml/2006/main" count="1071" uniqueCount="196">
  <si>
    <t>Account ID</t>
  </si>
  <si>
    <t>Account Description</t>
  </si>
  <si>
    <t>Debit Amt</t>
  </si>
  <si>
    <t>Credit Amt</t>
  </si>
  <si>
    <t>1010</t>
  </si>
  <si>
    <t>NCB HKD CA</t>
  </si>
  <si>
    <t>1020</t>
  </si>
  <si>
    <t>NCB HKD SA</t>
  </si>
  <si>
    <t>1100</t>
  </si>
  <si>
    <t>Trade receivable</t>
  </si>
  <si>
    <t>1300</t>
  </si>
  <si>
    <t>Prepayment</t>
  </si>
  <si>
    <t>1800</t>
  </si>
  <si>
    <t>Office equipment</t>
  </si>
  <si>
    <t>1850</t>
  </si>
  <si>
    <t>Accum Depreciation-OE</t>
  </si>
  <si>
    <t>2100</t>
  </si>
  <si>
    <t>Receipt in advance</t>
  </si>
  <si>
    <t>2200</t>
  </si>
  <si>
    <t>Accruals</t>
  </si>
  <si>
    <t>3910</t>
  </si>
  <si>
    <t>Retained Earnings</t>
  </si>
  <si>
    <t>4000</t>
  </si>
  <si>
    <t>Membership fee income</t>
  </si>
  <si>
    <t>4100</t>
  </si>
  <si>
    <t>Bank interest income</t>
  </si>
  <si>
    <t>6000</t>
  </si>
  <si>
    <t>Accounting fee</t>
  </si>
  <si>
    <t>6100</t>
  </si>
  <si>
    <t>Auditor's remuneration</t>
  </si>
  <si>
    <t>6200</t>
  </si>
  <si>
    <t>Bank charges</t>
  </si>
  <si>
    <t>6330</t>
  </si>
  <si>
    <t>Company secretarial fee</t>
  </si>
  <si>
    <t>6350</t>
  </si>
  <si>
    <t>Computer accessories</t>
  </si>
  <si>
    <t>6550</t>
  </si>
  <si>
    <t>Entertainment</t>
  </si>
  <si>
    <t>6680</t>
  </si>
  <si>
    <t>Legal and professional fee</t>
  </si>
  <si>
    <t>7550</t>
  </si>
  <si>
    <t>Web hosting fee</t>
  </si>
  <si>
    <t/>
  </si>
  <si>
    <t>Total:</t>
  </si>
  <si>
    <t>Date</t>
  </si>
  <si>
    <t>Reference</t>
  </si>
  <si>
    <t>Jrnl</t>
  </si>
  <si>
    <t>Trans Description</t>
  </si>
  <si>
    <t>Balance</t>
  </si>
  <si>
    <t>Beginning Balance</t>
  </si>
  <si>
    <t>Opening balance</t>
  </si>
  <si>
    <t>GENJ</t>
  </si>
  <si>
    <t>Opening balance - NCB HKD CA</t>
  </si>
  <si>
    <t>NCB HKD CA-2501-001</t>
  </si>
  <si>
    <t>Accruals:000773</t>
  </si>
  <si>
    <t>22/2/25</t>
  </si>
  <si>
    <t>NCB HKD CA-2502-001</t>
  </si>
  <si>
    <t>Web hosting fee:000877 - WIX.com Website Designing and Hosting Services</t>
  </si>
  <si>
    <t>NCB HKD CA-2502-002</t>
  </si>
  <si>
    <t>Legal and professional fee:000775 - Lee &amp; Yu Corporate Services Limited - Debit Note C09080-s.88 services</t>
  </si>
  <si>
    <t>NCB HKD CA-2503-001</t>
  </si>
  <si>
    <t>Web hosting fee:000876 - mCommerce - Amazon Web Services - 2025 January 1 to January 31</t>
  </si>
  <si>
    <t>NCB HKD CA-2503-002</t>
  </si>
  <si>
    <t>Accruals:000774</t>
  </si>
  <si>
    <t>14/3/25</t>
  </si>
  <si>
    <t>NCB HKD CA-2503-003</t>
  </si>
  <si>
    <t>Accruals:000880 - 2024 Autid and Accounting</t>
  </si>
  <si>
    <t>NCB HKD CA-2503-004</t>
  </si>
  <si>
    <t>Legal and professional fee:000878 - Lee &amp; Yu Corporate Services Limited - Debit Note C09092 - trademark registration</t>
  </si>
  <si>
    <t>15/3/25</t>
  </si>
  <si>
    <t>NCB HKD CA-2503-005</t>
  </si>
  <si>
    <t>Web hosting fee:000879 - mCommerce - Amazon Web Services - 2025 February 1 to February 28</t>
  </si>
  <si>
    <t>18/3/25</t>
  </si>
  <si>
    <t>NCB HKD CA-2503-006</t>
  </si>
  <si>
    <t>Web hosting fee:000882 - Website development tools : Slidespeak - USD 359</t>
  </si>
  <si>
    <t>NCB HKD CA-2503-007</t>
  </si>
  <si>
    <t>Entertainment:000881 - Dinner with Vetting Committee</t>
  </si>
  <si>
    <t>NCB HKD CA-2506-001</t>
  </si>
  <si>
    <t>Web hosting fee:000883 - WIX.COM - Website fee</t>
  </si>
  <si>
    <t>14/6/25</t>
  </si>
  <si>
    <t>NCB HKD CA-2506-002</t>
  </si>
  <si>
    <t>Temp:000884 - mCommerce - Amazon Web Services</t>
  </si>
  <si>
    <t>16/6/25</t>
  </si>
  <si>
    <t>NCB HKD CA-2506-003</t>
  </si>
  <si>
    <t>Bank charges:Return cheque</t>
  </si>
  <si>
    <t>NCB HKD CA-2506-004</t>
  </si>
  <si>
    <t>Temp:000884IN-CLEARING RETURN - mCommerce - Amazon Web Services</t>
  </si>
  <si>
    <t>19/6/25</t>
  </si>
  <si>
    <t>NCB HKD CA-2506-005</t>
  </si>
  <si>
    <t>Computer accessories:000885 - eeio Limited - Microsoft 365 Business Standard annual subscription yearly</t>
  </si>
  <si>
    <t>20/6/25</t>
  </si>
  <si>
    <t>NCB HKD CA-2506-006</t>
  </si>
  <si>
    <t>Company secretarial fee:000886 - AC Business Service Limited - Renew Package(Annual Return,Company Secretary) - Service Period: 2025-07-19~2026-07-18</t>
  </si>
  <si>
    <t>NCB HKD CA-2506-007</t>
  </si>
  <si>
    <t>Interbank:transfer</t>
  </si>
  <si>
    <t>24/6/25</t>
  </si>
  <si>
    <t>NCB HKD CA-2506-008</t>
  </si>
  <si>
    <t>Web hosting fee:000887 - mCommerce - Amazon Web Services</t>
  </si>
  <si>
    <t>Change</t>
  </si>
  <si>
    <t>31/12/25</t>
  </si>
  <si>
    <t>Ending Balance</t>
  </si>
  <si>
    <t>Opening balance - NCB HKD SA</t>
  </si>
  <si>
    <t>31/1/25</t>
  </si>
  <si>
    <t>NCB HKD SA-2501-001</t>
  </si>
  <si>
    <t>Bank interest income:Interest</t>
  </si>
  <si>
    <t>28/2/25</t>
  </si>
  <si>
    <t>NCB HKD SA-2502-001</t>
  </si>
  <si>
    <t>30/3/25</t>
  </si>
  <si>
    <t>NCB HKD SA-2503-001</t>
  </si>
  <si>
    <t>Bank charges:Auditor’s Confirmation</t>
  </si>
  <si>
    <t>31/3/25</t>
  </si>
  <si>
    <t>NCB HKD SA-2503-002</t>
  </si>
  <si>
    <t>30/4/25</t>
  </si>
  <si>
    <t>NCB HKD SA-2504-001</t>
  </si>
  <si>
    <t>31/5/25</t>
  </si>
  <si>
    <t>NCB HKD SA-2505-001</t>
  </si>
  <si>
    <t>NCB HKD SA-2506-001</t>
  </si>
  <si>
    <t>30/6/25</t>
  </si>
  <si>
    <t>NCB HKD SA-2506-002</t>
  </si>
  <si>
    <t>31/7/25</t>
  </si>
  <si>
    <t>NCB HKD SA-2507-001</t>
  </si>
  <si>
    <t>31/8/25</t>
  </si>
  <si>
    <t>NCB HKD SA-2508-001</t>
  </si>
  <si>
    <t>18/9/25</t>
  </si>
  <si>
    <t>NCB HKD SA-2509-001</t>
  </si>
  <si>
    <t>Membership fee income:Cheque Deposit NO.189888 - 2025-M-70105 - MTR Corporation Limited</t>
  </si>
  <si>
    <t>Receipt in advance:Cheque Deposit NO.189888 - 2025-M-70105 - MTR Corporation Limited</t>
  </si>
  <si>
    <t>22/9/25</t>
  </si>
  <si>
    <t>NCB HKD SA-2509-002</t>
  </si>
  <si>
    <t>Membership fee income:FPS IN CR - 2025-M-70104 - Hong Kong Exchanges and Clearing Limited</t>
  </si>
  <si>
    <t>Receipt in advance:FPS IN CR - 2025-M-70104 - Hong Kong Exchanges and Clearing Limited</t>
  </si>
  <si>
    <t>29/9/25</t>
  </si>
  <si>
    <t>NCB HKD SA-2509-003</t>
  </si>
  <si>
    <t>Receipt in advance:NYITT250188772//NYITT250188772 - 2025-MSHK-60101 - Microsoft Hong Kong Limited</t>
  </si>
  <si>
    <t>30/9/25</t>
  </si>
  <si>
    <t>NCB HKD SA-2509-004</t>
  </si>
  <si>
    <t>22/10/25</t>
  </si>
  <si>
    <t>NCB HKD SA-2510-001</t>
  </si>
  <si>
    <t>Membership fee income:FPS IN CR</t>
  </si>
  <si>
    <t>Receipt in advance:FPS IN CR - 2025-NGO-70101 - Hong Kong-Shenzhen Innovation and Technology Park Limited</t>
  </si>
  <si>
    <t>31/10/25</t>
  </si>
  <si>
    <t>NCB HKD SA-2510-002</t>
  </si>
  <si>
    <t>30/11/25</t>
  </si>
  <si>
    <t>NCB HKD SA-2511-001</t>
  </si>
  <si>
    <t>NCB HKD SA-2512-001</t>
  </si>
  <si>
    <t>1090</t>
  </si>
  <si>
    <t>Interbank</t>
  </si>
  <si>
    <t>1099</t>
  </si>
  <si>
    <t>Temp</t>
  </si>
  <si>
    <t>Opening balance - Trade receivable</t>
  </si>
  <si>
    <t>JV-AR-2512</t>
  </si>
  <si>
    <t>2025 AR:2025-M-70106-Ernst &amp; Young Hong Kong</t>
  </si>
  <si>
    <t>2025 AR:2025-M-70107-Alibaba Cloud (Singapore) Private Limited</t>
  </si>
  <si>
    <t>2025 AR:2025-NGO-70102-Hong Kong Cyberport Management Company Limited</t>
  </si>
  <si>
    <t>2025 AR:2025-NGO-70103-Hong Kong Federation of Insurers</t>
  </si>
  <si>
    <t>Opening balance - Prepayment</t>
  </si>
  <si>
    <t>Prepayment:000886 - AC Business Service Limited - Renew Package(Annual Return,Company Secretary) - Service Period: 2025-07-19~2026-07-18</t>
  </si>
  <si>
    <t>JV-l/y prepaid</t>
  </si>
  <si>
    <t>Company secretarial fee:l/y prepayment</t>
  </si>
  <si>
    <t>Opening balance - Office equipment</t>
  </si>
  <si>
    <t>Opening balance - Accum Depreciation-OE</t>
  </si>
  <si>
    <t>Opening balance - Receipt in advance</t>
  </si>
  <si>
    <t>JV-l/y trade dep rec</t>
  </si>
  <si>
    <t>Being the reallocation of 2025 sales from trade deposits received.</t>
  </si>
  <si>
    <t>Opening balance - Accruals</t>
  </si>
  <si>
    <t>JV-Accruals-2512</t>
  </si>
  <si>
    <t>Being the provision for acc + audit fee for the year.</t>
  </si>
  <si>
    <t>Opening balance - Retained Earnings</t>
  </si>
  <si>
    <t>Receipt in advance</t>
    <phoneticPr fontId="4" type="noConversion"/>
  </si>
  <si>
    <t>Current Month</t>
  </si>
  <si>
    <t>Year to Date</t>
  </si>
  <si>
    <t>Revenues</t>
  </si>
  <si>
    <t>Total Revenues</t>
  </si>
  <si>
    <t>Cost of Sales</t>
  </si>
  <si>
    <t>Total Cost of Sales</t>
  </si>
  <si>
    <t>Gross Profit</t>
  </si>
  <si>
    <t>Expenses</t>
  </si>
  <si>
    <t>Total Expenses</t>
  </si>
  <si>
    <t>Net Income</t>
  </si>
  <si>
    <t>ASSETS</t>
  </si>
  <si>
    <t>Current Assets</t>
  </si>
  <si>
    <t>Total Current Assets</t>
  </si>
  <si>
    <t>Property and Equipment</t>
  </si>
  <si>
    <t>Total Property and Equipment</t>
  </si>
  <si>
    <t>Other Assets</t>
  </si>
  <si>
    <t>Total Other Assets</t>
  </si>
  <si>
    <t>Total Assets</t>
  </si>
  <si>
    <t>LIABILITIES AND CAPITAL</t>
  </si>
  <si>
    <t>Current Liabilities</t>
  </si>
  <si>
    <t>Total Current Liabilities</t>
  </si>
  <si>
    <t>Long-Term Liabilities</t>
  </si>
  <si>
    <t>Total Long-Term Liabilities</t>
  </si>
  <si>
    <t>Total Liabilities</t>
  </si>
  <si>
    <t>Capital</t>
  </si>
  <si>
    <t>Total Capital</t>
  </si>
  <si>
    <t>Total Liabilities &amp;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</si>
</sst>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76" formatCode="#,##0.00;\-#,##0.00;* ??"/>
    <numFmt numFmtId="177" formatCode="\$* #,##0.00;\(\$* #,##0.00\)"/>
    <numFmt numFmtId="178" formatCode="#,##0.00;\(#,##0.00\)"/>
  </numFmts>
  <fonts count="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name val="新細明體"/>
      <family val="2"/>
      <charset val="136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176" fontId="2" fillId="0" borderId="0" xfId="0" applyNumberFormat="1" applyFont="1" applyAlignment="1">
      <alignment horizontal="right" vertical="center"/>
    </xf>
    <xf numFmtId="49" fontId="3" fillId="0" borderId="2" xfId="0" applyNumberFormat="1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0" fillId="0" borderId="4" xfId="0" applyBorder="1">
      <alignment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right" vertical="center"/>
    </xf>
    <xf numFmtId="0" fontId="5" fillId="0" borderId="2" xfId="0" applyFont="1" applyBorder="1">
      <alignment vertical="center"/>
    </xf>
    <xf numFmtId="49" fontId="6" fillId="0" borderId="0" xfId="0" applyNumberFormat="1" applyFont="1" applyAlignment="1">
      <alignment horizontal="left" vertical="center"/>
    </xf>
    <xf numFmtId="30" fontId="6" fillId="0" borderId="0" xfId="0" applyNumberFormat="1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6" fillId="0" borderId="0" xfId="0" applyFont="1">
      <alignment vertical="center"/>
    </xf>
    <xf numFmtId="49" fontId="5" fillId="0" borderId="0" xfId="0" applyNumberFormat="1" applyFont="1" applyAlignment="1">
      <alignment horizontal="left" vertical="center"/>
    </xf>
    <xf numFmtId="30" fontId="5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>
      <alignment vertical="center"/>
    </xf>
    <xf numFmtId="49" fontId="5" fillId="0" borderId="4" xfId="0" applyNumberFormat="1" applyFont="1" applyBorder="1" applyAlignment="1">
      <alignment horizontal="left" vertical="center"/>
    </xf>
    <xf numFmtId="30" fontId="5" fillId="0" borderId="4" xfId="0" applyNumberFormat="1" applyFont="1" applyBorder="1" applyAlignment="1">
      <alignment horizontal="left" vertical="center"/>
    </xf>
    <xf numFmtId="176" fontId="5" fillId="0" borderId="4" xfId="0" applyNumberFormat="1" applyFont="1" applyBorder="1" applyAlignment="1">
      <alignment horizontal="right" vertical="center"/>
    </xf>
    <xf numFmtId="43" fontId="3" fillId="0" borderId="2" xfId="1" applyFont="1" applyBorder="1" applyAlignment="1">
      <alignment horizontal="right" vertical="center"/>
    </xf>
    <xf numFmtId="43" fontId="2" fillId="0" borderId="0" xfId="1" applyFont="1" applyAlignment="1">
      <alignment horizontal="right" vertical="center"/>
    </xf>
    <xf numFmtId="43" fontId="0" fillId="0" borderId="1" xfId="1" applyFont="1" applyBorder="1">
      <alignment vertical="center"/>
    </xf>
    <xf numFmtId="43" fontId="3" fillId="0" borderId="0" xfId="1" applyFont="1" applyAlignment="1">
      <alignment horizontal="right" vertical="center"/>
    </xf>
    <xf numFmtId="43" fontId="0" fillId="0" borderId="5" xfId="1" applyFont="1" applyBorder="1">
      <alignment vertical="center"/>
    </xf>
    <xf numFmtId="0" fontId="7" fillId="0" borderId="0" xfId="0" applyFont="1">
      <alignment vertical="center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right" vertical="center"/>
    </xf>
    <xf numFmtId="49" fontId="7" fillId="0" borderId="0" xfId="0" applyNumberFormat="1" applyFont="1" applyAlignment="1">
      <alignment horizontal="left" vertical="center"/>
    </xf>
    <xf numFmtId="177" fontId="7" fillId="0" borderId="0" xfId="0" applyNumberFormat="1" applyFont="1" applyAlignment="1">
      <alignment horizontal="right" vertical="center"/>
    </xf>
    <xf numFmtId="178" fontId="7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3" xfId="0" applyNumberFormat="1" applyBorder="1" applyAlignment="1">
      <alignment horizontal="right" vertical="center"/>
    </xf>
    <xf numFmtId="49" fontId="0" fillId="0" borderId="4" xfId="0" applyNumberFormat="1" applyBorder="1" applyAlignment="1">
      <alignment horizontal="left" vertical="center"/>
    </xf>
    <xf numFmtId="178" fontId="0" fillId="0" borderId="5" xfId="0" applyNumberForma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49" fontId="0" fillId="0" borderId="1" xfId="0" applyNumberFormat="1" applyBorder="1" applyAlignment="1">
      <alignment horizontal="left"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AB3D-B994-4727-8D0D-2943ED383685}">
  <dimension ref="A1:E23"/>
  <sheetViews>
    <sheetView tabSelected="1" zoomScale="115" zoomScaleNormal="115" workbookViewId="0">
      <pane ySplit="1" topLeftCell="A8" activePane="bottomLeft" state="frozenSplit"/>
      <selection pane="bottomLeft" activeCell="E20" sqref="E20"/>
    </sheetView>
  </sheetViews>
  <sheetFormatPr defaultRowHeight="12" x14ac:dyDescent="0.25"/>
  <cols>
    <col min="1" max="1" width="10.625" style="2" customWidth="1"/>
    <col min="2" max="2" width="19.625" style="2" customWidth="1"/>
    <col min="3" max="4" width="12.625" style="24" customWidth="1"/>
    <col min="5" max="16384" width="9" style="1"/>
  </cols>
  <sheetData>
    <row r="1" spans="1:5" s="7" customFormat="1" x14ac:dyDescent="0.25">
      <c r="A1" s="6" t="s">
        <v>0</v>
      </c>
      <c r="B1" s="6" t="s">
        <v>1</v>
      </c>
      <c r="C1" s="23" t="s">
        <v>2</v>
      </c>
      <c r="D1" s="23" t="s">
        <v>3</v>
      </c>
    </row>
    <row r="2" spans="1:5" x14ac:dyDescent="0.25">
      <c r="A2" s="2" t="s">
        <v>4</v>
      </c>
      <c r="B2" s="2" t="s">
        <v>5</v>
      </c>
      <c r="C2" s="24">
        <v>37231.660000000003</v>
      </c>
    </row>
    <row r="3" spans="1:5" x14ac:dyDescent="0.25">
      <c r="A3" s="2" t="s">
        <v>6</v>
      </c>
      <c r="B3" s="2" t="s">
        <v>7</v>
      </c>
      <c r="C3" s="24">
        <v>603180.5</v>
      </c>
    </row>
    <row r="4" spans="1:5" x14ac:dyDescent="0.25">
      <c r="A4" s="2" t="s">
        <v>8</v>
      </c>
      <c r="B4" s="2" t="s">
        <v>9</v>
      </c>
      <c r="C4" s="24">
        <v>64000</v>
      </c>
    </row>
    <row r="5" spans="1:5" x14ac:dyDescent="0.25">
      <c r="A5" s="2" t="s">
        <v>10</v>
      </c>
      <c r="B5" s="2" t="s">
        <v>11</v>
      </c>
      <c r="C5" s="24">
        <v>4900</v>
      </c>
    </row>
    <row r="6" spans="1:5" x14ac:dyDescent="0.25">
      <c r="A6" s="2" t="s">
        <v>12</v>
      </c>
      <c r="B6" s="2" t="s">
        <v>13</v>
      </c>
      <c r="C6" s="24">
        <v>5750</v>
      </c>
    </row>
    <row r="7" spans="1:5" x14ac:dyDescent="0.25">
      <c r="A7" s="2" t="s">
        <v>14</v>
      </c>
      <c r="B7" s="2" t="s">
        <v>15</v>
      </c>
      <c r="D7" s="24">
        <v>-5750</v>
      </c>
      <c r="E7" s="5"/>
    </row>
    <row r="8" spans="1:5" x14ac:dyDescent="0.25">
      <c r="A8" s="2" t="s">
        <v>16</v>
      </c>
      <c r="B8" s="2" t="s">
        <v>168</v>
      </c>
      <c r="D8" s="24">
        <v>-123310</v>
      </c>
      <c r="E8" s="5"/>
    </row>
    <row r="9" spans="1:5" x14ac:dyDescent="0.25">
      <c r="A9" s="2" t="s">
        <v>18</v>
      </c>
      <c r="B9" s="2" t="s">
        <v>19</v>
      </c>
      <c r="D9" s="24">
        <v>-12200</v>
      </c>
      <c r="E9" s="5"/>
    </row>
    <row r="10" spans="1:5" x14ac:dyDescent="0.25">
      <c r="A10" s="2" t="s">
        <v>20</v>
      </c>
      <c r="B10" s="2" t="s">
        <v>21</v>
      </c>
      <c r="D10" s="24">
        <v>-549241.14</v>
      </c>
      <c r="E10" s="5"/>
    </row>
    <row r="11" spans="1:5" x14ac:dyDescent="0.25">
      <c r="A11" s="2" t="s">
        <v>22</v>
      </c>
      <c r="B11" s="2" t="s">
        <v>23</v>
      </c>
      <c r="D11" s="24">
        <v>-116174</v>
      </c>
      <c r="E11" s="5"/>
    </row>
    <row r="12" spans="1:5" x14ac:dyDescent="0.25">
      <c r="A12" s="2" t="s">
        <v>24</v>
      </c>
      <c r="B12" s="2" t="s">
        <v>25</v>
      </c>
      <c r="D12" s="24">
        <v>-1461.58</v>
      </c>
      <c r="E12" s="5"/>
    </row>
    <row r="13" spans="1:5" x14ac:dyDescent="0.25">
      <c r="A13" s="2" t="s">
        <v>26</v>
      </c>
      <c r="B13" s="2" t="s">
        <v>27</v>
      </c>
      <c r="C13" s="24">
        <v>5000</v>
      </c>
      <c r="E13" s="5"/>
    </row>
    <row r="14" spans="1:5" x14ac:dyDescent="0.25">
      <c r="A14" s="2" t="s">
        <v>28</v>
      </c>
      <c r="B14" s="2" t="s">
        <v>29</v>
      </c>
      <c r="C14" s="24">
        <v>7200</v>
      </c>
    </row>
    <row r="15" spans="1:5" x14ac:dyDescent="0.25">
      <c r="A15" s="2" t="s">
        <v>30</v>
      </c>
      <c r="B15" s="2" t="s">
        <v>31</v>
      </c>
      <c r="C15" s="24">
        <v>450</v>
      </c>
    </row>
    <row r="16" spans="1:5" x14ac:dyDescent="0.25">
      <c r="A16" s="2" t="s">
        <v>32</v>
      </c>
      <c r="B16" s="2" t="s">
        <v>33</v>
      </c>
      <c r="C16" s="24">
        <v>4900</v>
      </c>
    </row>
    <row r="17" spans="1:4" x14ac:dyDescent="0.25">
      <c r="A17" s="2" t="s">
        <v>34</v>
      </c>
      <c r="B17" s="2" t="s">
        <v>35</v>
      </c>
      <c r="C17" s="24">
        <v>6844.32</v>
      </c>
    </row>
    <row r="18" spans="1:4" x14ac:dyDescent="0.25">
      <c r="A18" s="2" t="s">
        <v>36</v>
      </c>
      <c r="B18" s="2" t="s">
        <v>37</v>
      </c>
      <c r="C18" s="24">
        <v>7241</v>
      </c>
    </row>
    <row r="19" spans="1:4" x14ac:dyDescent="0.25">
      <c r="A19" s="2" t="s">
        <v>38</v>
      </c>
      <c r="B19" s="2" t="s">
        <v>39</v>
      </c>
      <c r="C19" s="24">
        <v>23000</v>
      </c>
    </row>
    <row r="20" spans="1:4" x14ac:dyDescent="0.25">
      <c r="A20" s="2" t="s">
        <v>40</v>
      </c>
      <c r="B20" s="2" t="s">
        <v>41</v>
      </c>
      <c r="C20" s="24">
        <v>38439.24</v>
      </c>
    </row>
    <row r="21" spans="1:4" customFormat="1" ht="16.5" x14ac:dyDescent="0.25">
      <c r="C21" s="25"/>
      <c r="D21" s="25"/>
    </row>
    <row r="22" spans="1:4" s="4" customFormat="1" ht="12.75" thickBot="1" x14ac:dyDescent="0.3">
      <c r="A22" s="3" t="s">
        <v>42</v>
      </c>
      <c r="B22" s="3" t="s">
        <v>43</v>
      </c>
      <c r="C22" s="26">
        <f>SUBTOTAL(9, C2:C21)</f>
        <v>808136.72</v>
      </c>
      <c r="D22" s="26">
        <f>SUBTOTAL(9, D2:D21)</f>
        <v>-808136.72</v>
      </c>
    </row>
    <row r="23" spans="1:4" customFormat="1" ht="18" thickTop="1" thickBot="1" x14ac:dyDescent="0.3">
      <c r="A23" s="8"/>
      <c r="B23" s="8"/>
      <c r="C23" s="27"/>
      <c r="D23" s="27"/>
    </row>
  </sheetData>
  <phoneticPr fontId="4" type="noConversion"/>
  <pageMargins left="0.7" right="0.7" top="1.25" bottom="0.65277777777777779" header="0.3" footer="0.3"/>
  <pageSetup paperSize="9" orientation="landscape" r:id="rId1"/>
  <headerFooter>
    <oddHeader xml:space="preserve">&amp;C&amp;"Arial"&amp;12&amp;B International Data Industry AllianceLtd&amp;B
&amp;11&amp;B General Ledger Trial Balance&amp;B
&amp;B As of 31 Dec 2025&amp;B&amp;L&amp;"Arial"&amp;12
&amp;11
&amp;"Arial"&amp;8 Filter Criteria includes: Report order is by ID. Report is printed in Detail Format. </oddHeader>
    <oddFooter>&amp;L&amp;9&amp;"Arial"&amp;B&amp;D at &amp;T&amp;R&amp;9&amp;"Arial"&amp;BPage: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19BF-CEB0-42B8-BC80-F07B0DD0843B}">
  <dimension ref="A1:I168"/>
  <sheetViews>
    <sheetView topLeftCell="C1" workbookViewId="0">
      <pane ySplit="1" topLeftCell="A149" activePane="bottomLeft" state="frozenSplit"/>
      <selection pane="bottomLeft" activeCell="F158" sqref="F158"/>
    </sheetView>
  </sheetViews>
  <sheetFormatPr defaultRowHeight="12.75" x14ac:dyDescent="0.25"/>
  <cols>
    <col min="1" max="1" width="10.375" style="12" customWidth="1"/>
    <col min="2" max="2" width="14.5" style="12" customWidth="1"/>
    <col min="3" max="3" width="7.625" style="13" customWidth="1"/>
    <col min="4" max="4" width="19.375" style="12" customWidth="1"/>
    <col min="5" max="5" width="4.625" style="12" customWidth="1"/>
    <col min="6" max="6" width="38" style="12" customWidth="1"/>
    <col min="7" max="8" width="11.625" style="14" customWidth="1"/>
    <col min="9" max="9" width="10.625" style="14" customWidth="1"/>
    <col min="10" max="16384" width="9" style="15"/>
  </cols>
  <sheetData>
    <row r="1" spans="1:9" s="11" customFormat="1" x14ac:dyDescent="0.25">
      <c r="A1" s="9" t="s">
        <v>0</v>
      </c>
      <c r="B1" s="9" t="s">
        <v>1</v>
      </c>
      <c r="C1" s="9" t="s">
        <v>44</v>
      </c>
      <c r="D1" s="9" t="s">
        <v>45</v>
      </c>
      <c r="E1" s="9" t="s">
        <v>46</v>
      </c>
      <c r="F1" s="9" t="s">
        <v>47</v>
      </c>
      <c r="G1" s="10" t="s">
        <v>2</v>
      </c>
      <c r="H1" s="10" t="s">
        <v>3</v>
      </c>
      <c r="I1" s="10" t="s">
        <v>48</v>
      </c>
    </row>
    <row r="2" spans="1:9" x14ac:dyDescent="0.25">
      <c r="A2" s="12" t="s">
        <v>4</v>
      </c>
      <c r="B2" s="12" t="s">
        <v>5</v>
      </c>
      <c r="C2" s="13">
        <v>45658</v>
      </c>
      <c r="D2" s="12" t="s">
        <v>42</v>
      </c>
      <c r="E2" s="12" t="s">
        <v>42</v>
      </c>
      <c r="F2" s="12" t="s">
        <v>49</v>
      </c>
    </row>
    <row r="3" spans="1:9" x14ac:dyDescent="0.25">
      <c r="A3" s="12" t="s">
        <v>4</v>
      </c>
      <c r="B3" s="12" t="s">
        <v>5</v>
      </c>
      <c r="C3" s="13">
        <v>45658</v>
      </c>
      <c r="D3" s="12" t="s">
        <v>50</v>
      </c>
      <c r="E3" s="12" t="s">
        <v>51</v>
      </c>
      <c r="F3" s="12" t="s">
        <v>52</v>
      </c>
      <c r="G3" s="14">
        <v>87621.63</v>
      </c>
    </row>
    <row r="4" spans="1:9" x14ac:dyDescent="0.25">
      <c r="A4" s="12" t="s">
        <v>4</v>
      </c>
      <c r="B4" s="12" t="s">
        <v>5</v>
      </c>
      <c r="C4" s="13">
        <v>45717</v>
      </c>
      <c r="D4" s="12" t="s">
        <v>53</v>
      </c>
      <c r="E4" s="12" t="s">
        <v>51</v>
      </c>
      <c r="F4" s="12" t="s">
        <v>54</v>
      </c>
      <c r="H4" s="14">
        <v>3000</v>
      </c>
    </row>
    <row r="5" spans="1:9" x14ac:dyDescent="0.25">
      <c r="A5" s="12" t="s">
        <v>4</v>
      </c>
      <c r="B5" s="12" t="s">
        <v>5</v>
      </c>
      <c r="C5" s="13" t="s">
        <v>55</v>
      </c>
      <c r="D5" s="12" t="s">
        <v>56</v>
      </c>
      <c r="E5" s="12" t="s">
        <v>51</v>
      </c>
      <c r="F5" s="12" t="s">
        <v>57</v>
      </c>
      <c r="H5" s="14">
        <v>2485.86</v>
      </c>
    </row>
    <row r="6" spans="1:9" x14ac:dyDescent="0.25">
      <c r="A6" s="12" t="s">
        <v>4</v>
      </c>
      <c r="B6" s="12" t="s">
        <v>5</v>
      </c>
      <c r="C6" s="13" t="s">
        <v>55</v>
      </c>
      <c r="D6" s="12" t="s">
        <v>58</v>
      </c>
      <c r="E6" s="12" t="s">
        <v>51</v>
      </c>
      <c r="F6" s="12" t="s">
        <v>59</v>
      </c>
      <c r="H6" s="14">
        <v>4800</v>
      </c>
    </row>
    <row r="7" spans="1:9" x14ac:dyDescent="0.25">
      <c r="A7" s="12" t="s">
        <v>4</v>
      </c>
      <c r="B7" s="12" t="s">
        <v>5</v>
      </c>
      <c r="C7" s="13">
        <v>45780</v>
      </c>
      <c r="D7" s="12" t="s">
        <v>60</v>
      </c>
      <c r="E7" s="12" t="s">
        <v>51</v>
      </c>
      <c r="F7" s="12" t="s">
        <v>61</v>
      </c>
      <c r="H7" s="14">
        <v>4366.6000000000004</v>
      </c>
    </row>
    <row r="8" spans="1:9" x14ac:dyDescent="0.25">
      <c r="A8" s="12" t="s">
        <v>4</v>
      </c>
      <c r="B8" s="12" t="s">
        <v>5</v>
      </c>
      <c r="C8" s="13">
        <v>45780</v>
      </c>
      <c r="D8" s="12" t="s">
        <v>62</v>
      </c>
      <c r="E8" s="12" t="s">
        <v>51</v>
      </c>
      <c r="F8" s="12" t="s">
        <v>63</v>
      </c>
      <c r="H8" s="14">
        <v>4615.41</v>
      </c>
    </row>
    <row r="9" spans="1:9" x14ac:dyDescent="0.25">
      <c r="A9" s="12" t="s">
        <v>4</v>
      </c>
      <c r="B9" s="12" t="s">
        <v>5</v>
      </c>
      <c r="C9" s="13" t="s">
        <v>64</v>
      </c>
      <c r="D9" s="12" t="s">
        <v>65</v>
      </c>
      <c r="E9" s="12" t="s">
        <v>51</v>
      </c>
      <c r="F9" s="12" t="s">
        <v>66</v>
      </c>
      <c r="H9" s="14">
        <v>12200</v>
      </c>
    </row>
    <row r="10" spans="1:9" x14ac:dyDescent="0.25">
      <c r="A10" s="12" t="s">
        <v>4</v>
      </c>
      <c r="B10" s="12" t="s">
        <v>5</v>
      </c>
      <c r="C10" s="13" t="s">
        <v>64</v>
      </c>
      <c r="D10" s="12" t="s">
        <v>67</v>
      </c>
      <c r="E10" s="12" t="s">
        <v>51</v>
      </c>
      <c r="F10" s="12" t="s">
        <v>68</v>
      </c>
      <c r="H10" s="14">
        <v>18200</v>
      </c>
    </row>
    <row r="11" spans="1:9" x14ac:dyDescent="0.25">
      <c r="A11" s="12" t="s">
        <v>4</v>
      </c>
      <c r="B11" s="12" t="s">
        <v>5</v>
      </c>
      <c r="C11" s="13" t="s">
        <v>69</v>
      </c>
      <c r="D11" s="12" t="s">
        <v>70</v>
      </c>
      <c r="E11" s="12" t="s">
        <v>51</v>
      </c>
      <c r="F11" s="12" t="s">
        <v>71</v>
      </c>
      <c r="H11" s="14">
        <v>4604.13</v>
      </c>
    </row>
    <row r="12" spans="1:9" x14ac:dyDescent="0.25">
      <c r="A12" s="12" t="s">
        <v>4</v>
      </c>
      <c r="B12" s="12" t="s">
        <v>5</v>
      </c>
      <c r="C12" s="13" t="s">
        <v>72</v>
      </c>
      <c r="D12" s="12" t="s">
        <v>73</v>
      </c>
      <c r="E12" s="12" t="s">
        <v>51</v>
      </c>
      <c r="F12" s="12" t="s">
        <v>74</v>
      </c>
      <c r="H12" s="14">
        <v>2800</v>
      </c>
    </row>
    <row r="13" spans="1:9" x14ac:dyDescent="0.25">
      <c r="A13" s="12" t="s">
        <v>4</v>
      </c>
      <c r="B13" s="12" t="s">
        <v>5</v>
      </c>
      <c r="C13" s="13" t="s">
        <v>72</v>
      </c>
      <c r="D13" s="12" t="s">
        <v>75</v>
      </c>
      <c r="E13" s="12" t="s">
        <v>51</v>
      </c>
      <c r="F13" s="12" t="s">
        <v>76</v>
      </c>
      <c r="H13" s="14">
        <v>7241</v>
      </c>
    </row>
    <row r="14" spans="1:9" x14ac:dyDescent="0.25">
      <c r="A14" s="12" t="s">
        <v>4</v>
      </c>
      <c r="B14" s="12" t="s">
        <v>5</v>
      </c>
      <c r="C14" s="13">
        <v>45936</v>
      </c>
      <c r="D14" s="12" t="s">
        <v>77</v>
      </c>
      <c r="E14" s="12" t="s">
        <v>51</v>
      </c>
      <c r="F14" s="12" t="s">
        <v>78</v>
      </c>
      <c r="H14" s="14">
        <v>6026</v>
      </c>
    </row>
    <row r="15" spans="1:9" x14ac:dyDescent="0.25">
      <c r="A15" s="12" t="s">
        <v>4</v>
      </c>
      <c r="B15" s="12" t="s">
        <v>5</v>
      </c>
      <c r="C15" s="13" t="s">
        <v>79</v>
      </c>
      <c r="D15" s="12" t="s">
        <v>80</v>
      </c>
      <c r="E15" s="12" t="s">
        <v>51</v>
      </c>
      <c r="F15" s="12" t="s">
        <v>81</v>
      </c>
      <c r="H15" s="14">
        <v>18156.650000000001</v>
      </c>
    </row>
    <row r="16" spans="1:9" x14ac:dyDescent="0.25">
      <c r="A16" s="12" t="s">
        <v>4</v>
      </c>
      <c r="B16" s="12" t="s">
        <v>5</v>
      </c>
      <c r="C16" s="13" t="s">
        <v>82</v>
      </c>
      <c r="D16" s="12" t="s">
        <v>83</v>
      </c>
      <c r="E16" s="12" t="s">
        <v>51</v>
      </c>
      <c r="F16" s="12" t="s">
        <v>84</v>
      </c>
      <c r="H16" s="14">
        <v>150</v>
      </c>
    </row>
    <row r="17" spans="1:9" x14ac:dyDescent="0.25">
      <c r="A17" s="12" t="s">
        <v>4</v>
      </c>
      <c r="B17" s="12" t="s">
        <v>5</v>
      </c>
      <c r="C17" s="13" t="s">
        <v>82</v>
      </c>
      <c r="D17" s="12" t="s">
        <v>85</v>
      </c>
      <c r="E17" s="12" t="s">
        <v>51</v>
      </c>
      <c r="F17" s="12" t="s">
        <v>86</v>
      </c>
      <c r="G17" s="14">
        <v>18156.650000000001</v>
      </c>
    </row>
    <row r="18" spans="1:9" x14ac:dyDescent="0.25">
      <c r="A18" s="12" t="s">
        <v>4</v>
      </c>
      <c r="B18" s="12" t="s">
        <v>5</v>
      </c>
      <c r="C18" s="13" t="s">
        <v>87</v>
      </c>
      <c r="D18" s="12" t="s">
        <v>88</v>
      </c>
      <c r="E18" s="12" t="s">
        <v>51</v>
      </c>
      <c r="F18" s="12" t="s">
        <v>89</v>
      </c>
      <c r="H18" s="14">
        <v>6844.32</v>
      </c>
    </row>
    <row r="19" spans="1:9" x14ac:dyDescent="0.25">
      <c r="A19" s="12" t="s">
        <v>4</v>
      </c>
      <c r="B19" s="12" t="s">
        <v>5</v>
      </c>
      <c r="C19" s="13" t="s">
        <v>90</v>
      </c>
      <c r="D19" s="12" t="s">
        <v>91</v>
      </c>
      <c r="E19" s="12" t="s">
        <v>51</v>
      </c>
      <c r="F19" s="12" t="s">
        <v>92</v>
      </c>
      <c r="H19" s="14">
        <v>4900</v>
      </c>
    </row>
    <row r="20" spans="1:9" x14ac:dyDescent="0.25">
      <c r="A20" s="12" t="s">
        <v>4</v>
      </c>
      <c r="B20" s="12" t="s">
        <v>5</v>
      </c>
      <c r="C20" s="13" t="s">
        <v>90</v>
      </c>
      <c r="D20" s="12" t="s">
        <v>93</v>
      </c>
      <c r="E20" s="12" t="s">
        <v>51</v>
      </c>
      <c r="F20" s="12" t="s">
        <v>94</v>
      </c>
      <c r="G20" s="14">
        <v>50000</v>
      </c>
    </row>
    <row r="21" spans="1:9" x14ac:dyDescent="0.25">
      <c r="A21" s="12" t="s">
        <v>4</v>
      </c>
      <c r="B21" s="12" t="s">
        <v>5</v>
      </c>
      <c r="C21" s="13" t="s">
        <v>95</v>
      </c>
      <c r="D21" s="12" t="s">
        <v>96</v>
      </c>
      <c r="E21" s="12" t="s">
        <v>51</v>
      </c>
      <c r="F21" s="12" t="s">
        <v>97</v>
      </c>
      <c r="H21" s="14">
        <v>18156.650000000001</v>
      </c>
    </row>
    <row r="22" spans="1:9" x14ac:dyDescent="0.25">
      <c r="A22" s="12" t="s">
        <v>4</v>
      </c>
      <c r="B22" s="12" t="s">
        <v>5</v>
      </c>
      <c r="D22" s="12" t="s">
        <v>42</v>
      </c>
      <c r="E22" s="12" t="s">
        <v>42</v>
      </c>
      <c r="F22" s="12" t="s">
        <v>98</v>
      </c>
      <c r="G22" s="14">
        <v>155778.28</v>
      </c>
      <c r="H22" s="14">
        <v>118546.62</v>
      </c>
      <c r="I22" s="14">
        <f>G22-H22</f>
        <v>37231.660000000003</v>
      </c>
    </row>
    <row r="23" spans="1:9" s="19" customFormat="1" x14ac:dyDescent="0.25">
      <c r="A23" s="16" t="s">
        <v>42</v>
      </c>
      <c r="B23" s="16" t="s">
        <v>42</v>
      </c>
      <c r="C23" s="17" t="s">
        <v>99</v>
      </c>
      <c r="D23" s="16" t="s">
        <v>42</v>
      </c>
      <c r="E23" s="16" t="s">
        <v>42</v>
      </c>
      <c r="F23" s="16" t="s">
        <v>100</v>
      </c>
      <c r="G23" s="18"/>
      <c r="H23" s="18"/>
      <c r="I23" s="18">
        <f>SUBTOTAL(9, I2:I22)</f>
        <v>37231.660000000003</v>
      </c>
    </row>
    <row r="24" spans="1:9" x14ac:dyDescent="0.25">
      <c r="A24" s="12" t="s">
        <v>6</v>
      </c>
      <c r="B24" s="12" t="s">
        <v>7</v>
      </c>
      <c r="C24" s="13">
        <v>45658</v>
      </c>
      <c r="D24" s="12" t="s">
        <v>42</v>
      </c>
      <c r="E24" s="12" t="s">
        <v>42</v>
      </c>
      <c r="F24" s="12" t="s">
        <v>49</v>
      </c>
    </row>
    <row r="25" spans="1:9" x14ac:dyDescent="0.25">
      <c r="A25" s="12" t="s">
        <v>6</v>
      </c>
      <c r="B25" s="12" t="s">
        <v>7</v>
      </c>
      <c r="C25" s="13">
        <v>45658</v>
      </c>
      <c r="D25" s="12" t="s">
        <v>50</v>
      </c>
      <c r="E25" s="12" t="s">
        <v>51</v>
      </c>
      <c r="F25" s="12" t="s">
        <v>101</v>
      </c>
      <c r="G25" s="14">
        <v>550018.92000000004</v>
      </c>
    </row>
    <row r="26" spans="1:9" x14ac:dyDescent="0.25">
      <c r="A26" s="12" t="s">
        <v>6</v>
      </c>
      <c r="B26" s="12" t="s">
        <v>7</v>
      </c>
      <c r="C26" s="13" t="s">
        <v>102</v>
      </c>
      <c r="D26" s="12" t="s">
        <v>103</v>
      </c>
      <c r="E26" s="12" t="s">
        <v>51</v>
      </c>
      <c r="F26" s="12" t="s">
        <v>104</v>
      </c>
      <c r="G26" s="14">
        <v>175.18</v>
      </c>
    </row>
    <row r="27" spans="1:9" x14ac:dyDescent="0.25">
      <c r="A27" s="12" t="s">
        <v>6</v>
      </c>
      <c r="B27" s="12" t="s">
        <v>7</v>
      </c>
      <c r="C27" s="13" t="s">
        <v>105</v>
      </c>
      <c r="D27" s="12" t="s">
        <v>106</v>
      </c>
      <c r="E27" s="12" t="s">
        <v>51</v>
      </c>
      <c r="F27" s="12" t="s">
        <v>104</v>
      </c>
      <c r="G27" s="14">
        <v>158.27000000000001</v>
      </c>
    </row>
    <row r="28" spans="1:9" x14ac:dyDescent="0.25">
      <c r="A28" s="12" t="s">
        <v>6</v>
      </c>
      <c r="B28" s="12" t="s">
        <v>7</v>
      </c>
      <c r="C28" s="13" t="s">
        <v>107</v>
      </c>
      <c r="D28" s="12" t="s">
        <v>108</v>
      </c>
      <c r="E28" s="12" t="s">
        <v>51</v>
      </c>
      <c r="F28" s="12" t="s">
        <v>109</v>
      </c>
      <c r="H28" s="14">
        <v>300</v>
      </c>
    </row>
    <row r="29" spans="1:9" x14ac:dyDescent="0.25">
      <c r="A29" s="12" t="s">
        <v>6</v>
      </c>
      <c r="B29" s="12" t="s">
        <v>7</v>
      </c>
      <c r="C29" s="13" t="s">
        <v>110</v>
      </c>
      <c r="D29" s="12" t="s">
        <v>111</v>
      </c>
      <c r="E29" s="12" t="s">
        <v>51</v>
      </c>
      <c r="F29" s="12" t="s">
        <v>104</v>
      </c>
      <c r="G29" s="14">
        <v>175.25</v>
      </c>
    </row>
    <row r="30" spans="1:9" x14ac:dyDescent="0.25">
      <c r="A30" s="12" t="s">
        <v>6</v>
      </c>
      <c r="B30" s="12" t="s">
        <v>7</v>
      </c>
      <c r="C30" s="13" t="s">
        <v>112</v>
      </c>
      <c r="D30" s="12" t="s">
        <v>113</v>
      </c>
      <c r="E30" s="12" t="s">
        <v>51</v>
      </c>
      <c r="F30" s="12" t="s">
        <v>104</v>
      </c>
      <c r="G30" s="14">
        <v>169.59</v>
      </c>
    </row>
    <row r="31" spans="1:9" x14ac:dyDescent="0.25">
      <c r="A31" s="12" t="s">
        <v>6</v>
      </c>
      <c r="B31" s="12" t="s">
        <v>7</v>
      </c>
      <c r="C31" s="13" t="s">
        <v>114</v>
      </c>
      <c r="D31" s="12" t="s">
        <v>115</v>
      </c>
      <c r="E31" s="12" t="s">
        <v>51</v>
      </c>
      <c r="F31" s="12" t="s">
        <v>104</v>
      </c>
      <c r="G31" s="14">
        <v>175.3</v>
      </c>
    </row>
    <row r="32" spans="1:9" x14ac:dyDescent="0.25">
      <c r="A32" s="12" t="s">
        <v>6</v>
      </c>
      <c r="B32" s="12" t="s">
        <v>7</v>
      </c>
      <c r="C32" s="13" t="s">
        <v>90</v>
      </c>
      <c r="D32" s="12" t="s">
        <v>116</v>
      </c>
      <c r="E32" s="12" t="s">
        <v>51</v>
      </c>
      <c r="F32" s="12" t="s">
        <v>94</v>
      </c>
      <c r="H32" s="14">
        <v>50000</v>
      </c>
    </row>
    <row r="33" spans="1:9" x14ac:dyDescent="0.25">
      <c r="A33" s="12" t="s">
        <v>6</v>
      </c>
      <c r="B33" s="12" t="s">
        <v>7</v>
      </c>
      <c r="C33" s="13" t="s">
        <v>117</v>
      </c>
      <c r="D33" s="12" t="s">
        <v>118</v>
      </c>
      <c r="E33" s="12" t="s">
        <v>51</v>
      </c>
      <c r="F33" s="12" t="s">
        <v>104</v>
      </c>
      <c r="G33" s="14">
        <v>164.56</v>
      </c>
    </row>
    <row r="34" spans="1:9" x14ac:dyDescent="0.25">
      <c r="A34" s="12" t="s">
        <v>6</v>
      </c>
      <c r="B34" s="12" t="s">
        <v>7</v>
      </c>
      <c r="C34" s="13" t="s">
        <v>119</v>
      </c>
      <c r="D34" s="12" t="s">
        <v>120</v>
      </c>
      <c r="E34" s="12" t="s">
        <v>51</v>
      </c>
      <c r="F34" s="12" t="s">
        <v>104</v>
      </c>
      <c r="G34" s="14">
        <v>159.47999999999999</v>
      </c>
    </row>
    <row r="35" spans="1:9" x14ac:dyDescent="0.25">
      <c r="A35" s="12" t="s">
        <v>6</v>
      </c>
      <c r="B35" s="12" t="s">
        <v>7</v>
      </c>
      <c r="C35" s="13" t="s">
        <v>121</v>
      </c>
      <c r="D35" s="12" t="s">
        <v>122</v>
      </c>
      <c r="E35" s="12" t="s">
        <v>51</v>
      </c>
      <c r="F35" s="12" t="s">
        <v>104</v>
      </c>
      <c r="G35" s="14">
        <v>113.22</v>
      </c>
    </row>
    <row r="36" spans="1:9" x14ac:dyDescent="0.25">
      <c r="A36" s="12" t="s">
        <v>6</v>
      </c>
      <c r="B36" s="12" t="s">
        <v>7</v>
      </c>
      <c r="C36" s="13" t="s">
        <v>123</v>
      </c>
      <c r="D36" s="12" t="s">
        <v>124</v>
      </c>
      <c r="E36" s="12" t="s">
        <v>51</v>
      </c>
      <c r="F36" s="12" t="s">
        <v>125</v>
      </c>
      <c r="G36" s="14">
        <v>6668</v>
      </c>
    </row>
    <row r="37" spans="1:9" x14ac:dyDescent="0.25">
      <c r="A37" s="12" t="s">
        <v>6</v>
      </c>
      <c r="B37" s="12" t="s">
        <v>7</v>
      </c>
      <c r="C37" s="13" t="s">
        <v>123</v>
      </c>
      <c r="D37" s="12" t="s">
        <v>124</v>
      </c>
      <c r="E37" s="12" t="s">
        <v>51</v>
      </c>
      <c r="F37" s="12" t="s">
        <v>126</v>
      </c>
      <c r="G37" s="14">
        <v>13332</v>
      </c>
    </row>
    <row r="38" spans="1:9" x14ac:dyDescent="0.25">
      <c r="A38" s="12" t="s">
        <v>6</v>
      </c>
      <c r="B38" s="12" t="s">
        <v>7</v>
      </c>
      <c r="C38" s="13" t="s">
        <v>127</v>
      </c>
      <c r="D38" s="12" t="s">
        <v>128</v>
      </c>
      <c r="E38" s="12" t="s">
        <v>51</v>
      </c>
      <c r="F38" s="12" t="s">
        <v>129</v>
      </c>
      <c r="G38" s="14">
        <v>8335</v>
      </c>
    </row>
    <row r="39" spans="1:9" x14ac:dyDescent="0.25">
      <c r="A39" s="12" t="s">
        <v>6</v>
      </c>
      <c r="B39" s="12" t="s">
        <v>7</v>
      </c>
      <c r="C39" s="13" t="s">
        <v>127</v>
      </c>
      <c r="D39" s="12" t="s">
        <v>128</v>
      </c>
      <c r="E39" s="12" t="s">
        <v>51</v>
      </c>
      <c r="F39" s="12" t="s">
        <v>130</v>
      </c>
      <c r="G39" s="14">
        <v>11665</v>
      </c>
    </row>
    <row r="40" spans="1:9" x14ac:dyDescent="0.25">
      <c r="A40" s="12" t="s">
        <v>6</v>
      </c>
      <c r="B40" s="12" t="s">
        <v>7</v>
      </c>
      <c r="C40" s="13" t="s">
        <v>131</v>
      </c>
      <c r="D40" s="12" t="s">
        <v>132</v>
      </c>
      <c r="E40" s="12" t="s">
        <v>51</v>
      </c>
      <c r="F40" s="12" t="s">
        <v>133</v>
      </c>
      <c r="G40" s="14">
        <v>60000</v>
      </c>
    </row>
    <row r="41" spans="1:9" x14ac:dyDescent="0.25">
      <c r="A41" s="12" t="s">
        <v>6</v>
      </c>
      <c r="B41" s="12" t="s">
        <v>7</v>
      </c>
      <c r="C41" s="13" t="s">
        <v>134</v>
      </c>
      <c r="D41" s="12" t="s">
        <v>135</v>
      </c>
      <c r="E41" s="12" t="s">
        <v>51</v>
      </c>
      <c r="F41" s="12" t="s">
        <v>104</v>
      </c>
      <c r="G41" s="14">
        <v>91.07</v>
      </c>
    </row>
    <row r="42" spans="1:9" x14ac:dyDescent="0.25">
      <c r="A42" s="12" t="s">
        <v>6</v>
      </c>
      <c r="B42" s="12" t="s">
        <v>7</v>
      </c>
      <c r="C42" s="13" t="s">
        <v>136</v>
      </c>
      <c r="D42" s="12" t="s">
        <v>137</v>
      </c>
      <c r="E42" s="12" t="s">
        <v>51</v>
      </c>
      <c r="F42" s="12" t="s">
        <v>138</v>
      </c>
      <c r="G42" s="14">
        <v>835</v>
      </c>
    </row>
    <row r="43" spans="1:9" x14ac:dyDescent="0.25">
      <c r="A43" s="12" t="s">
        <v>6</v>
      </c>
      <c r="B43" s="12" t="s">
        <v>7</v>
      </c>
      <c r="C43" s="13" t="s">
        <v>136</v>
      </c>
      <c r="D43" s="12" t="s">
        <v>137</v>
      </c>
      <c r="E43" s="12" t="s">
        <v>51</v>
      </c>
      <c r="F43" s="12" t="s">
        <v>139</v>
      </c>
      <c r="G43" s="14">
        <v>1165</v>
      </c>
    </row>
    <row r="44" spans="1:9" x14ac:dyDescent="0.25">
      <c r="A44" s="12" t="s">
        <v>6</v>
      </c>
      <c r="B44" s="12" t="s">
        <v>7</v>
      </c>
      <c r="C44" s="13" t="s">
        <v>140</v>
      </c>
      <c r="D44" s="12" t="s">
        <v>141</v>
      </c>
      <c r="E44" s="12" t="s">
        <v>51</v>
      </c>
      <c r="F44" s="12" t="s">
        <v>104</v>
      </c>
      <c r="G44" s="14">
        <v>63.88</v>
      </c>
    </row>
    <row r="45" spans="1:9" x14ac:dyDescent="0.25">
      <c r="A45" s="12" t="s">
        <v>6</v>
      </c>
      <c r="B45" s="12" t="s">
        <v>7</v>
      </c>
      <c r="C45" s="13" t="s">
        <v>142</v>
      </c>
      <c r="D45" s="12" t="s">
        <v>143</v>
      </c>
      <c r="E45" s="12" t="s">
        <v>51</v>
      </c>
      <c r="F45" s="12" t="s">
        <v>104</v>
      </c>
      <c r="G45" s="14">
        <v>10.66</v>
      </c>
    </row>
    <row r="46" spans="1:9" x14ac:dyDescent="0.25">
      <c r="A46" s="12" t="s">
        <v>6</v>
      </c>
      <c r="B46" s="12" t="s">
        <v>7</v>
      </c>
      <c r="C46" s="13" t="s">
        <v>99</v>
      </c>
      <c r="D46" s="12" t="s">
        <v>144</v>
      </c>
      <c r="E46" s="12" t="s">
        <v>51</v>
      </c>
      <c r="F46" s="12" t="s">
        <v>104</v>
      </c>
      <c r="G46" s="14">
        <v>5.12</v>
      </c>
    </row>
    <row r="47" spans="1:9" x14ac:dyDescent="0.25">
      <c r="A47" s="12" t="s">
        <v>6</v>
      </c>
      <c r="B47" s="12" t="s">
        <v>7</v>
      </c>
      <c r="D47" s="12" t="s">
        <v>42</v>
      </c>
      <c r="E47" s="12" t="s">
        <v>42</v>
      </c>
      <c r="F47" s="12" t="s">
        <v>98</v>
      </c>
      <c r="G47" s="14">
        <v>653480.5</v>
      </c>
      <c r="H47" s="14">
        <v>50300</v>
      </c>
      <c r="I47" s="14">
        <f>G47-H47</f>
        <v>603180.5</v>
      </c>
    </row>
    <row r="48" spans="1:9" s="19" customFormat="1" x14ac:dyDescent="0.25">
      <c r="A48" s="16" t="s">
        <v>42</v>
      </c>
      <c r="B48" s="16" t="s">
        <v>42</v>
      </c>
      <c r="C48" s="17" t="s">
        <v>99</v>
      </c>
      <c r="D48" s="16" t="s">
        <v>42</v>
      </c>
      <c r="E48" s="16" t="s">
        <v>42</v>
      </c>
      <c r="F48" s="16" t="s">
        <v>100</v>
      </c>
      <c r="G48" s="18"/>
      <c r="H48" s="18"/>
      <c r="I48" s="18">
        <f>SUBTOTAL(9, I24:I47)</f>
        <v>603180.5</v>
      </c>
    </row>
    <row r="49" spans="1:9" x14ac:dyDescent="0.25">
      <c r="A49" s="12" t="s">
        <v>145</v>
      </c>
      <c r="B49" s="12" t="s">
        <v>146</v>
      </c>
      <c r="C49" s="13">
        <v>45663</v>
      </c>
      <c r="D49" s="12" t="s">
        <v>42</v>
      </c>
      <c r="E49" s="12" t="s">
        <v>42</v>
      </c>
      <c r="F49" s="12" t="s">
        <v>49</v>
      </c>
    </row>
    <row r="50" spans="1:9" x14ac:dyDescent="0.25">
      <c r="A50" s="12" t="s">
        <v>145</v>
      </c>
      <c r="B50" s="12" t="s">
        <v>146</v>
      </c>
      <c r="C50" s="13" t="s">
        <v>90</v>
      </c>
      <c r="D50" s="12" t="s">
        <v>93</v>
      </c>
      <c r="E50" s="12" t="s">
        <v>51</v>
      </c>
      <c r="F50" s="12" t="s">
        <v>94</v>
      </c>
      <c r="H50" s="14">
        <v>50000</v>
      </c>
    </row>
    <row r="51" spans="1:9" x14ac:dyDescent="0.25">
      <c r="A51" s="12" t="s">
        <v>145</v>
      </c>
      <c r="B51" s="12" t="s">
        <v>146</v>
      </c>
      <c r="C51" s="13" t="s">
        <v>90</v>
      </c>
      <c r="D51" s="12" t="s">
        <v>116</v>
      </c>
      <c r="E51" s="12" t="s">
        <v>51</v>
      </c>
      <c r="F51" s="12" t="s">
        <v>94</v>
      </c>
      <c r="G51" s="14">
        <v>50000</v>
      </c>
    </row>
    <row r="52" spans="1:9" x14ac:dyDescent="0.25">
      <c r="A52" s="12" t="s">
        <v>145</v>
      </c>
      <c r="B52" s="12" t="s">
        <v>146</v>
      </c>
      <c r="D52" s="12" t="s">
        <v>42</v>
      </c>
      <c r="E52" s="12" t="s">
        <v>42</v>
      </c>
      <c r="F52" s="12" t="s">
        <v>98</v>
      </c>
      <c r="G52" s="14">
        <v>50000</v>
      </c>
      <c r="H52" s="14">
        <v>50000</v>
      </c>
      <c r="I52" s="14">
        <f>G52-H52</f>
        <v>0</v>
      </c>
    </row>
    <row r="53" spans="1:9" x14ac:dyDescent="0.25">
      <c r="A53" s="12" t="s">
        <v>147</v>
      </c>
      <c r="B53" s="12" t="s">
        <v>148</v>
      </c>
      <c r="C53" s="13">
        <v>45663</v>
      </c>
      <c r="D53" s="12" t="s">
        <v>42</v>
      </c>
      <c r="E53" s="12" t="s">
        <v>42</v>
      </c>
      <c r="F53" s="12" t="s">
        <v>49</v>
      </c>
    </row>
    <row r="54" spans="1:9" x14ac:dyDescent="0.25">
      <c r="A54" s="12" t="s">
        <v>147</v>
      </c>
      <c r="B54" s="12" t="s">
        <v>148</v>
      </c>
      <c r="C54" s="13" t="s">
        <v>79</v>
      </c>
      <c r="D54" s="12" t="s">
        <v>80</v>
      </c>
      <c r="E54" s="12" t="s">
        <v>51</v>
      </c>
      <c r="F54" s="12" t="s">
        <v>81</v>
      </c>
      <c r="G54" s="14">
        <v>18156.650000000001</v>
      </c>
    </row>
    <row r="55" spans="1:9" x14ac:dyDescent="0.25">
      <c r="A55" s="12" t="s">
        <v>147</v>
      </c>
      <c r="B55" s="12" t="s">
        <v>148</v>
      </c>
      <c r="C55" s="13" t="s">
        <v>82</v>
      </c>
      <c r="D55" s="12" t="s">
        <v>85</v>
      </c>
      <c r="E55" s="12" t="s">
        <v>51</v>
      </c>
      <c r="F55" s="12" t="s">
        <v>86</v>
      </c>
      <c r="H55" s="14">
        <v>18156.650000000001</v>
      </c>
    </row>
    <row r="56" spans="1:9" x14ac:dyDescent="0.25">
      <c r="A56" s="12" t="s">
        <v>147</v>
      </c>
      <c r="B56" s="12" t="s">
        <v>148</v>
      </c>
      <c r="D56" s="12" t="s">
        <v>42</v>
      </c>
      <c r="E56" s="12" t="s">
        <v>42</v>
      </c>
      <c r="F56" s="12" t="s">
        <v>98</v>
      </c>
      <c r="G56" s="14">
        <v>18156.650000000001</v>
      </c>
      <c r="H56" s="14">
        <v>18156.650000000001</v>
      </c>
      <c r="I56" s="14">
        <f>G56-H56</f>
        <v>0</v>
      </c>
    </row>
    <row r="57" spans="1:9" x14ac:dyDescent="0.25">
      <c r="A57" s="12" t="s">
        <v>8</v>
      </c>
      <c r="B57" s="12" t="s">
        <v>9</v>
      </c>
      <c r="C57" s="13">
        <v>45658</v>
      </c>
      <c r="D57" s="12" t="s">
        <v>42</v>
      </c>
      <c r="E57" s="12" t="s">
        <v>42</v>
      </c>
      <c r="F57" s="12" t="s">
        <v>49</v>
      </c>
    </row>
    <row r="58" spans="1:9" x14ac:dyDescent="0.25">
      <c r="A58" s="12" t="s">
        <v>8</v>
      </c>
      <c r="B58" s="12" t="s">
        <v>9</v>
      </c>
      <c r="C58" s="13">
        <v>45658</v>
      </c>
      <c r="D58" s="12" t="s">
        <v>50</v>
      </c>
      <c r="E58" s="12" t="s">
        <v>51</v>
      </c>
      <c r="F58" s="12" t="s">
        <v>149</v>
      </c>
      <c r="G58" s="14">
        <v>20000</v>
      </c>
    </row>
    <row r="59" spans="1:9" x14ac:dyDescent="0.25">
      <c r="A59" s="12" t="s">
        <v>8</v>
      </c>
      <c r="B59" s="12" t="s">
        <v>9</v>
      </c>
      <c r="C59" s="13" t="s">
        <v>99</v>
      </c>
      <c r="D59" s="12" t="s">
        <v>150</v>
      </c>
      <c r="E59" s="12" t="s">
        <v>51</v>
      </c>
      <c r="F59" s="12" t="s">
        <v>151</v>
      </c>
      <c r="G59" s="14">
        <v>20000</v>
      </c>
    </row>
    <row r="60" spans="1:9" x14ac:dyDescent="0.25">
      <c r="A60" s="12" t="s">
        <v>8</v>
      </c>
      <c r="B60" s="12" t="s">
        <v>9</v>
      </c>
      <c r="C60" s="13" t="s">
        <v>99</v>
      </c>
      <c r="D60" s="12" t="s">
        <v>150</v>
      </c>
      <c r="E60" s="12" t="s">
        <v>51</v>
      </c>
      <c r="F60" s="12" t="s">
        <v>152</v>
      </c>
      <c r="G60" s="14">
        <v>20000</v>
      </c>
    </row>
    <row r="61" spans="1:9" x14ac:dyDescent="0.25">
      <c r="A61" s="12" t="s">
        <v>8</v>
      </c>
      <c r="B61" s="12" t="s">
        <v>9</v>
      </c>
      <c r="C61" s="13" t="s">
        <v>99</v>
      </c>
      <c r="D61" s="12" t="s">
        <v>150</v>
      </c>
      <c r="E61" s="12" t="s">
        <v>51</v>
      </c>
      <c r="F61" s="12" t="s">
        <v>153</v>
      </c>
      <c r="G61" s="14">
        <v>2000</v>
      </c>
    </row>
    <row r="62" spans="1:9" x14ac:dyDescent="0.25">
      <c r="A62" s="12" t="s">
        <v>8</v>
      </c>
      <c r="B62" s="12" t="s">
        <v>9</v>
      </c>
      <c r="C62" s="13" t="s">
        <v>99</v>
      </c>
      <c r="D62" s="12" t="s">
        <v>150</v>
      </c>
      <c r="E62" s="12" t="s">
        <v>51</v>
      </c>
      <c r="F62" s="12" t="s">
        <v>154</v>
      </c>
      <c r="G62" s="14">
        <v>2000</v>
      </c>
    </row>
    <row r="63" spans="1:9" x14ac:dyDescent="0.25">
      <c r="A63" s="12" t="s">
        <v>8</v>
      </c>
      <c r="B63" s="12" t="s">
        <v>9</v>
      </c>
      <c r="D63" s="12" t="s">
        <v>42</v>
      </c>
      <c r="E63" s="12" t="s">
        <v>42</v>
      </c>
      <c r="F63" s="12" t="s">
        <v>98</v>
      </c>
      <c r="G63" s="14">
        <v>64000</v>
      </c>
      <c r="I63" s="14">
        <f>G63-H63</f>
        <v>64000</v>
      </c>
    </row>
    <row r="64" spans="1:9" s="19" customFormat="1" x14ac:dyDescent="0.25">
      <c r="A64" s="16" t="s">
        <v>42</v>
      </c>
      <c r="B64" s="16" t="s">
        <v>42</v>
      </c>
      <c r="C64" s="17" t="s">
        <v>99</v>
      </c>
      <c r="D64" s="16" t="s">
        <v>42</v>
      </c>
      <c r="E64" s="16" t="s">
        <v>42</v>
      </c>
      <c r="F64" s="16" t="s">
        <v>100</v>
      </c>
      <c r="G64" s="18"/>
      <c r="H64" s="18"/>
      <c r="I64" s="18">
        <f>SUBTOTAL(9, I49:I63)</f>
        <v>64000</v>
      </c>
    </row>
    <row r="65" spans="1:9" x14ac:dyDescent="0.25">
      <c r="A65" s="12" t="s">
        <v>10</v>
      </c>
      <c r="B65" s="12" t="s">
        <v>11</v>
      </c>
      <c r="C65" s="13">
        <v>45658</v>
      </c>
      <c r="D65" s="12" t="s">
        <v>42</v>
      </c>
      <c r="E65" s="12" t="s">
        <v>42</v>
      </c>
      <c r="F65" s="12" t="s">
        <v>49</v>
      </c>
    </row>
    <row r="66" spans="1:9" x14ac:dyDescent="0.25">
      <c r="A66" s="12" t="s">
        <v>10</v>
      </c>
      <c r="B66" s="12" t="s">
        <v>11</v>
      </c>
      <c r="C66" s="13">
        <v>45658</v>
      </c>
      <c r="D66" s="12" t="s">
        <v>50</v>
      </c>
      <c r="E66" s="12" t="s">
        <v>51</v>
      </c>
      <c r="F66" s="12" t="s">
        <v>155</v>
      </c>
      <c r="G66" s="14">
        <v>4900</v>
      </c>
    </row>
    <row r="67" spans="1:9" x14ac:dyDescent="0.25">
      <c r="A67" s="12" t="s">
        <v>10</v>
      </c>
      <c r="B67" s="12" t="s">
        <v>11</v>
      </c>
      <c r="C67" s="13" t="s">
        <v>90</v>
      </c>
      <c r="D67" s="12" t="s">
        <v>91</v>
      </c>
      <c r="E67" s="12" t="s">
        <v>51</v>
      </c>
      <c r="F67" s="12" t="s">
        <v>156</v>
      </c>
      <c r="G67" s="14">
        <v>4900</v>
      </c>
    </row>
    <row r="68" spans="1:9" x14ac:dyDescent="0.25">
      <c r="A68" s="12" t="s">
        <v>10</v>
      </c>
      <c r="B68" s="12" t="s">
        <v>11</v>
      </c>
      <c r="C68" s="13" t="s">
        <v>99</v>
      </c>
      <c r="D68" s="12" t="s">
        <v>157</v>
      </c>
      <c r="E68" s="12" t="s">
        <v>51</v>
      </c>
      <c r="F68" s="12" t="s">
        <v>158</v>
      </c>
      <c r="H68" s="14">
        <v>4900</v>
      </c>
    </row>
    <row r="69" spans="1:9" x14ac:dyDescent="0.25">
      <c r="A69" s="12" t="s">
        <v>10</v>
      </c>
      <c r="B69" s="12" t="s">
        <v>11</v>
      </c>
      <c r="D69" s="12" t="s">
        <v>42</v>
      </c>
      <c r="E69" s="12" t="s">
        <v>42</v>
      </c>
      <c r="F69" s="12" t="s">
        <v>98</v>
      </c>
      <c r="G69" s="14">
        <v>9800</v>
      </c>
      <c r="H69" s="14">
        <v>4900</v>
      </c>
      <c r="I69" s="14">
        <f>G69-H69</f>
        <v>4900</v>
      </c>
    </row>
    <row r="70" spans="1:9" s="19" customFormat="1" x14ac:dyDescent="0.25">
      <c r="A70" s="16" t="s">
        <v>42</v>
      </c>
      <c r="B70" s="16" t="s">
        <v>42</v>
      </c>
      <c r="C70" s="17" t="s">
        <v>99</v>
      </c>
      <c r="D70" s="16" t="s">
        <v>42</v>
      </c>
      <c r="E70" s="16" t="s">
        <v>42</v>
      </c>
      <c r="F70" s="16" t="s">
        <v>100</v>
      </c>
      <c r="G70" s="18"/>
      <c r="H70" s="18"/>
      <c r="I70" s="18">
        <f>SUBTOTAL(9, I65:I69)</f>
        <v>4900</v>
      </c>
    </row>
    <row r="71" spans="1:9" x14ac:dyDescent="0.25">
      <c r="A71" s="12" t="s">
        <v>12</v>
      </c>
      <c r="B71" s="12" t="s">
        <v>13</v>
      </c>
      <c r="C71" s="13">
        <v>45658</v>
      </c>
      <c r="D71" s="12" t="s">
        <v>42</v>
      </c>
      <c r="E71" s="12" t="s">
        <v>42</v>
      </c>
      <c r="F71" s="12" t="s">
        <v>49</v>
      </c>
    </row>
    <row r="72" spans="1:9" x14ac:dyDescent="0.25">
      <c r="A72" s="12" t="s">
        <v>12</v>
      </c>
      <c r="B72" s="12" t="s">
        <v>13</v>
      </c>
      <c r="C72" s="13">
        <v>45658</v>
      </c>
      <c r="D72" s="12" t="s">
        <v>50</v>
      </c>
      <c r="E72" s="12" t="s">
        <v>51</v>
      </c>
      <c r="F72" s="12" t="s">
        <v>159</v>
      </c>
      <c r="G72" s="14">
        <v>5750</v>
      </c>
    </row>
    <row r="73" spans="1:9" x14ac:dyDescent="0.25">
      <c r="A73" s="12" t="s">
        <v>12</v>
      </c>
      <c r="B73" s="12" t="s">
        <v>13</v>
      </c>
      <c r="D73" s="12" t="s">
        <v>42</v>
      </c>
      <c r="E73" s="12" t="s">
        <v>42</v>
      </c>
      <c r="F73" s="12" t="s">
        <v>98</v>
      </c>
      <c r="G73" s="14">
        <v>5750</v>
      </c>
      <c r="I73" s="14">
        <f>G73-H73</f>
        <v>5750</v>
      </c>
    </row>
    <row r="74" spans="1:9" s="19" customFormat="1" x14ac:dyDescent="0.25">
      <c r="A74" s="16" t="s">
        <v>42</v>
      </c>
      <c r="B74" s="16" t="s">
        <v>42</v>
      </c>
      <c r="C74" s="17" t="s">
        <v>99</v>
      </c>
      <c r="D74" s="16" t="s">
        <v>42</v>
      </c>
      <c r="E74" s="16" t="s">
        <v>42</v>
      </c>
      <c r="F74" s="16" t="s">
        <v>100</v>
      </c>
      <c r="G74" s="18"/>
      <c r="H74" s="18"/>
      <c r="I74" s="18">
        <f>SUBTOTAL(9, I71:I73)</f>
        <v>5750</v>
      </c>
    </row>
    <row r="75" spans="1:9" x14ac:dyDescent="0.25">
      <c r="A75" s="12" t="s">
        <v>14</v>
      </c>
      <c r="B75" s="12" t="s">
        <v>15</v>
      </c>
      <c r="C75" s="13">
        <v>45658</v>
      </c>
      <c r="D75" s="12" t="s">
        <v>42</v>
      </c>
      <c r="E75" s="12" t="s">
        <v>42</v>
      </c>
      <c r="F75" s="12" t="s">
        <v>49</v>
      </c>
    </row>
    <row r="76" spans="1:9" x14ac:dyDescent="0.25">
      <c r="A76" s="12" t="s">
        <v>14</v>
      </c>
      <c r="B76" s="12" t="s">
        <v>15</v>
      </c>
      <c r="C76" s="13">
        <v>45658</v>
      </c>
      <c r="D76" s="12" t="s">
        <v>50</v>
      </c>
      <c r="E76" s="12" t="s">
        <v>51</v>
      </c>
      <c r="F76" s="12" t="s">
        <v>160</v>
      </c>
      <c r="H76" s="14">
        <v>5750</v>
      </c>
    </row>
    <row r="77" spans="1:9" x14ac:dyDescent="0.25">
      <c r="A77" s="12" t="s">
        <v>14</v>
      </c>
      <c r="B77" s="12" t="s">
        <v>15</v>
      </c>
      <c r="D77" s="12" t="s">
        <v>42</v>
      </c>
      <c r="E77" s="12" t="s">
        <v>42</v>
      </c>
      <c r="F77" s="12" t="s">
        <v>98</v>
      </c>
      <c r="H77" s="14">
        <v>5750</v>
      </c>
      <c r="I77" s="14">
        <f>G77-H77</f>
        <v>-5750</v>
      </c>
    </row>
    <row r="78" spans="1:9" s="19" customFormat="1" x14ac:dyDescent="0.25">
      <c r="A78" s="16" t="s">
        <v>42</v>
      </c>
      <c r="B78" s="16" t="s">
        <v>42</v>
      </c>
      <c r="C78" s="17" t="s">
        <v>99</v>
      </c>
      <c r="D78" s="16" t="s">
        <v>42</v>
      </c>
      <c r="E78" s="16" t="s">
        <v>42</v>
      </c>
      <c r="F78" s="16" t="s">
        <v>100</v>
      </c>
      <c r="G78" s="18"/>
      <c r="H78" s="18"/>
      <c r="I78" s="18">
        <f>SUBTOTAL(9, I75:I77)</f>
        <v>-5750</v>
      </c>
    </row>
    <row r="79" spans="1:9" x14ac:dyDescent="0.25">
      <c r="A79" s="12" t="s">
        <v>16</v>
      </c>
      <c r="B79" s="12" t="s">
        <v>17</v>
      </c>
      <c r="C79" s="13">
        <v>45658</v>
      </c>
      <c r="D79" s="12" t="s">
        <v>42</v>
      </c>
      <c r="E79" s="12" t="s">
        <v>42</v>
      </c>
      <c r="F79" s="12" t="s">
        <v>49</v>
      </c>
    </row>
    <row r="80" spans="1:9" x14ac:dyDescent="0.25">
      <c r="A80" s="12" t="s">
        <v>16</v>
      </c>
      <c r="B80" s="12" t="s">
        <v>17</v>
      </c>
      <c r="C80" s="13">
        <v>45658</v>
      </c>
      <c r="D80" s="12" t="s">
        <v>50</v>
      </c>
      <c r="E80" s="12" t="s">
        <v>51</v>
      </c>
      <c r="F80" s="12" t="s">
        <v>161</v>
      </c>
      <c r="H80" s="14">
        <v>93484</v>
      </c>
    </row>
    <row r="81" spans="1:9" x14ac:dyDescent="0.25">
      <c r="A81" s="12" t="s">
        <v>16</v>
      </c>
      <c r="B81" s="12" t="s">
        <v>17</v>
      </c>
      <c r="C81" s="13" t="s">
        <v>123</v>
      </c>
      <c r="D81" s="12" t="s">
        <v>124</v>
      </c>
      <c r="E81" s="12" t="s">
        <v>51</v>
      </c>
      <c r="F81" s="12" t="s">
        <v>126</v>
      </c>
      <c r="H81" s="14">
        <v>13332</v>
      </c>
    </row>
    <row r="82" spans="1:9" x14ac:dyDescent="0.25">
      <c r="A82" s="12" t="s">
        <v>16</v>
      </c>
      <c r="B82" s="12" t="s">
        <v>17</v>
      </c>
      <c r="C82" s="13" t="s">
        <v>127</v>
      </c>
      <c r="D82" s="12" t="s">
        <v>128</v>
      </c>
      <c r="E82" s="12" t="s">
        <v>51</v>
      </c>
      <c r="F82" s="12" t="s">
        <v>130</v>
      </c>
      <c r="H82" s="14">
        <v>11665</v>
      </c>
    </row>
    <row r="83" spans="1:9" x14ac:dyDescent="0.25">
      <c r="A83" s="12" t="s">
        <v>16</v>
      </c>
      <c r="B83" s="12" t="s">
        <v>17</v>
      </c>
      <c r="C83" s="13" t="s">
        <v>131</v>
      </c>
      <c r="D83" s="12" t="s">
        <v>132</v>
      </c>
      <c r="E83" s="12" t="s">
        <v>51</v>
      </c>
      <c r="F83" s="12" t="s">
        <v>133</v>
      </c>
      <c r="H83" s="14">
        <v>60000</v>
      </c>
    </row>
    <row r="84" spans="1:9" x14ac:dyDescent="0.25">
      <c r="A84" s="12" t="s">
        <v>16</v>
      </c>
      <c r="B84" s="12" t="s">
        <v>17</v>
      </c>
      <c r="C84" s="13" t="s">
        <v>136</v>
      </c>
      <c r="D84" s="12" t="s">
        <v>137</v>
      </c>
      <c r="E84" s="12" t="s">
        <v>51</v>
      </c>
      <c r="F84" s="12" t="s">
        <v>139</v>
      </c>
      <c r="H84" s="14">
        <v>1165</v>
      </c>
    </row>
    <row r="85" spans="1:9" x14ac:dyDescent="0.25">
      <c r="A85" s="12" t="s">
        <v>16</v>
      </c>
      <c r="B85" s="12" t="s">
        <v>17</v>
      </c>
      <c r="C85" s="13" t="s">
        <v>99</v>
      </c>
      <c r="D85" s="12" t="s">
        <v>162</v>
      </c>
      <c r="E85" s="12" t="s">
        <v>51</v>
      </c>
      <c r="F85" s="12" t="s">
        <v>163</v>
      </c>
      <c r="G85" s="14">
        <v>81996</v>
      </c>
    </row>
    <row r="86" spans="1:9" x14ac:dyDescent="0.25">
      <c r="A86" s="12" t="s">
        <v>16</v>
      </c>
      <c r="B86" s="12" t="s">
        <v>17</v>
      </c>
      <c r="C86" s="13" t="s">
        <v>99</v>
      </c>
      <c r="D86" s="12" t="s">
        <v>150</v>
      </c>
      <c r="E86" s="12" t="s">
        <v>51</v>
      </c>
      <c r="F86" s="12" t="s">
        <v>152</v>
      </c>
      <c r="H86" s="14">
        <v>11665</v>
      </c>
    </row>
    <row r="87" spans="1:9" x14ac:dyDescent="0.25">
      <c r="A87" s="12" t="s">
        <v>16</v>
      </c>
      <c r="B87" s="12" t="s">
        <v>17</v>
      </c>
      <c r="C87" s="13" t="s">
        <v>99</v>
      </c>
      <c r="D87" s="12" t="s">
        <v>150</v>
      </c>
      <c r="E87" s="12" t="s">
        <v>51</v>
      </c>
      <c r="F87" s="12" t="s">
        <v>153</v>
      </c>
      <c r="H87" s="14">
        <v>1165</v>
      </c>
    </row>
    <row r="88" spans="1:9" x14ac:dyDescent="0.25">
      <c r="A88" s="12" t="s">
        <v>16</v>
      </c>
      <c r="B88" s="12" t="s">
        <v>17</v>
      </c>
      <c r="C88" s="13" t="s">
        <v>99</v>
      </c>
      <c r="D88" s="12" t="s">
        <v>150</v>
      </c>
      <c r="E88" s="12" t="s">
        <v>51</v>
      </c>
      <c r="F88" s="12" t="s">
        <v>151</v>
      </c>
      <c r="H88" s="14">
        <v>11665</v>
      </c>
    </row>
    <row r="89" spans="1:9" x14ac:dyDescent="0.25">
      <c r="A89" s="12" t="s">
        <v>16</v>
      </c>
      <c r="B89" s="12" t="s">
        <v>17</v>
      </c>
      <c r="C89" s="13" t="s">
        <v>99</v>
      </c>
      <c r="D89" s="12" t="s">
        <v>150</v>
      </c>
      <c r="E89" s="12" t="s">
        <v>51</v>
      </c>
      <c r="F89" s="12" t="s">
        <v>154</v>
      </c>
      <c r="H89" s="14">
        <v>1165</v>
      </c>
    </row>
    <row r="90" spans="1:9" x14ac:dyDescent="0.25">
      <c r="A90" s="12" t="s">
        <v>16</v>
      </c>
      <c r="B90" s="12" t="s">
        <v>17</v>
      </c>
      <c r="D90" s="12" t="s">
        <v>42</v>
      </c>
      <c r="E90" s="12" t="s">
        <v>42</v>
      </c>
      <c r="F90" s="12" t="s">
        <v>98</v>
      </c>
      <c r="G90" s="14">
        <v>81996</v>
      </c>
      <c r="H90" s="14">
        <v>205306</v>
      </c>
      <c r="I90" s="14">
        <f>G90-H90</f>
        <v>-123310</v>
      </c>
    </row>
    <row r="91" spans="1:9" s="19" customFormat="1" x14ac:dyDescent="0.25">
      <c r="A91" s="16" t="s">
        <v>42</v>
      </c>
      <c r="B91" s="16" t="s">
        <v>42</v>
      </c>
      <c r="C91" s="17" t="s">
        <v>99</v>
      </c>
      <c r="D91" s="16" t="s">
        <v>42</v>
      </c>
      <c r="E91" s="16" t="s">
        <v>42</v>
      </c>
      <c r="F91" s="16" t="s">
        <v>100</v>
      </c>
      <c r="G91" s="18"/>
      <c r="H91" s="18"/>
      <c r="I91" s="18">
        <f>SUBTOTAL(9, I79:I90)</f>
        <v>-123310</v>
      </c>
    </row>
    <row r="92" spans="1:9" x14ac:dyDescent="0.25">
      <c r="A92" s="12" t="s">
        <v>18</v>
      </c>
      <c r="B92" s="12" t="s">
        <v>19</v>
      </c>
      <c r="C92" s="13">
        <v>45658</v>
      </c>
      <c r="D92" s="12" t="s">
        <v>42</v>
      </c>
      <c r="E92" s="12" t="s">
        <v>42</v>
      </c>
      <c r="F92" s="12" t="s">
        <v>49</v>
      </c>
    </row>
    <row r="93" spans="1:9" x14ac:dyDescent="0.25">
      <c r="A93" s="12" t="s">
        <v>18</v>
      </c>
      <c r="B93" s="12" t="s">
        <v>19</v>
      </c>
      <c r="C93" s="13">
        <v>45658</v>
      </c>
      <c r="D93" s="12" t="s">
        <v>50</v>
      </c>
      <c r="E93" s="12" t="s">
        <v>51</v>
      </c>
      <c r="F93" s="12" t="s">
        <v>164</v>
      </c>
      <c r="H93" s="14">
        <v>19815.41</v>
      </c>
    </row>
    <row r="94" spans="1:9" x14ac:dyDescent="0.25">
      <c r="A94" s="12" t="s">
        <v>18</v>
      </c>
      <c r="B94" s="12" t="s">
        <v>19</v>
      </c>
      <c r="C94" s="13">
        <v>45717</v>
      </c>
      <c r="D94" s="12" t="s">
        <v>53</v>
      </c>
      <c r="E94" s="12" t="s">
        <v>51</v>
      </c>
      <c r="F94" s="12" t="s">
        <v>54</v>
      </c>
      <c r="G94" s="14">
        <v>3000</v>
      </c>
    </row>
    <row r="95" spans="1:9" x14ac:dyDescent="0.25">
      <c r="A95" s="12" t="s">
        <v>18</v>
      </c>
      <c r="B95" s="12" t="s">
        <v>19</v>
      </c>
      <c r="C95" s="13">
        <v>45780</v>
      </c>
      <c r="D95" s="12" t="s">
        <v>62</v>
      </c>
      <c r="E95" s="12" t="s">
        <v>51</v>
      </c>
      <c r="F95" s="12" t="s">
        <v>63</v>
      </c>
      <c r="G95" s="14">
        <v>4615.41</v>
      </c>
    </row>
    <row r="96" spans="1:9" x14ac:dyDescent="0.25">
      <c r="A96" s="12" t="s">
        <v>18</v>
      </c>
      <c r="B96" s="12" t="s">
        <v>19</v>
      </c>
      <c r="C96" s="13" t="s">
        <v>64</v>
      </c>
      <c r="D96" s="12" t="s">
        <v>65</v>
      </c>
      <c r="E96" s="12" t="s">
        <v>51</v>
      </c>
      <c r="F96" s="12" t="s">
        <v>66</v>
      </c>
      <c r="G96" s="14">
        <v>12200</v>
      </c>
    </row>
    <row r="97" spans="1:9" x14ac:dyDescent="0.25">
      <c r="A97" s="12" t="s">
        <v>18</v>
      </c>
      <c r="B97" s="12" t="s">
        <v>19</v>
      </c>
      <c r="C97" s="13" t="s">
        <v>99</v>
      </c>
      <c r="D97" s="12" t="s">
        <v>165</v>
      </c>
      <c r="E97" s="12" t="s">
        <v>51</v>
      </c>
      <c r="F97" s="12" t="s">
        <v>166</v>
      </c>
      <c r="H97" s="14">
        <v>12200</v>
      </c>
    </row>
    <row r="98" spans="1:9" x14ac:dyDescent="0.25">
      <c r="A98" s="12" t="s">
        <v>18</v>
      </c>
      <c r="B98" s="12" t="s">
        <v>19</v>
      </c>
      <c r="D98" s="12" t="s">
        <v>42</v>
      </c>
      <c r="E98" s="12" t="s">
        <v>42</v>
      </c>
      <c r="F98" s="12" t="s">
        <v>98</v>
      </c>
      <c r="G98" s="14">
        <v>19815.41</v>
      </c>
      <c r="H98" s="14">
        <v>32015.41</v>
      </c>
      <c r="I98" s="14">
        <f>G98-H98</f>
        <v>-12200</v>
      </c>
    </row>
    <row r="99" spans="1:9" s="19" customFormat="1" x14ac:dyDescent="0.25">
      <c r="A99" s="16" t="s">
        <v>42</v>
      </c>
      <c r="B99" s="16" t="s">
        <v>42</v>
      </c>
      <c r="C99" s="17" t="s">
        <v>99</v>
      </c>
      <c r="D99" s="16" t="s">
        <v>42</v>
      </c>
      <c r="E99" s="16" t="s">
        <v>42</v>
      </c>
      <c r="F99" s="16" t="s">
        <v>100</v>
      </c>
      <c r="G99" s="18"/>
      <c r="H99" s="18"/>
      <c r="I99" s="18">
        <f>SUBTOTAL(9, I92:I98)</f>
        <v>-12200</v>
      </c>
    </row>
    <row r="100" spans="1:9" x14ac:dyDescent="0.25">
      <c r="A100" s="12" t="s">
        <v>20</v>
      </c>
      <c r="B100" s="12" t="s">
        <v>21</v>
      </c>
      <c r="C100" s="13">
        <v>45658</v>
      </c>
      <c r="D100" s="12" t="s">
        <v>42</v>
      </c>
      <c r="E100" s="12" t="s">
        <v>42</v>
      </c>
      <c r="F100" s="12" t="s">
        <v>49</v>
      </c>
    </row>
    <row r="101" spans="1:9" x14ac:dyDescent="0.25">
      <c r="A101" s="12" t="s">
        <v>20</v>
      </c>
      <c r="B101" s="12" t="s">
        <v>21</v>
      </c>
      <c r="C101" s="13">
        <v>45658</v>
      </c>
      <c r="D101" s="12" t="s">
        <v>50</v>
      </c>
      <c r="E101" s="12" t="s">
        <v>51</v>
      </c>
      <c r="F101" s="12" t="s">
        <v>167</v>
      </c>
      <c r="H101" s="14">
        <v>549241.14</v>
      </c>
    </row>
    <row r="102" spans="1:9" x14ac:dyDescent="0.25">
      <c r="A102" s="12" t="s">
        <v>20</v>
      </c>
      <c r="B102" s="12" t="s">
        <v>21</v>
      </c>
      <c r="D102" s="12" t="s">
        <v>42</v>
      </c>
      <c r="E102" s="12" t="s">
        <v>42</v>
      </c>
      <c r="F102" s="12" t="s">
        <v>98</v>
      </c>
      <c r="H102" s="14">
        <v>549241.14</v>
      </c>
      <c r="I102" s="14">
        <f>G102-H102</f>
        <v>-549241.14</v>
      </c>
    </row>
    <row r="103" spans="1:9" s="19" customFormat="1" x14ac:dyDescent="0.25">
      <c r="A103" s="16" t="s">
        <v>42</v>
      </c>
      <c r="B103" s="16" t="s">
        <v>42</v>
      </c>
      <c r="C103" s="17" t="s">
        <v>99</v>
      </c>
      <c r="D103" s="16" t="s">
        <v>42</v>
      </c>
      <c r="E103" s="16" t="s">
        <v>42</v>
      </c>
      <c r="F103" s="16" t="s">
        <v>100</v>
      </c>
      <c r="G103" s="18"/>
      <c r="H103" s="18"/>
      <c r="I103" s="18">
        <f>SUBTOTAL(9, I100:I102)</f>
        <v>-549241.14</v>
      </c>
    </row>
    <row r="104" spans="1:9" x14ac:dyDescent="0.25">
      <c r="A104" s="12" t="s">
        <v>22</v>
      </c>
      <c r="B104" s="12" t="s">
        <v>23</v>
      </c>
      <c r="C104" s="13">
        <v>45658</v>
      </c>
      <c r="D104" s="12" t="s">
        <v>42</v>
      </c>
      <c r="E104" s="12" t="s">
        <v>42</v>
      </c>
      <c r="F104" s="12" t="s">
        <v>49</v>
      </c>
    </row>
    <row r="105" spans="1:9" x14ac:dyDescent="0.25">
      <c r="A105" s="12" t="s">
        <v>22</v>
      </c>
      <c r="B105" s="12" t="s">
        <v>23</v>
      </c>
      <c r="C105" s="13" t="s">
        <v>123</v>
      </c>
      <c r="D105" s="12" t="s">
        <v>124</v>
      </c>
      <c r="E105" s="12" t="s">
        <v>51</v>
      </c>
      <c r="F105" s="12" t="s">
        <v>125</v>
      </c>
      <c r="H105" s="14">
        <v>6668</v>
      </c>
    </row>
    <row r="106" spans="1:9" x14ac:dyDescent="0.25">
      <c r="A106" s="12" t="s">
        <v>22</v>
      </c>
      <c r="B106" s="12" t="s">
        <v>23</v>
      </c>
      <c r="C106" s="13" t="s">
        <v>127</v>
      </c>
      <c r="D106" s="12" t="s">
        <v>128</v>
      </c>
      <c r="E106" s="12" t="s">
        <v>51</v>
      </c>
      <c r="F106" s="12" t="s">
        <v>129</v>
      </c>
      <c r="H106" s="14">
        <v>8335</v>
      </c>
    </row>
    <row r="107" spans="1:9" x14ac:dyDescent="0.25">
      <c r="A107" s="12" t="s">
        <v>22</v>
      </c>
      <c r="B107" s="12" t="s">
        <v>23</v>
      </c>
      <c r="C107" s="13" t="s">
        <v>136</v>
      </c>
      <c r="D107" s="12" t="s">
        <v>137</v>
      </c>
      <c r="E107" s="12" t="s">
        <v>51</v>
      </c>
      <c r="F107" s="12" t="s">
        <v>138</v>
      </c>
      <c r="H107" s="14">
        <v>835</v>
      </c>
    </row>
    <row r="108" spans="1:9" x14ac:dyDescent="0.25">
      <c r="A108" s="12" t="s">
        <v>22</v>
      </c>
      <c r="B108" s="12" t="s">
        <v>23</v>
      </c>
      <c r="C108" s="13" t="s">
        <v>99</v>
      </c>
      <c r="D108" s="12" t="s">
        <v>162</v>
      </c>
      <c r="E108" s="12" t="s">
        <v>51</v>
      </c>
      <c r="F108" s="12" t="s">
        <v>163</v>
      </c>
      <c r="H108" s="14">
        <v>81996</v>
      </c>
    </row>
    <row r="109" spans="1:9" x14ac:dyDescent="0.25">
      <c r="A109" s="12" t="s">
        <v>22</v>
      </c>
      <c r="B109" s="12" t="s">
        <v>23</v>
      </c>
      <c r="C109" s="13" t="s">
        <v>99</v>
      </c>
      <c r="D109" s="12" t="s">
        <v>150</v>
      </c>
      <c r="E109" s="12" t="s">
        <v>51</v>
      </c>
      <c r="F109" s="12" t="s">
        <v>151</v>
      </c>
      <c r="H109" s="14">
        <v>8335</v>
      </c>
    </row>
    <row r="110" spans="1:9" x14ac:dyDescent="0.25">
      <c r="A110" s="12" t="s">
        <v>22</v>
      </c>
      <c r="B110" s="12" t="s">
        <v>23</v>
      </c>
      <c r="C110" s="13" t="s">
        <v>99</v>
      </c>
      <c r="D110" s="12" t="s">
        <v>150</v>
      </c>
      <c r="E110" s="12" t="s">
        <v>51</v>
      </c>
      <c r="F110" s="12" t="s">
        <v>152</v>
      </c>
      <c r="H110" s="14">
        <v>8335</v>
      </c>
    </row>
    <row r="111" spans="1:9" x14ac:dyDescent="0.25">
      <c r="A111" s="12" t="s">
        <v>22</v>
      </c>
      <c r="B111" s="12" t="s">
        <v>23</v>
      </c>
      <c r="C111" s="13" t="s">
        <v>99</v>
      </c>
      <c r="D111" s="12" t="s">
        <v>150</v>
      </c>
      <c r="E111" s="12" t="s">
        <v>51</v>
      </c>
      <c r="F111" s="12" t="s">
        <v>153</v>
      </c>
      <c r="H111" s="14">
        <v>835</v>
      </c>
    </row>
    <row r="112" spans="1:9" x14ac:dyDescent="0.25">
      <c r="A112" s="12" t="s">
        <v>22</v>
      </c>
      <c r="B112" s="12" t="s">
        <v>23</v>
      </c>
      <c r="C112" s="13" t="s">
        <v>99</v>
      </c>
      <c r="D112" s="12" t="s">
        <v>150</v>
      </c>
      <c r="E112" s="12" t="s">
        <v>51</v>
      </c>
      <c r="F112" s="12" t="s">
        <v>154</v>
      </c>
      <c r="H112" s="14">
        <v>835</v>
      </c>
    </row>
    <row r="113" spans="1:9" x14ac:dyDescent="0.25">
      <c r="A113" s="12" t="s">
        <v>22</v>
      </c>
      <c r="B113" s="12" t="s">
        <v>23</v>
      </c>
      <c r="D113" s="12" t="s">
        <v>42</v>
      </c>
      <c r="E113" s="12" t="s">
        <v>42</v>
      </c>
      <c r="F113" s="12" t="s">
        <v>98</v>
      </c>
      <c r="H113" s="14">
        <v>116174</v>
      </c>
      <c r="I113" s="14">
        <f>G113-H113</f>
        <v>-116174</v>
      </c>
    </row>
    <row r="114" spans="1:9" s="19" customFormat="1" x14ac:dyDescent="0.25">
      <c r="A114" s="16" t="s">
        <v>42</v>
      </c>
      <c r="B114" s="16" t="s">
        <v>42</v>
      </c>
      <c r="C114" s="17" t="s">
        <v>99</v>
      </c>
      <c r="D114" s="16" t="s">
        <v>42</v>
      </c>
      <c r="E114" s="16" t="s">
        <v>42</v>
      </c>
      <c r="F114" s="16" t="s">
        <v>100</v>
      </c>
      <c r="G114" s="18"/>
      <c r="H114" s="18"/>
      <c r="I114" s="18">
        <f>SUBTOTAL(9, I104:I113)</f>
        <v>-116174</v>
      </c>
    </row>
    <row r="115" spans="1:9" x14ac:dyDescent="0.25">
      <c r="A115" s="12" t="s">
        <v>24</v>
      </c>
      <c r="B115" s="12" t="s">
        <v>25</v>
      </c>
      <c r="C115" s="13">
        <v>45658</v>
      </c>
      <c r="D115" s="12" t="s">
        <v>42</v>
      </c>
      <c r="E115" s="12" t="s">
        <v>42</v>
      </c>
      <c r="F115" s="12" t="s">
        <v>49</v>
      </c>
    </row>
    <row r="116" spans="1:9" x14ac:dyDescent="0.25">
      <c r="A116" s="12" t="s">
        <v>24</v>
      </c>
      <c r="B116" s="12" t="s">
        <v>25</v>
      </c>
      <c r="C116" s="13" t="s">
        <v>102</v>
      </c>
      <c r="D116" s="12" t="s">
        <v>103</v>
      </c>
      <c r="E116" s="12" t="s">
        <v>51</v>
      </c>
      <c r="F116" s="12" t="s">
        <v>104</v>
      </c>
      <c r="H116" s="14">
        <v>175.18</v>
      </c>
    </row>
    <row r="117" spans="1:9" x14ac:dyDescent="0.25">
      <c r="A117" s="12" t="s">
        <v>24</v>
      </c>
      <c r="B117" s="12" t="s">
        <v>25</v>
      </c>
      <c r="C117" s="13" t="s">
        <v>105</v>
      </c>
      <c r="D117" s="12" t="s">
        <v>106</v>
      </c>
      <c r="E117" s="12" t="s">
        <v>51</v>
      </c>
      <c r="F117" s="12" t="s">
        <v>104</v>
      </c>
      <c r="H117" s="14">
        <v>158.27000000000001</v>
      </c>
    </row>
    <row r="118" spans="1:9" x14ac:dyDescent="0.25">
      <c r="A118" s="12" t="s">
        <v>24</v>
      </c>
      <c r="B118" s="12" t="s">
        <v>25</v>
      </c>
      <c r="C118" s="13" t="s">
        <v>110</v>
      </c>
      <c r="D118" s="12" t="s">
        <v>111</v>
      </c>
      <c r="E118" s="12" t="s">
        <v>51</v>
      </c>
      <c r="F118" s="12" t="s">
        <v>104</v>
      </c>
      <c r="H118" s="14">
        <v>175.25</v>
      </c>
    </row>
    <row r="119" spans="1:9" x14ac:dyDescent="0.25">
      <c r="A119" s="12" t="s">
        <v>24</v>
      </c>
      <c r="B119" s="12" t="s">
        <v>25</v>
      </c>
      <c r="C119" s="13" t="s">
        <v>112</v>
      </c>
      <c r="D119" s="12" t="s">
        <v>113</v>
      </c>
      <c r="E119" s="12" t="s">
        <v>51</v>
      </c>
      <c r="F119" s="12" t="s">
        <v>104</v>
      </c>
      <c r="H119" s="14">
        <v>169.59</v>
      </c>
    </row>
    <row r="120" spans="1:9" x14ac:dyDescent="0.25">
      <c r="A120" s="12" t="s">
        <v>24</v>
      </c>
      <c r="B120" s="12" t="s">
        <v>25</v>
      </c>
      <c r="C120" s="13" t="s">
        <v>114</v>
      </c>
      <c r="D120" s="12" t="s">
        <v>115</v>
      </c>
      <c r="E120" s="12" t="s">
        <v>51</v>
      </c>
      <c r="F120" s="12" t="s">
        <v>104</v>
      </c>
      <c r="H120" s="14">
        <v>175.3</v>
      </c>
    </row>
    <row r="121" spans="1:9" x14ac:dyDescent="0.25">
      <c r="A121" s="12" t="s">
        <v>24</v>
      </c>
      <c r="B121" s="12" t="s">
        <v>25</v>
      </c>
      <c r="C121" s="13" t="s">
        <v>117</v>
      </c>
      <c r="D121" s="12" t="s">
        <v>118</v>
      </c>
      <c r="E121" s="12" t="s">
        <v>51</v>
      </c>
      <c r="F121" s="12" t="s">
        <v>104</v>
      </c>
      <c r="H121" s="14">
        <v>164.56</v>
      </c>
    </row>
    <row r="122" spans="1:9" x14ac:dyDescent="0.25">
      <c r="A122" s="12" t="s">
        <v>24</v>
      </c>
      <c r="B122" s="12" t="s">
        <v>25</v>
      </c>
      <c r="C122" s="13" t="s">
        <v>119</v>
      </c>
      <c r="D122" s="12" t="s">
        <v>120</v>
      </c>
      <c r="E122" s="12" t="s">
        <v>51</v>
      </c>
      <c r="F122" s="12" t="s">
        <v>104</v>
      </c>
      <c r="H122" s="14">
        <v>159.47999999999999</v>
      </c>
    </row>
    <row r="123" spans="1:9" x14ac:dyDescent="0.25">
      <c r="A123" s="12" t="s">
        <v>24</v>
      </c>
      <c r="B123" s="12" t="s">
        <v>25</v>
      </c>
      <c r="C123" s="13" t="s">
        <v>121</v>
      </c>
      <c r="D123" s="12" t="s">
        <v>122</v>
      </c>
      <c r="E123" s="12" t="s">
        <v>51</v>
      </c>
      <c r="F123" s="12" t="s">
        <v>104</v>
      </c>
      <c r="H123" s="14">
        <v>113.22</v>
      </c>
    </row>
    <row r="124" spans="1:9" x14ac:dyDescent="0.25">
      <c r="A124" s="12" t="s">
        <v>24</v>
      </c>
      <c r="B124" s="12" t="s">
        <v>25</v>
      </c>
      <c r="C124" s="13" t="s">
        <v>134</v>
      </c>
      <c r="D124" s="12" t="s">
        <v>135</v>
      </c>
      <c r="E124" s="12" t="s">
        <v>51</v>
      </c>
      <c r="F124" s="12" t="s">
        <v>104</v>
      </c>
      <c r="H124" s="14">
        <v>91.07</v>
      </c>
    </row>
    <row r="125" spans="1:9" x14ac:dyDescent="0.25">
      <c r="A125" s="12" t="s">
        <v>24</v>
      </c>
      <c r="B125" s="12" t="s">
        <v>25</v>
      </c>
      <c r="C125" s="13" t="s">
        <v>140</v>
      </c>
      <c r="D125" s="12" t="s">
        <v>141</v>
      </c>
      <c r="E125" s="12" t="s">
        <v>51</v>
      </c>
      <c r="F125" s="12" t="s">
        <v>104</v>
      </c>
      <c r="H125" s="14">
        <v>63.88</v>
      </c>
    </row>
    <row r="126" spans="1:9" x14ac:dyDescent="0.25">
      <c r="A126" s="12" t="s">
        <v>24</v>
      </c>
      <c r="B126" s="12" t="s">
        <v>25</v>
      </c>
      <c r="C126" s="13" t="s">
        <v>142</v>
      </c>
      <c r="D126" s="12" t="s">
        <v>143</v>
      </c>
      <c r="E126" s="12" t="s">
        <v>51</v>
      </c>
      <c r="F126" s="12" t="s">
        <v>104</v>
      </c>
      <c r="H126" s="14">
        <v>10.66</v>
      </c>
    </row>
    <row r="127" spans="1:9" x14ac:dyDescent="0.25">
      <c r="A127" s="12" t="s">
        <v>24</v>
      </c>
      <c r="B127" s="12" t="s">
        <v>25</v>
      </c>
      <c r="C127" s="13" t="s">
        <v>99</v>
      </c>
      <c r="D127" s="12" t="s">
        <v>144</v>
      </c>
      <c r="E127" s="12" t="s">
        <v>51</v>
      </c>
      <c r="F127" s="12" t="s">
        <v>104</v>
      </c>
      <c r="H127" s="14">
        <v>5.12</v>
      </c>
    </row>
    <row r="128" spans="1:9" x14ac:dyDescent="0.25">
      <c r="A128" s="12" t="s">
        <v>24</v>
      </c>
      <c r="B128" s="12" t="s">
        <v>25</v>
      </c>
      <c r="D128" s="12" t="s">
        <v>42</v>
      </c>
      <c r="E128" s="12" t="s">
        <v>42</v>
      </c>
      <c r="F128" s="12" t="s">
        <v>98</v>
      </c>
      <c r="H128" s="14">
        <v>1461.58</v>
      </c>
      <c r="I128" s="14">
        <f>G128-H128</f>
        <v>-1461.58</v>
      </c>
    </row>
    <row r="129" spans="1:9" s="19" customFormat="1" x14ac:dyDescent="0.25">
      <c r="A129" s="16" t="s">
        <v>42</v>
      </c>
      <c r="B129" s="16" t="s">
        <v>42</v>
      </c>
      <c r="C129" s="17" t="s">
        <v>99</v>
      </c>
      <c r="D129" s="16" t="s">
        <v>42</v>
      </c>
      <c r="E129" s="16" t="s">
        <v>42</v>
      </c>
      <c r="F129" s="16" t="s">
        <v>100</v>
      </c>
      <c r="G129" s="18"/>
      <c r="H129" s="18"/>
      <c r="I129" s="18">
        <f>SUBTOTAL(9, I115:I128)</f>
        <v>-1461.58</v>
      </c>
    </row>
    <row r="130" spans="1:9" x14ac:dyDescent="0.25">
      <c r="A130" s="12" t="s">
        <v>26</v>
      </c>
      <c r="B130" s="12" t="s">
        <v>27</v>
      </c>
      <c r="C130" s="13">
        <v>45658</v>
      </c>
      <c r="D130" s="12" t="s">
        <v>42</v>
      </c>
      <c r="E130" s="12" t="s">
        <v>42</v>
      </c>
      <c r="F130" s="12" t="s">
        <v>49</v>
      </c>
    </row>
    <row r="131" spans="1:9" x14ac:dyDescent="0.25">
      <c r="A131" s="12" t="s">
        <v>26</v>
      </c>
      <c r="B131" s="12" t="s">
        <v>27</v>
      </c>
      <c r="C131" s="13" t="s">
        <v>99</v>
      </c>
      <c r="D131" s="12" t="s">
        <v>165</v>
      </c>
      <c r="E131" s="12" t="s">
        <v>51</v>
      </c>
      <c r="F131" s="12" t="s">
        <v>166</v>
      </c>
      <c r="G131" s="14">
        <v>5000</v>
      </c>
    </row>
    <row r="132" spans="1:9" x14ac:dyDescent="0.25">
      <c r="A132" s="12" t="s">
        <v>26</v>
      </c>
      <c r="B132" s="12" t="s">
        <v>27</v>
      </c>
      <c r="D132" s="12" t="s">
        <v>42</v>
      </c>
      <c r="E132" s="12" t="s">
        <v>42</v>
      </c>
      <c r="F132" s="12" t="s">
        <v>98</v>
      </c>
      <c r="G132" s="14">
        <v>5000</v>
      </c>
      <c r="I132" s="14">
        <f>G132-H132</f>
        <v>5000</v>
      </c>
    </row>
    <row r="133" spans="1:9" s="19" customFormat="1" x14ac:dyDescent="0.25">
      <c r="A133" s="16" t="s">
        <v>42</v>
      </c>
      <c r="B133" s="16" t="s">
        <v>42</v>
      </c>
      <c r="C133" s="17" t="s">
        <v>99</v>
      </c>
      <c r="D133" s="16" t="s">
        <v>42</v>
      </c>
      <c r="E133" s="16" t="s">
        <v>42</v>
      </c>
      <c r="F133" s="16" t="s">
        <v>100</v>
      </c>
      <c r="G133" s="18"/>
      <c r="H133" s="18"/>
      <c r="I133" s="18">
        <f>SUBTOTAL(9, I130:I132)</f>
        <v>5000</v>
      </c>
    </row>
    <row r="134" spans="1:9" x14ac:dyDescent="0.25">
      <c r="A134" s="12" t="s">
        <v>28</v>
      </c>
      <c r="B134" s="12" t="s">
        <v>29</v>
      </c>
      <c r="C134" s="13">
        <v>45658</v>
      </c>
      <c r="D134" s="12" t="s">
        <v>42</v>
      </c>
      <c r="E134" s="12" t="s">
        <v>42</v>
      </c>
      <c r="F134" s="12" t="s">
        <v>49</v>
      </c>
    </row>
    <row r="135" spans="1:9" x14ac:dyDescent="0.25">
      <c r="A135" s="12" t="s">
        <v>28</v>
      </c>
      <c r="B135" s="12" t="s">
        <v>29</v>
      </c>
      <c r="C135" s="13" t="s">
        <v>99</v>
      </c>
      <c r="D135" s="12" t="s">
        <v>165</v>
      </c>
      <c r="E135" s="12" t="s">
        <v>51</v>
      </c>
      <c r="F135" s="12" t="s">
        <v>166</v>
      </c>
      <c r="G135" s="14">
        <v>7200</v>
      </c>
    </row>
    <row r="136" spans="1:9" x14ac:dyDescent="0.25">
      <c r="A136" s="12" t="s">
        <v>28</v>
      </c>
      <c r="B136" s="12" t="s">
        <v>29</v>
      </c>
      <c r="D136" s="12" t="s">
        <v>42</v>
      </c>
      <c r="E136" s="12" t="s">
        <v>42</v>
      </c>
      <c r="F136" s="12" t="s">
        <v>98</v>
      </c>
      <c r="G136" s="14">
        <v>7200</v>
      </c>
      <c r="I136" s="14">
        <f>G136-H136</f>
        <v>7200</v>
      </c>
    </row>
    <row r="137" spans="1:9" s="19" customFormat="1" x14ac:dyDescent="0.25">
      <c r="A137" s="16" t="s">
        <v>42</v>
      </c>
      <c r="B137" s="16" t="s">
        <v>42</v>
      </c>
      <c r="C137" s="17" t="s">
        <v>99</v>
      </c>
      <c r="D137" s="16" t="s">
        <v>42</v>
      </c>
      <c r="E137" s="16" t="s">
        <v>42</v>
      </c>
      <c r="F137" s="16" t="s">
        <v>100</v>
      </c>
      <c r="G137" s="18"/>
      <c r="H137" s="18"/>
      <c r="I137" s="18">
        <f>SUBTOTAL(9, I134:I136)</f>
        <v>7200</v>
      </c>
    </row>
    <row r="138" spans="1:9" x14ac:dyDescent="0.25">
      <c r="A138" s="12" t="s">
        <v>30</v>
      </c>
      <c r="B138" s="12" t="s">
        <v>31</v>
      </c>
      <c r="C138" s="13">
        <v>45658</v>
      </c>
      <c r="D138" s="12" t="s">
        <v>42</v>
      </c>
      <c r="E138" s="12" t="s">
        <v>42</v>
      </c>
      <c r="F138" s="12" t="s">
        <v>49</v>
      </c>
    </row>
    <row r="139" spans="1:9" x14ac:dyDescent="0.25">
      <c r="A139" s="12" t="s">
        <v>30</v>
      </c>
      <c r="B139" s="12" t="s">
        <v>31</v>
      </c>
      <c r="C139" s="13" t="s">
        <v>107</v>
      </c>
      <c r="D139" s="12" t="s">
        <v>108</v>
      </c>
      <c r="E139" s="12" t="s">
        <v>51</v>
      </c>
      <c r="F139" s="12" t="s">
        <v>109</v>
      </c>
      <c r="G139" s="14">
        <v>300</v>
      </c>
    </row>
    <row r="140" spans="1:9" x14ac:dyDescent="0.25">
      <c r="A140" s="12" t="s">
        <v>30</v>
      </c>
      <c r="B140" s="12" t="s">
        <v>31</v>
      </c>
      <c r="C140" s="13" t="s">
        <v>82</v>
      </c>
      <c r="D140" s="12" t="s">
        <v>83</v>
      </c>
      <c r="E140" s="12" t="s">
        <v>51</v>
      </c>
      <c r="F140" s="12" t="s">
        <v>84</v>
      </c>
      <c r="G140" s="14">
        <v>150</v>
      </c>
    </row>
    <row r="141" spans="1:9" x14ac:dyDescent="0.25">
      <c r="A141" s="12" t="s">
        <v>30</v>
      </c>
      <c r="B141" s="12" t="s">
        <v>31</v>
      </c>
      <c r="D141" s="12" t="s">
        <v>42</v>
      </c>
      <c r="E141" s="12" t="s">
        <v>42</v>
      </c>
      <c r="F141" s="12" t="s">
        <v>98</v>
      </c>
      <c r="G141" s="14">
        <v>450</v>
      </c>
      <c r="I141" s="14">
        <f>G141-H141</f>
        <v>450</v>
      </c>
    </row>
    <row r="142" spans="1:9" s="19" customFormat="1" x14ac:dyDescent="0.25">
      <c r="A142" s="16" t="s">
        <v>42</v>
      </c>
      <c r="B142" s="16" t="s">
        <v>42</v>
      </c>
      <c r="C142" s="17" t="s">
        <v>99</v>
      </c>
      <c r="D142" s="16" t="s">
        <v>42</v>
      </c>
      <c r="E142" s="16" t="s">
        <v>42</v>
      </c>
      <c r="F142" s="16" t="s">
        <v>100</v>
      </c>
      <c r="G142" s="18"/>
      <c r="H142" s="18"/>
      <c r="I142" s="18">
        <f>SUBTOTAL(9, I138:I141)</f>
        <v>450</v>
      </c>
    </row>
    <row r="143" spans="1:9" x14ac:dyDescent="0.25">
      <c r="A143" s="12" t="s">
        <v>32</v>
      </c>
      <c r="B143" s="12" t="s">
        <v>33</v>
      </c>
      <c r="C143" s="13">
        <v>45658</v>
      </c>
      <c r="D143" s="12" t="s">
        <v>42</v>
      </c>
      <c r="E143" s="12" t="s">
        <v>42</v>
      </c>
      <c r="F143" s="12" t="s">
        <v>49</v>
      </c>
    </row>
    <row r="144" spans="1:9" x14ac:dyDescent="0.25">
      <c r="A144" s="12" t="s">
        <v>32</v>
      </c>
      <c r="B144" s="12" t="s">
        <v>33</v>
      </c>
      <c r="C144" s="13" t="s">
        <v>99</v>
      </c>
      <c r="D144" s="12" t="s">
        <v>157</v>
      </c>
      <c r="E144" s="12" t="s">
        <v>51</v>
      </c>
      <c r="F144" s="12" t="s">
        <v>158</v>
      </c>
      <c r="G144" s="14">
        <v>4900</v>
      </c>
    </row>
    <row r="145" spans="1:9" x14ac:dyDescent="0.25">
      <c r="A145" s="12" t="s">
        <v>32</v>
      </c>
      <c r="B145" s="12" t="s">
        <v>33</v>
      </c>
      <c r="D145" s="12" t="s">
        <v>42</v>
      </c>
      <c r="E145" s="12" t="s">
        <v>42</v>
      </c>
      <c r="F145" s="12" t="s">
        <v>98</v>
      </c>
      <c r="G145" s="14">
        <v>4900</v>
      </c>
      <c r="I145" s="14">
        <f>G145-H145</f>
        <v>4900</v>
      </c>
    </row>
    <row r="146" spans="1:9" s="19" customFormat="1" x14ac:dyDescent="0.25">
      <c r="A146" s="16" t="s">
        <v>42</v>
      </c>
      <c r="B146" s="16" t="s">
        <v>42</v>
      </c>
      <c r="C146" s="17" t="s">
        <v>99</v>
      </c>
      <c r="D146" s="16" t="s">
        <v>42</v>
      </c>
      <c r="E146" s="16" t="s">
        <v>42</v>
      </c>
      <c r="F146" s="16" t="s">
        <v>100</v>
      </c>
      <c r="G146" s="18"/>
      <c r="H146" s="18"/>
      <c r="I146" s="18">
        <f>SUBTOTAL(9, I143:I145)</f>
        <v>4900</v>
      </c>
    </row>
    <row r="147" spans="1:9" x14ac:dyDescent="0.25">
      <c r="A147" s="12" t="s">
        <v>34</v>
      </c>
      <c r="B147" s="12" t="s">
        <v>35</v>
      </c>
      <c r="C147" s="13">
        <v>45658</v>
      </c>
      <c r="D147" s="12" t="s">
        <v>42</v>
      </c>
      <c r="E147" s="12" t="s">
        <v>42</v>
      </c>
      <c r="F147" s="12" t="s">
        <v>49</v>
      </c>
    </row>
    <row r="148" spans="1:9" x14ac:dyDescent="0.25">
      <c r="A148" s="12" t="s">
        <v>34</v>
      </c>
      <c r="B148" s="12" t="s">
        <v>35</v>
      </c>
      <c r="C148" s="13" t="s">
        <v>87</v>
      </c>
      <c r="D148" s="12" t="s">
        <v>88</v>
      </c>
      <c r="E148" s="12" t="s">
        <v>51</v>
      </c>
      <c r="F148" s="12" t="s">
        <v>89</v>
      </c>
      <c r="G148" s="14">
        <v>6844.32</v>
      </c>
    </row>
    <row r="149" spans="1:9" x14ac:dyDescent="0.25">
      <c r="A149" s="12" t="s">
        <v>34</v>
      </c>
      <c r="B149" s="12" t="s">
        <v>35</v>
      </c>
      <c r="D149" s="12" t="s">
        <v>42</v>
      </c>
      <c r="E149" s="12" t="s">
        <v>42</v>
      </c>
      <c r="F149" s="12" t="s">
        <v>98</v>
      </c>
      <c r="G149" s="14">
        <v>6844.32</v>
      </c>
      <c r="I149" s="14">
        <f>G149-H149</f>
        <v>6844.32</v>
      </c>
    </row>
    <row r="150" spans="1:9" s="19" customFormat="1" x14ac:dyDescent="0.25">
      <c r="A150" s="16" t="s">
        <v>42</v>
      </c>
      <c r="B150" s="16" t="s">
        <v>42</v>
      </c>
      <c r="C150" s="17" t="s">
        <v>99</v>
      </c>
      <c r="D150" s="16" t="s">
        <v>42</v>
      </c>
      <c r="E150" s="16" t="s">
        <v>42</v>
      </c>
      <c r="F150" s="16" t="s">
        <v>100</v>
      </c>
      <c r="G150" s="18"/>
      <c r="H150" s="18"/>
      <c r="I150" s="18">
        <f>SUBTOTAL(9, I147:I149)</f>
        <v>6844.32</v>
      </c>
    </row>
    <row r="151" spans="1:9" x14ac:dyDescent="0.25">
      <c r="A151" s="12" t="s">
        <v>36</v>
      </c>
      <c r="B151" s="12" t="s">
        <v>37</v>
      </c>
      <c r="C151" s="13">
        <v>45658</v>
      </c>
      <c r="D151" s="12" t="s">
        <v>42</v>
      </c>
      <c r="E151" s="12" t="s">
        <v>42</v>
      </c>
      <c r="F151" s="12" t="s">
        <v>49</v>
      </c>
    </row>
    <row r="152" spans="1:9" x14ac:dyDescent="0.25">
      <c r="A152" s="12" t="s">
        <v>36</v>
      </c>
      <c r="B152" s="12" t="s">
        <v>37</v>
      </c>
      <c r="C152" s="13" t="s">
        <v>72</v>
      </c>
      <c r="D152" s="12" t="s">
        <v>75</v>
      </c>
      <c r="E152" s="12" t="s">
        <v>51</v>
      </c>
      <c r="F152" s="12" t="s">
        <v>76</v>
      </c>
      <c r="G152" s="14">
        <v>7241</v>
      </c>
    </row>
    <row r="153" spans="1:9" x14ac:dyDescent="0.25">
      <c r="A153" s="12" t="s">
        <v>36</v>
      </c>
      <c r="B153" s="12" t="s">
        <v>37</v>
      </c>
      <c r="D153" s="12" t="s">
        <v>42</v>
      </c>
      <c r="E153" s="12" t="s">
        <v>42</v>
      </c>
      <c r="F153" s="12" t="s">
        <v>98</v>
      </c>
      <c r="G153" s="14">
        <v>7241</v>
      </c>
      <c r="I153" s="14">
        <f>G153-H153</f>
        <v>7241</v>
      </c>
    </row>
    <row r="154" spans="1:9" s="19" customFormat="1" x14ac:dyDescent="0.25">
      <c r="A154" s="16" t="s">
        <v>42</v>
      </c>
      <c r="B154" s="16" t="s">
        <v>42</v>
      </c>
      <c r="C154" s="17" t="s">
        <v>99</v>
      </c>
      <c r="D154" s="16" t="s">
        <v>42</v>
      </c>
      <c r="E154" s="16" t="s">
        <v>42</v>
      </c>
      <c r="F154" s="16" t="s">
        <v>100</v>
      </c>
      <c r="G154" s="18"/>
      <c r="H154" s="18"/>
      <c r="I154" s="18">
        <f>SUBTOTAL(9, I151:I153)</f>
        <v>7241</v>
      </c>
    </row>
    <row r="155" spans="1:9" x14ac:dyDescent="0.25">
      <c r="A155" s="12" t="s">
        <v>38</v>
      </c>
      <c r="B155" s="12" t="s">
        <v>39</v>
      </c>
      <c r="C155" s="13">
        <v>45658</v>
      </c>
      <c r="D155" s="12" t="s">
        <v>42</v>
      </c>
      <c r="E155" s="12" t="s">
        <v>42</v>
      </c>
      <c r="F155" s="12" t="s">
        <v>49</v>
      </c>
    </row>
    <row r="156" spans="1:9" x14ac:dyDescent="0.25">
      <c r="A156" s="12" t="s">
        <v>38</v>
      </c>
      <c r="B156" s="12" t="s">
        <v>39</v>
      </c>
      <c r="C156" s="13" t="s">
        <v>55</v>
      </c>
      <c r="D156" s="12" t="s">
        <v>58</v>
      </c>
      <c r="E156" s="12" t="s">
        <v>51</v>
      </c>
      <c r="F156" s="12" t="s">
        <v>59</v>
      </c>
      <c r="G156" s="14">
        <v>4800</v>
      </c>
    </row>
    <row r="157" spans="1:9" x14ac:dyDescent="0.25">
      <c r="A157" s="12" t="s">
        <v>38</v>
      </c>
      <c r="B157" s="12" t="s">
        <v>39</v>
      </c>
      <c r="C157" s="13" t="s">
        <v>64</v>
      </c>
      <c r="D157" s="12" t="s">
        <v>67</v>
      </c>
      <c r="E157" s="12" t="s">
        <v>51</v>
      </c>
      <c r="F157" s="12" t="s">
        <v>68</v>
      </c>
      <c r="G157" s="14">
        <v>18200</v>
      </c>
    </row>
    <row r="158" spans="1:9" x14ac:dyDescent="0.25">
      <c r="A158" s="12" t="s">
        <v>38</v>
      </c>
      <c r="B158" s="12" t="s">
        <v>39</v>
      </c>
      <c r="D158" s="12" t="s">
        <v>42</v>
      </c>
      <c r="E158" s="12" t="s">
        <v>42</v>
      </c>
      <c r="F158" s="12" t="s">
        <v>98</v>
      </c>
      <c r="G158" s="14">
        <v>23000</v>
      </c>
      <c r="I158" s="14">
        <f>G158-H158</f>
        <v>23000</v>
      </c>
    </row>
    <row r="159" spans="1:9" s="19" customFormat="1" x14ac:dyDescent="0.25">
      <c r="A159" s="16" t="s">
        <v>42</v>
      </c>
      <c r="B159" s="16" t="s">
        <v>42</v>
      </c>
      <c r="C159" s="17" t="s">
        <v>99</v>
      </c>
      <c r="D159" s="16" t="s">
        <v>42</v>
      </c>
      <c r="E159" s="16" t="s">
        <v>42</v>
      </c>
      <c r="F159" s="16" t="s">
        <v>100</v>
      </c>
      <c r="G159" s="18"/>
      <c r="H159" s="18"/>
      <c r="I159" s="18">
        <f>SUBTOTAL(9, I155:I158)</f>
        <v>23000</v>
      </c>
    </row>
    <row r="160" spans="1:9" x14ac:dyDescent="0.25">
      <c r="A160" s="12" t="s">
        <v>40</v>
      </c>
      <c r="B160" s="12" t="s">
        <v>41</v>
      </c>
      <c r="C160" s="13">
        <v>45658</v>
      </c>
      <c r="D160" s="12" t="s">
        <v>42</v>
      </c>
      <c r="E160" s="12" t="s">
        <v>42</v>
      </c>
      <c r="F160" s="12" t="s">
        <v>49</v>
      </c>
    </row>
    <row r="161" spans="1:9" x14ac:dyDescent="0.25">
      <c r="A161" s="12" t="s">
        <v>40</v>
      </c>
      <c r="B161" s="12" t="s">
        <v>41</v>
      </c>
      <c r="C161" s="13" t="s">
        <v>55</v>
      </c>
      <c r="D161" s="12" t="s">
        <v>56</v>
      </c>
      <c r="E161" s="12" t="s">
        <v>51</v>
      </c>
      <c r="F161" s="12" t="s">
        <v>57</v>
      </c>
      <c r="G161" s="14">
        <v>2485.86</v>
      </c>
    </row>
    <row r="162" spans="1:9" x14ac:dyDescent="0.25">
      <c r="A162" s="12" t="s">
        <v>40</v>
      </c>
      <c r="B162" s="12" t="s">
        <v>41</v>
      </c>
      <c r="C162" s="13">
        <v>45780</v>
      </c>
      <c r="D162" s="12" t="s">
        <v>60</v>
      </c>
      <c r="E162" s="12" t="s">
        <v>51</v>
      </c>
      <c r="F162" s="12" t="s">
        <v>61</v>
      </c>
      <c r="G162" s="14">
        <v>4366.6000000000004</v>
      </c>
    </row>
    <row r="163" spans="1:9" x14ac:dyDescent="0.25">
      <c r="A163" s="12" t="s">
        <v>40</v>
      </c>
      <c r="B163" s="12" t="s">
        <v>41</v>
      </c>
      <c r="C163" s="13" t="s">
        <v>69</v>
      </c>
      <c r="D163" s="12" t="s">
        <v>70</v>
      </c>
      <c r="E163" s="12" t="s">
        <v>51</v>
      </c>
      <c r="F163" s="12" t="s">
        <v>71</v>
      </c>
      <c r="G163" s="14">
        <v>4604.13</v>
      </c>
    </row>
    <row r="164" spans="1:9" x14ac:dyDescent="0.25">
      <c r="A164" s="12" t="s">
        <v>40</v>
      </c>
      <c r="B164" s="12" t="s">
        <v>41</v>
      </c>
      <c r="C164" s="13" t="s">
        <v>72</v>
      </c>
      <c r="D164" s="12" t="s">
        <v>73</v>
      </c>
      <c r="E164" s="12" t="s">
        <v>51</v>
      </c>
      <c r="F164" s="12" t="s">
        <v>74</v>
      </c>
      <c r="G164" s="14">
        <v>2800</v>
      </c>
    </row>
    <row r="165" spans="1:9" x14ac:dyDescent="0.25">
      <c r="A165" s="12" t="s">
        <v>40</v>
      </c>
      <c r="B165" s="12" t="s">
        <v>41</v>
      </c>
      <c r="C165" s="13">
        <v>45936</v>
      </c>
      <c r="D165" s="12" t="s">
        <v>77</v>
      </c>
      <c r="E165" s="12" t="s">
        <v>51</v>
      </c>
      <c r="F165" s="12" t="s">
        <v>78</v>
      </c>
      <c r="G165" s="14">
        <v>6026</v>
      </c>
    </row>
    <row r="166" spans="1:9" x14ac:dyDescent="0.25">
      <c r="A166" s="12" t="s">
        <v>40</v>
      </c>
      <c r="B166" s="12" t="s">
        <v>41</v>
      </c>
      <c r="C166" s="13" t="s">
        <v>95</v>
      </c>
      <c r="D166" s="12" t="s">
        <v>96</v>
      </c>
      <c r="E166" s="12" t="s">
        <v>51</v>
      </c>
      <c r="F166" s="12" t="s">
        <v>97</v>
      </c>
      <c r="G166" s="14">
        <v>18156.650000000001</v>
      </c>
    </row>
    <row r="167" spans="1:9" x14ac:dyDescent="0.25">
      <c r="A167" s="12" t="s">
        <v>40</v>
      </c>
      <c r="B167" s="12" t="s">
        <v>41</v>
      </c>
      <c r="D167" s="12" t="s">
        <v>42</v>
      </c>
      <c r="E167" s="12" t="s">
        <v>42</v>
      </c>
      <c r="F167" s="12" t="s">
        <v>98</v>
      </c>
      <c r="G167" s="14">
        <v>38439.24</v>
      </c>
      <c r="I167" s="14">
        <f>G167-H167</f>
        <v>38439.24</v>
      </c>
    </row>
    <row r="168" spans="1:9" s="19" customFormat="1" ht="13.5" thickBot="1" x14ac:dyDescent="0.3">
      <c r="A168" s="20" t="s">
        <v>42</v>
      </c>
      <c r="B168" s="20" t="s">
        <v>42</v>
      </c>
      <c r="C168" s="21" t="s">
        <v>99</v>
      </c>
      <c r="D168" s="20" t="s">
        <v>42</v>
      </c>
      <c r="E168" s="20" t="s">
        <v>42</v>
      </c>
      <c r="F168" s="20" t="s">
        <v>100</v>
      </c>
      <c r="G168" s="22"/>
      <c r="H168" s="22"/>
      <c r="I168" s="22">
        <f>SUBTOTAL(9, I160:I167)</f>
        <v>38439.24</v>
      </c>
    </row>
  </sheetData>
  <phoneticPr fontId="4" type="noConversion"/>
  <pageMargins left="0.7" right="0.7" top="1.25" bottom="0.65277777777777779" header="0.3" footer="0.3"/>
  <pageSetup paperSize="9" orientation="landscape" r:id="rId1"/>
  <headerFooter>
    <oddHeader>&amp;C&amp;"Arial"&amp;12&amp;B International Data Industry AllianceLtd&amp;B
&amp;11&amp;B General Ledger&amp;B
&amp;B For the Period From 1 Jan 2025 to 31 Dec 2025&amp;B&amp;L&amp;"Arial"&amp;12
&amp;11
&amp;"Arial"&amp;8 Filter Criteria includes: Report order is by ID. Report is printed with shortened descriptio</oddHeader>
    <oddFooter>&amp;L&amp;9&amp;"Arial"&amp;B&amp;D at &amp;T&amp;R&amp;9&amp;"Arial"&amp;BPage: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1D49-E350-40CE-90FC-D436CCC1E6A2}">
  <dimension ref="A1:E28"/>
  <sheetViews>
    <sheetView workbookViewId="0"/>
  </sheetViews>
  <sheetFormatPr defaultRowHeight="12.75" x14ac:dyDescent="0.25"/>
  <cols>
    <col min="1" max="1" width="30.625" style="28" customWidth="1"/>
    <col min="2" max="2" width="13.625" style="28" customWidth="1"/>
    <col min="3" max="3" width="8.625" style="28" customWidth="1"/>
    <col min="4" max="4" width="14.625" style="28" customWidth="1"/>
    <col min="5" max="5" width="8.625" style="28" customWidth="1"/>
    <col min="6" max="16384" width="9" style="28"/>
  </cols>
  <sheetData>
    <row r="1" spans="1:5" x14ac:dyDescent="0.25">
      <c r="A1" s="30"/>
      <c r="B1" s="31" t="s">
        <v>169</v>
      </c>
      <c r="C1" s="30"/>
      <c r="D1" s="31" t="s">
        <v>170</v>
      </c>
      <c r="E1" s="30"/>
    </row>
    <row r="2" spans="1:5" x14ac:dyDescent="0.25">
      <c r="A2" s="32" t="s">
        <v>171</v>
      </c>
    </row>
    <row r="3" spans="1:5" x14ac:dyDescent="0.25">
      <c r="A3" s="32" t="s">
        <v>23</v>
      </c>
      <c r="B3" s="33">
        <v>116174</v>
      </c>
      <c r="C3" s="34">
        <f>IF(117635.58&lt;&gt;0, (B3/117635.58)*100, 0)</f>
        <v>98.757535772765351</v>
      </c>
      <c r="D3" s="33">
        <v>116174</v>
      </c>
      <c r="E3" s="34">
        <f>IF(117635.58&lt;&gt;0, (D3/117635.58)*100, 0)</f>
        <v>98.757535772765351</v>
      </c>
    </row>
    <row r="4" spans="1:5" x14ac:dyDescent="0.25">
      <c r="A4" s="32" t="s">
        <v>25</v>
      </c>
      <c r="B4" s="34">
        <v>1461.58</v>
      </c>
      <c r="C4" s="34">
        <f>IF(117635.58&lt;&gt;0, (B4/117635.58)*100, 0)</f>
        <v>1.2424642272346511</v>
      </c>
      <c r="D4" s="34">
        <v>1461.58</v>
      </c>
      <c r="E4" s="34">
        <f>IF(117635.58&lt;&gt;0, (D4/117635.58)*100, 0)</f>
        <v>1.2424642272346511</v>
      </c>
    </row>
    <row r="5" spans="1:5" customFormat="1" ht="16.5" x14ac:dyDescent="0.25">
      <c r="A5" s="35"/>
      <c r="B5" s="37"/>
      <c r="C5" s="36"/>
      <c r="D5" s="37"/>
      <c r="E5" s="36"/>
    </row>
    <row r="6" spans="1:5" x14ac:dyDescent="0.25">
      <c r="A6" s="32" t="s">
        <v>172</v>
      </c>
      <c r="B6" s="34">
        <f>ROUND(SUBTOTAL(9, B2:B5), 5)</f>
        <v>117635.58</v>
      </c>
      <c r="C6" s="34">
        <f>ROUND(SUBTOTAL(9, C2:C5), 5)</f>
        <v>100</v>
      </c>
      <c r="D6" s="34">
        <f>ROUND(SUBTOTAL(9, D2:D5), 5)</f>
        <v>117635.58</v>
      </c>
      <c r="E6" s="34">
        <f>ROUND(SUBTOTAL(9, E2:E5), 5)</f>
        <v>100</v>
      </c>
    </row>
    <row r="7" spans="1:5" customFormat="1" ht="16.5" x14ac:dyDescent="0.25">
      <c r="A7" s="35"/>
      <c r="B7" s="37"/>
      <c r="C7" s="36"/>
      <c r="D7" s="37"/>
      <c r="E7" s="36"/>
    </row>
    <row r="8" spans="1:5" x14ac:dyDescent="0.25">
      <c r="A8" s="30" t="s">
        <v>42</v>
      </c>
    </row>
    <row r="9" spans="1:5" x14ac:dyDescent="0.25">
      <c r="A9" s="32" t="s">
        <v>173</v>
      </c>
    </row>
    <row r="10" spans="1:5" customFormat="1" ht="16.5" x14ac:dyDescent="0.25">
      <c r="A10" s="35"/>
      <c r="B10" s="37"/>
      <c r="C10" s="36"/>
      <c r="D10" s="37"/>
      <c r="E10" s="36"/>
    </row>
    <row r="11" spans="1:5" x14ac:dyDescent="0.25">
      <c r="A11" s="32" t="s">
        <v>174</v>
      </c>
      <c r="B11" s="34">
        <f>ROUND(SUBTOTAL(9, B8:B10), 5)</f>
        <v>0</v>
      </c>
      <c r="C11" s="34">
        <f>ROUND(SUBTOTAL(9, C8:C10), 5)</f>
        <v>0</v>
      </c>
      <c r="D11" s="34">
        <f>ROUND(SUBTOTAL(9, D8:D10), 5)</f>
        <v>0</v>
      </c>
      <c r="E11" s="34">
        <f>ROUND(SUBTOTAL(9, E8:E10), 5)</f>
        <v>0</v>
      </c>
    </row>
    <row r="12" spans="1:5" customFormat="1" ht="16.5" x14ac:dyDescent="0.25">
      <c r="A12" s="35"/>
      <c r="B12" s="37"/>
      <c r="C12" s="36"/>
      <c r="D12" s="37"/>
      <c r="E12" s="36"/>
    </row>
    <row r="13" spans="1:5" x14ac:dyDescent="0.25">
      <c r="A13" s="32" t="s">
        <v>175</v>
      </c>
      <c r="B13" s="34">
        <f>-(ROUND(-B6+B11, 5))</f>
        <v>117635.58</v>
      </c>
      <c r="C13" s="34">
        <f>-(ROUND(-C6+C11, 5))</f>
        <v>100</v>
      </c>
      <c r="D13" s="34">
        <f>-(ROUND(-D6+D11, 5))</f>
        <v>117635.58</v>
      </c>
      <c r="E13" s="34">
        <f>-(ROUND(-E6+E11, 5))</f>
        <v>100</v>
      </c>
    </row>
    <row r="14" spans="1:5" customFormat="1" ht="16.5" x14ac:dyDescent="0.25">
      <c r="A14" s="35"/>
      <c r="B14" s="37"/>
      <c r="C14" s="36"/>
      <c r="D14" s="37"/>
      <c r="E14" s="36"/>
    </row>
    <row r="15" spans="1:5" x14ac:dyDescent="0.25">
      <c r="A15" s="32" t="s">
        <v>176</v>
      </c>
    </row>
    <row r="16" spans="1:5" x14ac:dyDescent="0.25">
      <c r="A16" s="32" t="s">
        <v>27</v>
      </c>
      <c r="B16" s="34">
        <v>5000</v>
      </c>
      <c r="C16" s="34">
        <f>IF(117635.58&lt;&gt;0, (B16/117635.58)*100, 0)</f>
        <v>4.2504147129635443</v>
      </c>
      <c r="D16" s="34">
        <v>5000</v>
      </c>
      <c r="E16" s="34">
        <f>IF(117635.58&lt;&gt;0, (D16/117635.58)*100, 0)</f>
        <v>4.2504147129635443</v>
      </c>
    </row>
    <row r="17" spans="1:5" x14ac:dyDescent="0.25">
      <c r="A17" s="32" t="s">
        <v>29</v>
      </c>
      <c r="B17" s="34">
        <v>7200</v>
      </c>
      <c r="C17" s="34">
        <f>IF(117635.58&lt;&gt;0, (B17/117635.58)*100, 0)</f>
        <v>6.1205971866675029</v>
      </c>
      <c r="D17" s="34">
        <v>7200</v>
      </c>
      <c r="E17" s="34">
        <f>IF(117635.58&lt;&gt;0, (D17/117635.58)*100, 0)</f>
        <v>6.1205971866675029</v>
      </c>
    </row>
    <row r="18" spans="1:5" x14ac:dyDescent="0.25">
      <c r="A18" s="32" t="s">
        <v>31</v>
      </c>
      <c r="B18" s="34">
        <v>450</v>
      </c>
      <c r="C18" s="34">
        <f>IF(117635.58&lt;&gt;0, (B18/117635.58)*100, 0)</f>
        <v>0.38253732416671893</v>
      </c>
      <c r="D18" s="34">
        <v>450</v>
      </c>
      <c r="E18" s="34">
        <f>IF(117635.58&lt;&gt;0, (D18/117635.58)*100, 0)</f>
        <v>0.38253732416671893</v>
      </c>
    </row>
    <row r="19" spans="1:5" x14ac:dyDescent="0.25">
      <c r="A19" s="32" t="s">
        <v>33</v>
      </c>
      <c r="B19" s="34">
        <v>4900</v>
      </c>
      <c r="C19" s="34">
        <f>IF(117635.58&lt;&gt;0, (B19/117635.58)*100, 0)</f>
        <v>4.165406418704273</v>
      </c>
      <c r="D19" s="34">
        <v>4900</v>
      </c>
      <c r="E19" s="34">
        <f>IF(117635.58&lt;&gt;0, (D19/117635.58)*100, 0)</f>
        <v>4.165406418704273</v>
      </c>
    </row>
    <row r="20" spans="1:5" x14ac:dyDescent="0.25">
      <c r="A20" s="32" t="s">
        <v>35</v>
      </c>
      <c r="B20" s="34">
        <v>6844.32</v>
      </c>
      <c r="C20" s="34">
        <f>IF(117635.58&lt;&gt;0, (B20/117635.58)*100, 0)</f>
        <v>5.8182396856461285</v>
      </c>
      <c r="D20" s="34">
        <v>6844.32</v>
      </c>
      <c r="E20" s="34">
        <f>IF(117635.58&lt;&gt;0, (D20/117635.58)*100, 0)</f>
        <v>5.8182396856461285</v>
      </c>
    </row>
    <row r="21" spans="1:5" x14ac:dyDescent="0.25">
      <c r="A21" s="32" t="s">
        <v>37</v>
      </c>
      <c r="B21" s="34">
        <v>7241</v>
      </c>
      <c r="C21" s="34">
        <f>IF(117635.58&lt;&gt;0, (B21/117635.58)*100, 0)</f>
        <v>6.1554505873138048</v>
      </c>
      <c r="D21" s="34">
        <v>7241</v>
      </c>
      <c r="E21" s="34">
        <f>IF(117635.58&lt;&gt;0, (D21/117635.58)*100, 0)</f>
        <v>6.1554505873138048</v>
      </c>
    </row>
    <row r="22" spans="1:5" x14ac:dyDescent="0.25">
      <c r="A22" s="32" t="s">
        <v>39</v>
      </c>
      <c r="B22" s="34">
        <v>23000</v>
      </c>
      <c r="C22" s="34">
        <f>IF(117635.58&lt;&gt;0, (B22/117635.58)*100, 0)</f>
        <v>19.551907679632301</v>
      </c>
      <c r="D22" s="34">
        <v>23000</v>
      </c>
      <c r="E22" s="34">
        <f>IF(117635.58&lt;&gt;0, (D22/117635.58)*100, 0)</f>
        <v>19.551907679632301</v>
      </c>
    </row>
    <row r="23" spans="1:5" x14ac:dyDescent="0.25">
      <c r="A23" s="32" t="s">
        <v>41</v>
      </c>
      <c r="B23" s="34">
        <v>38439.24</v>
      </c>
      <c r="C23" s="34">
        <f>IF(117635.58&lt;&gt;0, (B23/117635.58)*100, 0)</f>
        <v>32.676542250227349</v>
      </c>
      <c r="D23" s="34">
        <v>38439.24</v>
      </c>
      <c r="E23" s="34">
        <f>IF(117635.58&lt;&gt;0, (D23/117635.58)*100, 0)</f>
        <v>32.676542250227349</v>
      </c>
    </row>
    <row r="24" spans="1:5" customFormat="1" ht="16.5" x14ac:dyDescent="0.25">
      <c r="A24" s="35"/>
      <c r="B24" s="37"/>
      <c r="C24" s="36"/>
      <c r="D24" s="37"/>
      <c r="E24" s="36"/>
    </row>
    <row r="25" spans="1:5" x14ac:dyDescent="0.25">
      <c r="A25" s="32" t="s">
        <v>177</v>
      </c>
      <c r="B25" s="34">
        <f>ROUND(SUBTOTAL(9, B15:B24), 5)</f>
        <v>93074.559999999998</v>
      </c>
      <c r="C25" s="34">
        <f>ROUND(SUBTOTAL(9, C15:C24), 5)</f>
        <v>79.121099999999998</v>
      </c>
      <c r="D25" s="34">
        <f>ROUND(SUBTOTAL(9, D15:D24), 5)</f>
        <v>93074.559999999998</v>
      </c>
      <c r="E25" s="34">
        <f>ROUND(SUBTOTAL(9, E15:E24), 5)</f>
        <v>79.121099999999998</v>
      </c>
    </row>
    <row r="26" spans="1:5" customFormat="1" ht="16.5" x14ac:dyDescent="0.25">
      <c r="A26" s="35"/>
      <c r="B26" s="37"/>
      <c r="C26" s="36"/>
      <c r="D26" s="37"/>
      <c r="E26" s="36"/>
    </row>
    <row r="27" spans="1:5" ht="13.5" thickBot="1" x14ac:dyDescent="0.3">
      <c r="A27" s="32" t="s">
        <v>178</v>
      </c>
      <c r="B27" s="33">
        <f>-(ROUND(-B13+B25, 5))</f>
        <v>24561.02</v>
      </c>
      <c r="C27" s="34">
        <f>-(ROUND(-C13+C25, 5))</f>
        <v>20.878900000000002</v>
      </c>
      <c r="D27" s="33">
        <f>-(ROUND(-D13+D25, 5))</f>
        <v>24561.02</v>
      </c>
      <c r="E27" s="34">
        <f>-(ROUND(-E13+E25, 5))</f>
        <v>20.878900000000002</v>
      </c>
    </row>
    <row r="28" spans="1:5" customFormat="1" ht="18" thickTop="1" thickBot="1" x14ac:dyDescent="0.3">
      <c r="A28" s="39"/>
      <c r="B28" s="40"/>
      <c r="C28" s="41"/>
      <c r="D28" s="40"/>
      <c r="E28" s="41"/>
    </row>
  </sheetData>
  <phoneticPr fontId="4" type="noConversion"/>
  <pageMargins left="0.7" right="0.7" top="1.375" bottom="0.65277777777777779" header="0.3" footer="0.3"/>
  <pageSetup paperSize="9" orientation="landscape" r:id="rId1"/>
  <headerFooter>
    <oddHeader xml:space="preserve">&amp;C&amp;"Times New Roman"&amp;8 
&amp;10 International Data Industry AllianceLtd
 Income Statement
 For the Twelve Months Ending 31 December 2025
 &amp;L&amp;"Times New Roman"&amp;8
&amp;10
</oddHeader>
    <oddFooter>&amp;L&amp;10&amp;"Times New Roman"&amp;D at &amp;T&amp;R&amp;10&amp;"Times New Roman"Page: &amp;P&amp;C&amp;10&amp;"Times New Roman"For Management Purposes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22BD-07BC-4A5D-BE00-D873921F4A09}">
  <dimension ref="A1:C47"/>
  <sheetViews>
    <sheetView workbookViewId="0">
      <pane ySplit="1" topLeftCell="A2" activePane="bottomLeft" state="frozenSplit"/>
      <selection pane="bottomLeft"/>
    </sheetView>
  </sheetViews>
  <sheetFormatPr defaultRowHeight="12.75" x14ac:dyDescent="0.25"/>
  <cols>
    <col min="1" max="1" width="31.625" style="28" customWidth="1"/>
    <col min="2" max="3" width="13.625" style="28" customWidth="1"/>
    <col min="4" max="16384" width="9" style="28"/>
  </cols>
  <sheetData>
    <row r="1" spans="1:3" x14ac:dyDescent="0.25">
      <c r="A1" s="29"/>
      <c r="B1" s="29"/>
      <c r="C1" s="29"/>
    </row>
    <row r="2" spans="1:3" x14ac:dyDescent="0.25">
      <c r="A2" s="30" t="s">
        <v>179</v>
      </c>
    </row>
    <row r="3" spans="1:3" x14ac:dyDescent="0.25">
      <c r="A3" s="30" t="s">
        <v>42</v>
      </c>
    </row>
    <row r="4" spans="1:3" x14ac:dyDescent="0.25">
      <c r="A4" s="32" t="s">
        <v>180</v>
      </c>
    </row>
    <row r="5" spans="1:3" x14ac:dyDescent="0.25">
      <c r="A5" s="32" t="s">
        <v>5</v>
      </c>
      <c r="B5" s="33">
        <v>37231.660000000003</v>
      </c>
      <c r="C5" s="32" t="s">
        <v>42</v>
      </c>
    </row>
    <row r="6" spans="1:3" x14ac:dyDescent="0.25">
      <c r="A6" s="32" t="s">
        <v>7</v>
      </c>
      <c r="B6" s="34">
        <v>603180.5</v>
      </c>
      <c r="C6" s="32" t="s">
        <v>42</v>
      </c>
    </row>
    <row r="7" spans="1:3" x14ac:dyDescent="0.25">
      <c r="A7" s="32" t="s">
        <v>9</v>
      </c>
      <c r="B7" s="34">
        <v>64000</v>
      </c>
      <c r="C7" s="32" t="s">
        <v>42</v>
      </c>
    </row>
    <row r="8" spans="1:3" x14ac:dyDescent="0.25">
      <c r="A8" s="32" t="s">
        <v>11</v>
      </c>
      <c r="B8" s="34">
        <v>4900</v>
      </c>
      <c r="C8" s="32" t="s">
        <v>42</v>
      </c>
    </row>
    <row r="9" spans="1:3" customFormat="1" ht="16.5" x14ac:dyDescent="0.25">
      <c r="A9" s="35"/>
      <c r="B9" s="42"/>
      <c r="C9" s="36"/>
    </row>
    <row r="10" spans="1:3" x14ac:dyDescent="0.25">
      <c r="A10" s="32" t="s">
        <v>181</v>
      </c>
      <c r="B10" s="32" t="s">
        <v>42</v>
      </c>
      <c r="C10" s="34">
        <f>ROUND(SUBTOTAL(9, B2:B9), 5)</f>
        <v>709312.16</v>
      </c>
    </row>
    <row r="11" spans="1:3" x14ac:dyDescent="0.25">
      <c r="A11" s="30" t="s">
        <v>42</v>
      </c>
    </row>
    <row r="12" spans="1:3" x14ac:dyDescent="0.25">
      <c r="A12" s="32" t="s">
        <v>182</v>
      </c>
    </row>
    <row r="13" spans="1:3" x14ac:dyDescent="0.25">
      <c r="A13" s="32" t="s">
        <v>13</v>
      </c>
      <c r="B13" s="34">
        <v>5750</v>
      </c>
      <c r="C13" s="32" t="s">
        <v>42</v>
      </c>
    </row>
    <row r="14" spans="1:3" x14ac:dyDescent="0.25">
      <c r="A14" s="32" t="s">
        <v>15</v>
      </c>
      <c r="B14" s="34">
        <v>-5750</v>
      </c>
      <c r="C14" s="32" t="s">
        <v>42</v>
      </c>
    </row>
    <row r="15" spans="1:3" customFormat="1" ht="16.5" x14ac:dyDescent="0.25">
      <c r="A15" s="35"/>
      <c r="B15" s="42"/>
      <c r="C15" s="36"/>
    </row>
    <row r="16" spans="1:3" x14ac:dyDescent="0.25">
      <c r="A16" s="32" t="s">
        <v>183</v>
      </c>
      <c r="B16" s="32" t="s">
        <v>42</v>
      </c>
      <c r="C16" s="34">
        <f>ROUND(SUBTOTAL(9, B11:B15), 5)</f>
        <v>0</v>
      </c>
    </row>
    <row r="17" spans="1:3" x14ac:dyDescent="0.25">
      <c r="A17" s="30" t="s">
        <v>42</v>
      </c>
    </row>
    <row r="18" spans="1:3" x14ac:dyDescent="0.25">
      <c r="A18" s="32" t="s">
        <v>184</v>
      </c>
    </row>
    <row r="19" spans="1:3" customFormat="1" ht="16.5" x14ac:dyDescent="0.25">
      <c r="A19" s="35"/>
      <c r="B19" s="42"/>
      <c r="C19" s="36"/>
    </row>
    <row r="20" spans="1:3" x14ac:dyDescent="0.25">
      <c r="A20" s="32" t="s">
        <v>185</v>
      </c>
      <c r="B20" s="32" t="s">
        <v>42</v>
      </c>
      <c r="C20" s="34">
        <f>ROUND(SUBTOTAL(9, C17:C19), 5)</f>
        <v>0</v>
      </c>
    </row>
    <row r="21" spans="1:3" customFormat="1" ht="16.5" x14ac:dyDescent="0.25">
      <c r="A21" s="35"/>
      <c r="B21" s="35"/>
      <c r="C21" s="37"/>
    </row>
    <row r="22" spans="1:3" ht="13.5" thickBot="1" x14ac:dyDescent="0.3">
      <c r="A22" s="32" t="s">
        <v>186</v>
      </c>
      <c r="B22" s="32" t="s">
        <v>42</v>
      </c>
      <c r="C22" s="33">
        <f>ROUND(C10+C16+C20, 5)</f>
        <v>709312.16</v>
      </c>
    </row>
    <row r="23" spans="1:3" customFormat="1" ht="17.25" thickTop="1" x14ac:dyDescent="0.25">
      <c r="A23" s="35"/>
      <c r="B23" s="35"/>
      <c r="C23" s="38"/>
    </row>
    <row r="24" spans="1:3" x14ac:dyDescent="0.25">
      <c r="A24" s="30" t="s">
        <v>42</v>
      </c>
    </row>
    <row r="25" spans="1:3" x14ac:dyDescent="0.25">
      <c r="A25" s="30" t="s">
        <v>42</v>
      </c>
    </row>
    <row r="26" spans="1:3" x14ac:dyDescent="0.25">
      <c r="A26" s="30" t="s">
        <v>187</v>
      </c>
    </row>
    <row r="27" spans="1:3" x14ac:dyDescent="0.25">
      <c r="A27" s="30" t="s">
        <v>42</v>
      </c>
    </row>
    <row r="28" spans="1:3" x14ac:dyDescent="0.25">
      <c r="A28" s="32" t="s">
        <v>188</v>
      </c>
    </row>
    <row r="29" spans="1:3" x14ac:dyDescent="0.25">
      <c r="A29" s="32" t="s">
        <v>17</v>
      </c>
      <c r="B29" s="33">
        <v>123310</v>
      </c>
      <c r="C29" s="32" t="s">
        <v>42</v>
      </c>
    </row>
    <row r="30" spans="1:3" x14ac:dyDescent="0.25">
      <c r="A30" s="32" t="s">
        <v>19</v>
      </c>
      <c r="B30" s="34">
        <v>12200</v>
      </c>
      <c r="C30" s="32" t="s">
        <v>42</v>
      </c>
    </row>
    <row r="31" spans="1:3" customFormat="1" ht="16.5" x14ac:dyDescent="0.25">
      <c r="A31" s="35"/>
      <c r="B31" s="42"/>
      <c r="C31" s="36"/>
    </row>
    <row r="32" spans="1:3" x14ac:dyDescent="0.25">
      <c r="A32" s="32" t="s">
        <v>189</v>
      </c>
      <c r="B32" s="32" t="s">
        <v>42</v>
      </c>
      <c r="C32" s="34">
        <f>ROUND(SUBTOTAL(9, B24:B31), 5)</f>
        <v>135510</v>
      </c>
    </row>
    <row r="33" spans="1:3" x14ac:dyDescent="0.25">
      <c r="A33" s="30" t="s">
        <v>42</v>
      </c>
    </row>
    <row r="34" spans="1:3" x14ac:dyDescent="0.25">
      <c r="A34" s="32" t="s">
        <v>190</v>
      </c>
    </row>
    <row r="35" spans="1:3" customFormat="1" ht="16.5" x14ac:dyDescent="0.25">
      <c r="A35" s="35"/>
      <c r="B35" s="42"/>
      <c r="C35" s="36"/>
    </row>
    <row r="36" spans="1:3" x14ac:dyDescent="0.25">
      <c r="A36" s="32" t="s">
        <v>191</v>
      </c>
      <c r="B36" s="32" t="s">
        <v>42</v>
      </c>
      <c r="C36" s="34">
        <f>ROUND(SUBTOTAL(9, C33:C35), 5)</f>
        <v>0</v>
      </c>
    </row>
    <row r="37" spans="1:3" customFormat="1" ht="16.5" x14ac:dyDescent="0.25">
      <c r="A37" s="35"/>
      <c r="B37" s="35"/>
      <c r="C37" s="37"/>
    </row>
    <row r="38" spans="1:3" x14ac:dyDescent="0.25">
      <c r="A38" s="32" t="s">
        <v>192</v>
      </c>
      <c r="B38" s="32" t="s">
        <v>42</v>
      </c>
      <c r="C38" s="34">
        <f>-(ROUND(-C32+-C36, 5))</f>
        <v>135510</v>
      </c>
    </row>
    <row r="39" spans="1:3" x14ac:dyDescent="0.25">
      <c r="A39" s="30" t="s">
        <v>42</v>
      </c>
    </row>
    <row r="40" spans="1:3" x14ac:dyDescent="0.25">
      <c r="A40" s="32" t="s">
        <v>193</v>
      </c>
    </row>
    <row r="41" spans="1:3" x14ac:dyDescent="0.25">
      <c r="A41" s="32" t="s">
        <v>21</v>
      </c>
      <c r="B41" s="34">
        <v>549241.14</v>
      </c>
      <c r="C41" s="32" t="s">
        <v>42</v>
      </c>
    </row>
    <row r="42" spans="1:3" x14ac:dyDescent="0.25">
      <c r="A42" s="32" t="s">
        <v>178</v>
      </c>
      <c r="B42" s="34">
        <v>24561.02</v>
      </c>
      <c r="C42" s="32" t="s">
        <v>42</v>
      </c>
    </row>
    <row r="43" spans="1:3" customFormat="1" ht="16.5" x14ac:dyDescent="0.25">
      <c r="A43" s="35"/>
      <c r="B43" s="42"/>
      <c r="C43" s="36"/>
    </row>
    <row r="44" spans="1:3" x14ac:dyDescent="0.25">
      <c r="A44" s="32" t="s">
        <v>194</v>
      </c>
      <c r="B44" s="32" t="s">
        <v>42</v>
      </c>
      <c r="C44" s="34">
        <f>ROUND(SUBTOTAL(9, B39:B43), 5)</f>
        <v>573802.16</v>
      </c>
    </row>
    <row r="45" spans="1:3" customFormat="1" ht="16.5" x14ac:dyDescent="0.25">
      <c r="A45" s="35"/>
      <c r="B45" s="35"/>
      <c r="C45" s="37"/>
    </row>
    <row r="46" spans="1:3" ht="13.5" thickBot="1" x14ac:dyDescent="0.3">
      <c r="A46" s="32" t="s">
        <v>195</v>
      </c>
      <c r="B46" s="32" t="s">
        <v>42</v>
      </c>
      <c r="C46" s="33">
        <f>-(ROUND(-C38+-C44, 5))</f>
        <v>709312.16</v>
      </c>
    </row>
    <row r="47" spans="1:3" customFormat="1" ht="18" thickTop="1" thickBot="1" x14ac:dyDescent="0.3">
      <c r="A47" s="39"/>
      <c r="B47" s="39"/>
      <c r="C47" s="40"/>
    </row>
  </sheetData>
  <phoneticPr fontId="4" type="noConversion"/>
  <pageMargins left="0.7" right="0.7" top="1.2222222222222223" bottom="0.65277777777777779" header="0.3" footer="0.3"/>
  <pageSetup paperSize="9" orientation="landscape" r:id="rId1"/>
  <headerFooter>
    <oddHeader xml:space="preserve">&amp;C&amp;"Times New Roman"&amp;10 International Data Industry AllianceLtd
 Balance Sheet
 31 December 2025
 &amp;L&amp;"Times New Roman"&amp;10
</oddHeader>
    <oddFooter>&amp;L&amp;10&amp;"Times New Roman"&amp;D at &amp;T&amp;C&amp;10&amp;"Times New Roman"Unaudited - For Management Purposes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4</vt:i4>
      </vt:variant>
    </vt:vector>
  </HeadingPairs>
  <TitlesOfParts>
    <vt:vector size="8" baseType="lpstr">
      <vt:lpstr>TB 31.12.25</vt:lpstr>
      <vt:lpstr>GL 31.12.25</vt:lpstr>
      <vt:lpstr>PL 31.12.25</vt:lpstr>
      <vt:lpstr>BS 31.12.25</vt:lpstr>
      <vt:lpstr>'BS 31.12.25'!Print_Titles</vt:lpstr>
      <vt:lpstr>'GL 31.12.25'!Print_Titles</vt:lpstr>
      <vt:lpstr>'PL 31.12.25'!Print_Titles</vt:lpstr>
      <vt:lpstr>'TB 31.12.25'!Print_Titles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LAI</dc:creator>
  <cp:lastModifiedBy>Yan LAI</cp:lastModifiedBy>
  <dcterms:created xsi:type="dcterms:W3CDTF">2026-06-22T07:59:17Z</dcterms:created>
  <dcterms:modified xsi:type="dcterms:W3CDTF">2026-06-22T08:25:29Z</dcterms:modified>
</cp:coreProperties>
</file>