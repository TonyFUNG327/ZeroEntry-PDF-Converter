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49796.68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45645</v>
      </c>
      <c r="C3" s="3" t="inlineStr">
        <is>
          <t>CHEQUE 100833</t>
        </is>
      </c>
      <c r="D3" s="5" t="n"/>
      <c r="E3" s="6" t="n">
        <v>200</v>
      </c>
      <c r="F3" s="7" t="n">
        <v>49596.68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45653</v>
      </c>
      <c r="C4" s="3" t="inlineStr">
        <is>
          <t>FL MOTOR SERVICE LIM HC124C2521173642 25DEC</t>
        </is>
      </c>
      <c r="D4" s="5" t="n">
        <v>4460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45653</v>
      </c>
      <c r="C5" s="3" t="inlineStr">
        <is>
          <t>FL MOTOR SERVICE LIM HC124C2521175146 25DEC</t>
        </is>
      </c>
      <c r="D5" s="5" t="n">
        <v>4985</v>
      </c>
      <c r="E5" s="6" t="n"/>
      <c r="F5" s="7" t="n">
        <v>59041.68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45656</v>
      </c>
      <c r="C6" s="3" t="inlineStr">
        <is>
          <t>MCD 100832</t>
        </is>
      </c>
      <c r="D6" s="5" t="n"/>
      <c r="E6" s="6" t="n">
        <v>352.7</v>
      </c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45656</v>
      </c>
      <c r="C7" s="3" t="inlineStr">
        <is>
          <t>CR TO 500-330253-002 NC2954921493(29DEC24)</t>
        </is>
      </c>
      <c r="D7" s="5" t="n"/>
      <c r="E7" s="6" t="n">
        <v>288</v>
      </c>
      <c r="F7" s="7" t="n">
        <v>58400.98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45657</v>
      </c>
      <c r="C8" s="3" t="inlineStr">
        <is>
          <t>CHEQUE 100831</t>
        </is>
      </c>
      <c r="D8" s="5" t="n"/>
      <c r="E8" s="6" t="n">
        <v>9975</v>
      </c>
      <c r="F8" s="7" t="n">
        <v>48425.98</v>
      </c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45660</v>
      </c>
      <c r="C9" s="3" t="inlineStr">
        <is>
          <t>CHEQUE 100834</t>
        </is>
      </c>
      <c r="D9" s="5" t="n"/>
      <c r="E9" s="6" t="n">
        <v>5390</v>
      </c>
      <c r="F9" s="7" t="n">
        <v>43035.98</v>
      </c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45664</v>
      </c>
      <c r="C10" s="3" t="inlineStr">
        <is>
          <t>MANULIFE PROVIDENT F 0412548001</t>
        </is>
      </c>
      <c r="D10" s="5" t="n"/>
      <c r="E10" s="6" t="n">
        <v>6620.63</v>
      </c>
      <c r="F10" s="7" t="n">
        <v>36415.35</v>
      </c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45667</v>
      </c>
      <c r="C11" s="3" t="inlineStr">
        <is>
          <t>5592-4033-3377-2530 N11000007118(10JAN25)</t>
        </is>
      </c>
      <c r="D11" s="5" t="n"/>
      <c r="E11" s="6" t="n">
        <v>758</v>
      </c>
      <c r="F11" s="7" t="n">
        <v>35657.35</v>
      </c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45670</v>
      </c>
      <c r="C12" s="3" t="inlineStr">
        <is>
          <t>THE VALLEY OF ARTS D HC12511272926828 12JAN</t>
        </is>
      </c>
      <c r="D12" s="5" t="n">
        <v>3529</v>
      </c>
      <c r="E12" s="6" t="n"/>
      <c r="F12" s="7" t="n">
        <v>39186.35</v>
      </c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45678</v>
      </c>
      <c r="C13" s="3" t="inlineStr">
        <is>
          <t>MCD 100836</t>
        </is>
      </c>
      <c r="D13" s="5" t="n"/>
      <c r="E13" s="6" t="n">
        <v>5286.89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45678</v>
      </c>
      <c r="C14" s="3" t="inlineStr">
        <is>
          <t>MCD 100835</t>
        </is>
      </c>
      <c r="D14" s="5" t="n"/>
      <c r="E14" s="6" t="n">
        <v>5760.37</v>
      </c>
      <c r="F14" s="7" t="n">
        <v>28139.09</v>
      </c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45680</v>
      </c>
      <c r="C15" s="3" t="inlineStr">
        <is>
          <t>LEAPSING COMPANY LIM HC12512303125428 23JAN</t>
        </is>
      </c>
      <c r="D15" s="5" t="n">
        <v>3690</v>
      </c>
      <c r="E15" s="6" t="n"/>
      <c r="F15" s="7" t="n">
        <v>31829.09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45681</v>
      </c>
      <c r="C16" s="3" t="inlineStr">
        <is>
          <t>LEAPCHUN COMPANY LIM HC12512404996501 24JAN</t>
        </is>
      </c>
      <c r="D16" s="5" t="n">
        <v>1800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45681</v>
      </c>
      <c r="C17" s="3" t="inlineStr">
        <is>
          <t>LEAPBUD COMPANY LIMI HC12512405003363 24JAN</t>
        </is>
      </c>
      <c r="D17" s="5" t="n">
        <v>1530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45681</v>
      </c>
      <c r="C18" s="3" t="inlineStr">
        <is>
          <t>LEAPHUA COMPANY LIMI HC12512405005083 24JAN</t>
        </is>
      </c>
      <c r="D18" s="5" t="n">
        <v>2610</v>
      </c>
      <c r="E18" s="6" t="n"/>
      <c r="F18" s="7" t="n">
        <v>37769.09</v>
      </c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45695</v>
      </c>
      <c r="C19" s="3" t="inlineStr">
        <is>
          <t>MANULIFE PROVIDENT F 0412548001</t>
        </is>
      </c>
      <c r="D19" s="5" t="n"/>
      <c r="E19" s="6" t="n">
        <v>6862.25</v>
      </c>
      <c r="F19" s="7" t="n">
        <v>30906.84</v>
      </c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45701</v>
      </c>
      <c r="C20" s="3" t="inlineStr">
        <is>
          <t>LEAPCHUN COMPANY LIM HC12521359518878 13FEB</t>
        </is>
      </c>
      <c r="D20" s="5" t="n">
        <v>1935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45701</v>
      </c>
      <c r="C21" s="3" t="inlineStr">
        <is>
          <t>LEAPBUD MANAGEMENT L HC12521359519150 13FEB</t>
        </is>
      </c>
      <c r="D21" s="5" t="n">
        <v>1575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45701</v>
      </c>
      <c r="C22" s="3" t="inlineStr">
        <is>
          <t>LEAPSING COMPANY LIM HC12521359519511 13FEB</t>
        </is>
      </c>
      <c r="D22" s="5" t="n">
        <v>3645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45701</v>
      </c>
      <c r="C23" s="3" t="inlineStr">
        <is>
          <t>LEAPHUA COMPANY LIMI HC12521359519821 13FEB</t>
        </is>
      </c>
      <c r="D23" s="5" t="n">
        <v>2745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45701</v>
      </c>
      <c r="C24" s="3" t="inlineStr">
        <is>
          <t>LEAPBUD COMPANY LIMI HC12521359520003 13FEB</t>
        </is>
      </c>
      <c r="D24" s="5" t="n">
        <v>1890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45701</v>
      </c>
      <c r="C25" s="3" t="inlineStr">
        <is>
          <t>LEAPBUD COMPANY LIMI HC12521359520008 13FEB</t>
        </is>
      </c>
      <c r="D25" s="5" t="n">
        <v>2115</v>
      </c>
      <c r="E25" s="6" t="n"/>
      <c r="F25" s="7" t="n">
        <v>44811.84</v>
      </c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45724</v>
      </c>
      <c r="C26" s="3" t="inlineStr">
        <is>
          <t>THE VALLEY OF ARTS D HC12530824242713 08MAR</t>
        </is>
      </c>
      <c r="D26" s="5" t="n">
        <v>3519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45724</v>
      </c>
      <c r="C27" s="3" t="inlineStr">
        <is>
          <t>THE VALLEY OF ARTS D HC12530824244106 08MAR</t>
        </is>
      </c>
      <c r="D27" s="5" t="n">
        <v>3500</v>
      </c>
      <c r="E27" s="6" t="n"/>
      <c r="F27" s="7" t="n">
        <v>51830.84</v>
      </c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45727</v>
      </c>
      <c r="C28" s="3" t="inlineStr">
        <is>
          <t>5592-4033-3377-2530 N31102004693(11MAR25)</t>
        </is>
      </c>
      <c r="D28" s="5" t="n"/>
      <c r="E28" s="6" t="n">
        <v>1375.38</v>
      </c>
      <c r="F28" s="7" t="n">
        <v>50455.46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45741</v>
      </c>
      <c r="C29" s="3" t="inlineStr">
        <is>
          <t>CHEQUE 100837</t>
        </is>
      </c>
      <c r="D29" s="5" t="n"/>
      <c r="E29" s="6" t="n">
        <v>21600</v>
      </c>
      <c r="F29" s="7" t="n"/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45741</v>
      </c>
      <c r="C30" s="3" t="inlineStr">
        <is>
          <t>MANULIFE PROVIDENT F 0412548001</t>
        </is>
      </c>
      <c r="D30" s="5" t="n"/>
      <c r="E30" s="6" t="n">
        <v>6496.38</v>
      </c>
      <c r="F30" s="7" t="n">
        <v>22359.08</v>
      </c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45755</v>
      </c>
      <c r="C31" s="3" t="inlineStr">
        <is>
          <t>MANULIFE PROVIDENT F 0412548001</t>
        </is>
      </c>
      <c r="D31" s="5" t="n"/>
      <c r="E31" s="6" t="n">
        <v>8454</v>
      </c>
      <c r="F31" s="7" t="n">
        <v>13905.08</v>
      </c>
      <c r="G31" s="8">
        <f>IF(AND(D31="",E31=""),F31,G30+IF(D31="",0,D31)-IF(E31="",0,E31))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45644</v>
      </c>
      <c r="C2" s="3" t="inlineStr">
        <is>
          <t>B/F BALANCE</t>
        </is>
      </c>
      <c r="D2" s="5" t="n"/>
      <c r="E2" s="6" t="n"/>
      <c r="F2" s="7" t="n">
        <v>182866.83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45647</v>
      </c>
      <c r="C3" s="3" t="inlineStr">
        <is>
          <t>MISS MAO SHI HUI HC124C2110586907 21DEC</t>
        </is>
      </c>
      <c r="D3" s="5" t="n">
        <v>300</v>
      </c>
      <c r="E3" s="6" t="n"/>
      <c r="F3" s="7" t="n">
        <v>183166.83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45649</v>
      </c>
      <c r="C4" s="3" t="inlineStr">
        <is>
          <t>CREDIBILITY M I M L W OFFICE (23DEC24)</t>
        </is>
      </c>
      <c r="D4" s="5" t="n">
        <v>7200</v>
      </c>
      <c r="E4" s="6" t="n"/>
      <c r="F4" s="7" t="n">
        <v>190366.83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45654</v>
      </c>
      <c r="C5" s="3" t="inlineStr">
        <is>
          <t>CREDIT INTEREST</t>
        </is>
      </c>
      <c r="D5" s="5" t="n">
        <v>57.04</v>
      </c>
      <c r="E5" s="6" t="n"/>
      <c r="F5" s="7" t="n">
        <v>190423.87</v>
      </c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45660</v>
      </c>
      <c r="C6" s="3" t="inlineStr">
        <is>
          <t>SALARY</t>
        </is>
      </c>
      <c r="D6" s="5" t="n"/>
      <c r="E6" s="6" t="n">
        <v>20662.5</v>
      </c>
      <c r="F6" s="7" t="n"/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45660</v>
      </c>
      <c r="C7" s="3" t="inlineStr">
        <is>
          <t>SALARY</t>
        </is>
      </c>
      <c r="D7" s="5" t="n"/>
      <c r="E7" s="6" t="n">
        <v>50573</v>
      </c>
      <c r="F7" s="7" t="n">
        <v>119188.37</v>
      </c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45663</v>
      </c>
      <c r="C8" s="3" t="inlineStr">
        <is>
          <t>APS CHARGES I02 SALARY</t>
        </is>
      </c>
      <c r="D8" s="5" t="n"/>
      <c r="E8" s="6" t="n">
        <v>1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45663</v>
      </c>
      <c r="C9" s="3" t="inlineStr">
        <is>
          <t>APS CHARGES I01 SALARY</t>
        </is>
      </c>
      <c r="D9" s="5" t="n"/>
      <c r="E9" s="6" t="n">
        <v>3.5</v>
      </c>
      <c r="F9" s="7" t="n">
        <v>119183.87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45664</v>
      </c>
      <c r="C10" s="3" t="inlineStr">
        <is>
          <t>CR TO 168-294437-001 RENT (07JAN25)</t>
        </is>
      </c>
      <c r="D10" s="5" t="n"/>
      <c r="E10" s="6" t="n">
        <v>5980</v>
      </c>
      <c r="F10" s="7" t="n"/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45664</v>
      </c>
      <c r="C11" s="3" t="inlineStr">
        <is>
          <t>CR TO 168-294437-001 DOOR CARD (07JAN25)</t>
        </is>
      </c>
      <c r="D11" s="5" t="n"/>
      <c r="E11" s="6" t="n">
        <v>50</v>
      </c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45664</v>
      </c>
      <c r="C12" s="3" t="inlineStr">
        <is>
          <t>REF:58A9 0494 CHEQUE DEPOSIT MACHINE (07JAN25)</t>
        </is>
      </c>
      <c r="D12" s="5" t="n">
        <v>4000</v>
      </c>
      <c r="E12" s="6" t="n"/>
      <c r="F12" s="7" t="n">
        <v>117153.87</v>
      </c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45670</v>
      </c>
      <c r="C13" s="3" t="inlineStr">
        <is>
          <t>REF:5896 0313 CHEQUE DEPOSIT MACHINE (13JAN25)</t>
        </is>
      </c>
      <c r="D13" s="5" t="n">
        <v>3600</v>
      </c>
      <c r="E13" s="6" t="n"/>
      <c r="F13" s="7" t="n">
        <v>120753.87</v>
      </c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45671</v>
      </c>
      <c r="C14" s="3" t="inlineStr">
        <is>
          <t>LANGO INNOVATION L N11412315543(14JAN25)</t>
        </is>
      </c>
      <c r="D14" s="5" t="n">
        <v>8000</v>
      </c>
      <c r="E14" s="6" t="n"/>
      <c r="F14" s="7" t="n">
        <v>128753.87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45673</v>
      </c>
      <c r="C15" s="3" t="inlineStr">
        <is>
          <t>CHG FOR AUDIT CONF O N 31122024 (16JAN25)</t>
        </is>
      </c>
      <c r="D15" s="5" t="n"/>
      <c r="E15" s="6" t="n">
        <v>760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45673</v>
      </c>
      <c r="C16" s="3" t="inlineStr">
        <is>
          <t>REF:58A9 0520 CHEQUE DEPOSIT MACHINE (16JAN25)</t>
        </is>
      </c>
      <c r="D16" s="5" t="n">
        <v>14300</v>
      </c>
      <c r="E16" s="6" t="n"/>
      <c r="F16" s="7" t="n">
        <v>142293.87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45674</v>
      </c>
      <c r="C17" s="3" t="inlineStr">
        <is>
          <t>SALARY</t>
        </is>
      </c>
      <c r="D17" s="5" t="n"/>
      <c r="E17" s="6" t="n">
        <v>54100</v>
      </c>
      <c r="F17" s="7" t="n">
        <v>88193.87</v>
      </c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45677</v>
      </c>
      <c r="C18" s="3" t="inlineStr">
        <is>
          <t>APS CHARGES I02 SALARY</t>
        </is>
      </c>
      <c r="D18" s="5" t="n"/>
      <c r="E18" s="6" t="n">
        <v>1</v>
      </c>
      <c r="F18" s="7" t="n">
        <v>88192.87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45684</v>
      </c>
      <c r="C19" s="3" t="inlineStr">
        <is>
          <t>CR TO 129-496493-001 RENT (27JAN25)</t>
        </is>
      </c>
      <c r="D19" s="5" t="n"/>
      <c r="E19" s="6" t="n">
        <v>5980</v>
      </c>
      <c r="F19" s="7" t="n"/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45684</v>
      </c>
      <c r="C20" s="3" t="inlineStr">
        <is>
          <t>CR TO 521-080598-838 LOAN (27JAN25)</t>
        </is>
      </c>
      <c r="D20" s="5" t="n"/>
      <c r="E20" s="6" t="n">
        <v>9975</v>
      </c>
      <c r="F20" s="7" t="n">
        <v>72237.87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45685</v>
      </c>
      <c r="C21" s="3" t="inlineStr">
        <is>
          <t>CREDIT INTEREST</t>
        </is>
      </c>
      <c r="D21" s="5" t="n">
        <v>26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45685</v>
      </c>
      <c r="C22" s="3" t="inlineStr">
        <is>
          <t>SALARY</t>
        </is>
      </c>
      <c r="D22" s="5" t="n"/>
      <c r="E22" s="6" t="n">
        <v>19013</v>
      </c>
      <c r="F22" s="7" t="n"/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45685</v>
      </c>
      <c r="C23" s="3" t="inlineStr">
        <is>
          <t>SALARY</t>
        </is>
      </c>
      <c r="D23" s="5" t="n"/>
      <c r="E23" s="6" t="n">
        <v>21310</v>
      </c>
      <c r="F23" s="7" t="n">
        <v>31940.87</v>
      </c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45691</v>
      </c>
      <c r="C24" s="3" t="inlineStr">
        <is>
          <t>APS CHARGES I02 SALARY</t>
        </is>
      </c>
      <c r="D24" s="5" t="n"/>
      <c r="E24" s="6" t="n">
        <v>0.5</v>
      </c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45691</v>
      </c>
      <c r="C25" s="3" t="inlineStr">
        <is>
          <t>APS CHARGES I01 SALARY</t>
        </is>
      </c>
      <c r="D25" s="5" t="n"/>
      <c r="E25" s="6" t="n">
        <v>1.5</v>
      </c>
      <c r="F25" s="7" t="n"/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45691</v>
      </c>
      <c r="C26" s="3" t="inlineStr">
        <is>
          <t>LATE STUDIO LIMITED N20376908157(03FEB25)</t>
        </is>
      </c>
      <c r="D26" s="5" t="n">
        <v>3500</v>
      </c>
      <c r="E26" s="6" t="n"/>
      <c r="F26" s="7" t="n">
        <v>35438.87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45692</v>
      </c>
      <c r="C27" s="3" t="inlineStr">
        <is>
          <t>SALARY</t>
        </is>
      </c>
      <c r="D27" s="5" t="n"/>
      <c r="E27" s="6" t="n">
        <v>1785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45692</v>
      </c>
      <c r="C28" s="3" t="inlineStr">
        <is>
          <t>SALARY</t>
        </is>
      </c>
      <c r="D28" s="5" t="n"/>
      <c r="E28" s="6" t="n">
        <v>4185</v>
      </c>
      <c r="F28" s="7" t="n">
        <v>29468.87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45693</v>
      </c>
      <c r="C29" s="3" t="inlineStr">
        <is>
          <t>APS CHARGES I02 SALARY</t>
        </is>
      </c>
      <c r="D29" s="5" t="n"/>
      <c r="E29" s="6" t="n">
        <v>0.5</v>
      </c>
      <c r="F29" s="7" t="n"/>
      <c r="G29" s="8">
        <f>IF(AND(D29="",E29=""),F29,G28+IF(D29="",0,D29)-IF(E29="",0,E29))</f>
        <v/>
      </c>
    </row>
    <row r="30">
      <c r="A30" s="3" t="inlineStr">
        <is>
          <t>HSBC HKD Savings Account</t>
        </is>
      </c>
      <c r="B30" s="4" t="n">
        <v>45693</v>
      </c>
      <c r="C30" s="3" t="inlineStr">
        <is>
          <t>APS CHARGES I01 SALARY</t>
        </is>
      </c>
      <c r="D30" s="5" t="n"/>
      <c r="E30" s="6" t="n">
        <v>2</v>
      </c>
      <c r="F30" s="7" t="n">
        <v>29466.37</v>
      </c>
      <c r="G30" s="8">
        <f>IF(AND(D30="",E30=""),F30,G29+IF(D30="",0,D30)-IF(E30="",0,E30))</f>
        <v/>
      </c>
    </row>
    <row r="31">
      <c r="A31" s="3" t="inlineStr">
        <is>
          <t>HSBC HKD Savings Account</t>
        </is>
      </c>
      <c r="B31" s="4" t="n">
        <v>45694</v>
      </c>
      <c r="C31" s="3" t="inlineStr">
        <is>
          <t>FG00121092 SFGS SING LE UPFRONT GUARANTEE FEE</t>
        </is>
      </c>
      <c r="D31" s="5" t="n"/>
      <c r="E31" s="6" t="n">
        <v>7624.49</v>
      </c>
      <c r="F31" s="7" t="n"/>
      <c r="G31" s="8">
        <f>IF(AND(D31="",E31=""),F31,G30+IF(D31="",0,D31)-IF(E31="",0,E31))</f>
        <v/>
      </c>
    </row>
    <row r="32">
      <c r="A32" s="3" t="inlineStr">
        <is>
          <t>HSBC HKD Savings Account</t>
        </is>
      </c>
      <c r="B32" s="4" t="n">
        <v>45694</v>
      </c>
      <c r="C32" s="3" t="inlineStr">
        <is>
          <t>LOAN DRAWDOWN FOR 52 1-304535-034</t>
        </is>
      </c>
      <c r="D32" s="5" t="n">
        <v>940000</v>
      </c>
      <c r="E32" s="6" t="n"/>
      <c r="F32" s="7" t="n"/>
      <c r="G32" s="8">
        <f>IF(AND(D32="",E32=""),F32,G31+IF(D32="",0,D32)-IF(E32="",0,E32))</f>
        <v/>
      </c>
    </row>
    <row r="33">
      <c r="A33" s="3" t="inlineStr">
        <is>
          <t>HSBC HKD Savings Account</t>
        </is>
      </c>
      <c r="B33" s="4" t="n">
        <v>45694</v>
      </c>
      <c r="C33" s="3" t="inlineStr">
        <is>
          <t>HANDLING FEE FOR 521 -304535-034</t>
        </is>
      </c>
      <c r="D33" s="5" t="n"/>
      <c r="E33" s="6" t="n">
        <v>23500</v>
      </c>
      <c r="F33" s="7" t="n">
        <v>938341.88</v>
      </c>
      <c r="G33" s="8">
        <f>IF(AND(D33="",E33=""),F33,G32+IF(D33="",0,D33)-IF(E33="",0,E33))</f>
        <v/>
      </c>
    </row>
    <row r="34">
      <c r="A34" s="3" t="inlineStr">
        <is>
          <t>HSBC HKD Savings Account</t>
        </is>
      </c>
      <c r="B34" s="4" t="n">
        <v>45695</v>
      </c>
      <c r="C34" s="3" t="inlineStr">
        <is>
          <t>CO AMENDMENT FEE SERVICE CHARGE1</t>
        </is>
      </c>
      <c r="D34" s="5" t="n"/>
      <c r="E34" s="6" t="n">
        <v>250</v>
      </c>
      <c r="F34" s="7" t="n"/>
      <c r="G34" s="8">
        <f>IF(AND(D34="",E34=""),F34,G33+IF(D34="",0,D34)-IF(E34="",0,E34))</f>
        <v/>
      </c>
    </row>
    <row r="35">
      <c r="A35" s="3" t="inlineStr">
        <is>
          <t>HSBC HKD Savings Account</t>
        </is>
      </c>
      <c r="B35" s="4" t="n">
        <v>45695</v>
      </c>
      <c r="C35" s="3" t="inlineStr">
        <is>
          <t>REF:58AB 0286 CHEQUE DEPOSIT MACHINE (07FEB25)</t>
        </is>
      </c>
      <c r="D35" s="5" t="n">
        <v>4000</v>
      </c>
      <c r="E35" s="6" t="n"/>
      <c r="F35" s="7" t="n">
        <v>942091.88</v>
      </c>
      <c r="G35" s="8">
        <f>IF(AND(D35="",E35=""),F35,G34+IF(D35="",0,D35)-IF(E35="",0,E35))</f>
        <v/>
      </c>
    </row>
    <row r="36">
      <c r="A36" s="3" t="inlineStr">
        <is>
          <t>HSBC HKD Savings Account</t>
        </is>
      </c>
      <c r="B36" s="4" t="n">
        <v>45706</v>
      </c>
      <c r="C36" s="3" t="inlineStr">
        <is>
          <t>5592-4033-3377-2530 N21827395010(18FEB25)</t>
        </is>
      </c>
      <c r="D36" s="5" t="n"/>
      <c r="E36" s="6" t="n">
        <v>619.38</v>
      </c>
      <c r="F36" s="7" t="n"/>
      <c r="G36" s="8">
        <f>IF(AND(D36="",E36=""),F36,G35+IF(D36="",0,D36)-IF(E36="",0,E36))</f>
        <v/>
      </c>
    </row>
    <row r="37">
      <c r="A37" s="3" t="inlineStr">
        <is>
          <t>HSBC HKD Savings Account</t>
        </is>
      </c>
      <c r="B37" s="4" t="n">
        <v>45706</v>
      </c>
      <c r="C37" s="3" t="inlineStr">
        <is>
          <t>5592-4033-3377-2530 N21827398244(18FEB25)</t>
        </is>
      </c>
      <c r="D37" s="5" t="n"/>
      <c r="E37" s="6" t="n">
        <v>138.62</v>
      </c>
      <c r="F37" s="7" t="n"/>
      <c r="G37" s="8">
        <f>IF(AND(D37="",E37=""),F37,G36+IF(D37="",0,D37)-IF(E37="",0,E37))</f>
        <v/>
      </c>
    </row>
    <row r="38">
      <c r="A38" s="3" t="inlineStr">
        <is>
          <t>HSBC HKD Savings Account</t>
        </is>
      </c>
      <c r="B38" s="4" t="n">
        <v>45706</v>
      </c>
      <c r="C38" s="3" t="inlineStr">
        <is>
          <t>REF:5896 0217 CHEQUE DEPOSIT MACHINE (18FEB25)</t>
        </is>
      </c>
      <c r="D38" s="5" t="n">
        <v>3600</v>
      </c>
      <c r="E38" s="6" t="n"/>
      <c r="F38" s="7" t="n">
        <v>944933.88</v>
      </c>
      <c r="G38" s="8">
        <f>IF(AND(D38="",E38=""),F38,G37+IF(D38="",0,D38)-IF(E38="",0,E38))</f>
        <v/>
      </c>
    </row>
    <row r="39">
      <c r="A39" s="3" t="inlineStr">
        <is>
          <t>HSBC HKD Savings Account</t>
        </is>
      </c>
      <c r="B39" s="4" t="n">
        <v>45713</v>
      </c>
      <c r="C39" s="3" t="inlineStr">
        <is>
          <t>CR TO 521-080598-838 N22549937524(25FEB25)</t>
        </is>
      </c>
      <c r="D39" s="5" t="n"/>
      <c r="E39" s="6" t="n">
        <v>9975</v>
      </c>
      <c r="F39" s="7" t="n">
        <v>934958.88</v>
      </c>
      <c r="G39" s="8">
        <f>IF(AND(D39="",E39=""),F39,G38+IF(D39="",0,D39)-IF(E39="",0,E39))</f>
        <v/>
      </c>
    </row>
    <row r="40">
      <c r="A40" s="3" t="inlineStr">
        <is>
          <t>HSBC HKD Savings Account</t>
        </is>
      </c>
      <c r="B40" s="4" t="n">
        <v>45716</v>
      </c>
      <c r="C40" s="3" t="inlineStr">
        <is>
          <t>CREDIT INTEREST</t>
        </is>
      </c>
      <c r="D40" s="5" t="n">
        <v>143.89</v>
      </c>
      <c r="E40" s="6" t="n"/>
      <c r="F40" s="7" t="n"/>
      <c r="G40" s="8">
        <f>IF(AND(D40="",E40=""),F40,G39+IF(D40="",0,D40)-IF(E40="",0,E40))</f>
        <v/>
      </c>
    </row>
    <row r="41">
      <c r="A41" s="3" t="inlineStr">
        <is>
          <t>HSBC HKD Savings Account</t>
        </is>
      </c>
      <c r="B41" s="4" t="n">
        <v>45716</v>
      </c>
      <c r="C41" s="3" t="inlineStr">
        <is>
          <t>REF:5865 0329 CHEQUE DEPOSIT MACHINE (28FEB25)</t>
        </is>
      </c>
      <c r="D41" s="5" t="n">
        <v>1200</v>
      </c>
      <c r="E41" s="6" t="n"/>
      <c r="F41" s="7" t="n">
        <v>936302.77</v>
      </c>
      <c r="G41" s="8">
        <f>IF(AND(D41="",E41=""),F41,G40+IF(D41="",0,D41)-IF(E41="",0,E41))</f>
        <v/>
      </c>
    </row>
    <row r="42">
      <c r="A42" s="3" t="inlineStr">
        <is>
          <t>HSBC HKD Savings Account</t>
        </is>
      </c>
      <c r="B42" s="4" t="n">
        <v>45721</v>
      </c>
      <c r="C42" s="3" t="inlineStr">
        <is>
          <t>CR TO 129-496493-001 5980 OR 300 (05MAR25)</t>
        </is>
      </c>
      <c r="D42" s="5" t="n"/>
      <c r="E42" s="6" t="n">
        <v>6280</v>
      </c>
      <c r="F42" s="7" t="n"/>
      <c r="G42" s="8">
        <f>IF(AND(D42="",E42=""),F42,G41+IF(D42="",0,D42)-IF(E42="",0,E42))</f>
        <v/>
      </c>
    </row>
    <row r="43">
      <c r="A43" s="3" t="inlineStr">
        <is>
          <t>HSBC HKD Savings Account</t>
        </is>
      </c>
      <c r="B43" s="4" t="n">
        <v>45721</v>
      </c>
      <c r="C43" s="3" t="inlineStr">
        <is>
          <t>SALARY</t>
        </is>
      </c>
      <c r="D43" s="5" t="n"/>
      <c r="E43" s="6" t="n">
        <v>18657.5</v>
      </c>
      <c r="F43" s="7" t="n"/>
      <c r="G43" s="8">
        <f>IF(AND(D43="",E43=""),F43,G42+IF(D43="",0,D43)-IF(E43="",0,E43))</f>
        <v/>
      </c>
    </row>
    <row r="44">
      <c r="A44" s="3" t="inlineStr">
        <is>
          <t>HSBC HKD Savings Account</t>
        </is>
      </c>
      <c r="B44" s="4" t="n">
        <v>45721</v>
      </c>
      <c r="C44" s="3" t="inlineStr">
        <is>
          <t>SALARY</t>
        </is>
      </c>
      <c r="D44" s="5" t="n"/>
      <c r="E44" s="6" t="n">
        <v>18885</v>
      </c>
      <c r="F44" s="7" t="n">
        <v>892480.27</v>
      </c>
      <c r="G44" s="8">
        <f>IF(AND(D44="",E44=""),F44,G43+IF(D44="",0,D44)-IF(E44="",0,E44))</f>
        <v/>
      </c>
    </row>
    <row r="45">
      <c r="A45" s="3" t="inlineStr">
        <is>
          <t>HSBC HKD Savings Account</t>
        </is>
      </c>
      <c r="B45" s="4" t="n">
        <v>45722</v>
      </c>
      <c r="C45" s="3" t="inlineStr">
        <is>
          <t>APS CHARGES I02 SALARY</t>
        </is>
      </c>
      <c r="D45" s="5" t="n"/>
      <c r="E45" s="6" t="n">
        <v>1</v>
      </c>
      <c r="F45" s="7" t="n"/>
      <c r="G45" s="8">
        <f>IF(AND(D45="",E45=""),F45,G44+IF(D45="",0,D45)-IF(E45="",0,E45))</f>
        <v/>
      </c>
    </row>
    <row r="46">
      <c r="A46" s="3" t="inlineStr">
        <is>
          <t>HSBC HKD Savings Account</t>
        </is>
      </c>
      <c r="B46" s="4" t="n">
        <v>45722</v>
      </c>
      <c r="C46" s="3" t="inlineStr">
        <is>
          <t>APS CHARGES I01 SALARY</t>
        </is>
      </c>
      <c r="D46" s="5" t="n"/>
      <c r="E46" s="6" t="n">
        <v>3.5</v>
      </c>
      <c r="F46" s="7" t="n"/>
      <c r="G46" s="8">
        <f>IF(AND(D46="",E46=""),F46,G45+IF(D46="",0,D46)-IF(E46="",0,E46))</f>
        <v/>
      </c>
    </row>
    <row r="47">
      <c r="A47" s="3" t="inlineStr">
        <is>
          <t>HSBC HKD Savings Account</t>
        </is>
      </c>
      <c r="B47" s="4" t="n">
        <v>45722</v>
      </c>
      <c r="C47" s="3" t="inlineStr">
        <is>
          <t>004521304535034 LOAN INTEREST</t>
        </is>
      </c>
      <c r="D47" s="5" t="n"/>
      <c r="E47" s="6" t="n">
        <v>2350</v>
      </c>
      <c r="F47" s="7" t="n"/>
      <c r="G47" s="8">
        <f>IF(AND(D47="",E47=""),F47,G46+IF(D47="",0,D47)-IF(E47="",0,E47))</f>
        <v/>
      </c>
    </row>
    <row r="48">
      <c r="A48" s="3" t="inlineStr">
        <is>
          <t>HSBC HKD Savings Account</t>
        </is>
      </c>
      <c r="B48" s="4" t="n">
        <v>45722</v>
      </c>
      <c r="C48" s="3" t="inlineStr">
        <is>
          <t>SALARY</t>
        </is>
      </c>
      <c r="D48" s="5" t="n"/>
      <c r="E48" s="6" t="n">
        <v>38619</v>
      </c>
      <c r="F48" s="7" t="n"/>
      <c r="G48" s="8">
        <f>IF(AND(D48="",E48=""),F48,G47+IF(D48="",0,D48)-IF(E48="",0,E48))</f>
        <v/>
      </c>
    </row>
    <row r="49">
      <c r="A49" s="3" t="inlineStr">
        <is>
          <t>HSBC HKD Savings Account</t>
        </is>
      </c>
      <c r="B49" s="4" t="n">
        <v>45722</v>
      </c>
      <c r="C49" s="3" t="inlineStr">
        <is>
          <t>LAM Y*** M** J**** HC12530619728947 06MAR</t>
        </is>
      </c>
      <c r="D49" s="5" t="n"/>
      <c r="E49" s="6" t="n">
        <v>1563.8</v>
      </c>
      <c r="F49" s="7" t="n">
        <v>849942.97</v>
      </c>
      <c r="G49" s="8">
        <f>IF(AND(D49="",E49=""),F49,G48+IF(D49="",0,D49)-IF(E49="",0,E49))</f>
        <v/>
      </c>
    </row>
    <row r="50">
      <c r="A50" s="3" t="inlineStr">
        <is>
          <t>HSBC HKD Savings Account</t>
        </is>
      </c>
      <c r="B50" s="4" t="n">
        <v>45723</v>
      </c>
      <c r="C50" s="3" t="inlineStr">
        <is>
          <t>APS CHARGES I02 SALARY</t>
        </is>
      </c>
      <c r="D50" s="5" t="n"/>
      <c r="E50" s="6" t="n">
        <v>0.5</v>
      </c>
      <c r="F50" s="7" t="n"/>
      <c r="G50" s="8">
        <f>IF(AND(D50="",E50=""),F50,G49+IF(D50="",0,D50)-IF(E50="",0,E50))</f>
        <v/>
      </c>
    </row>
    <row r="51">
      <c r="A51" s="3" t="inlineStr">
        <is>
          <t>HSBC HKD Savings Account</t>
        </is>
      </c>
      <c r="B51" s="4" t="n">
        <v>45723</v>
      </c>
      <c r="C51" s="3" t="inlineStr">
        <is>
          <t>REF:58A9 0386 CHEQUE DEPOSIT MACHINE (07MAR25)</t>
        </is>
      </c>
      <c r="D51" s="5" t="n">
        <v>4000</v>
      </c>
      <c r="E51" s="6" t="n"/>
      <c r="F51" s="7" t="n">
        <v>853942.47</v>
      </c>
      <c r="G51" s="8">
        <f>IF(AND(D51="",E51=""),F51,G50+IF(D51="",0,D51)-IF(E51="",0,E51))</f>
        <v/>
      </c>
    </row>
    <row r="52">
      <c r="A52" s="3" t="inlineStr">
        <is>
          <t>HSBC HKD Savings Account</t>
        </is>
      </c>
      <c r="B52" s="4" t="n">
        <v>45727</v>
      </c>
      <c r="C52" s="3" t="inlineStr">
        <is>
          <t>CR TO 521-080598-838 N31101634406(11MAR25)</t>
        </is>
      </c>
      <c r="D52" s="5" t="n"/>
      <c r="E52" s="6" t="n">
        <v>300000</v>
      </c>
      <c r="F52" s="7" t="n">
        <v>553942.47</v>
      </c>
      <c r="G52" s="8">
        <f>IF(AND(D52="",E52=""),F52,G51+IF(D52="",0,D52)-IF(E52="",0,E52))</f>
        <v/>
      </c>
    </row>
    <row r="53">
      <c r="A53" s="3" t="inlineStr">
        <is>
          <t>HSBC HKD Savings Account</t>
        </is>
      </c>
      <c r="B53" s="4" t="n">
        <v>45730</v>
      </c>
      <c r="C53" s="3" t="inlineStr">
        <is>
          <t>REF:5891 0093 CHEQUE DEPOSIT MACHINE (14MAR25)</t>
        </is>
      </c>
      <c r="D53" s="5" t="n">
        <v>10800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HSBC HKD Savings Account</t>
        </is>
      </c>
      <c r="B54" s="4" t="n">
        <v>45730</v>
      </c>
      <c r="C54" s="3" t="inlineStr">
        <is>
          <t>CR TO 521-080598-838 N31411791278(14MAR25)</t>
        </is>
      </c>
      <c r="D54" s="5" t="n"/>
      <c r="E54" s="6" t="n">
        <v>141270</v>
      </c>
      <c r="F54" s="7" t="n">
        <v>423472.47</v>
      </c>
      <c r="G54" s="8">
        <f>IF(AND(D54="",E54=""),F54,G53+IF(D54="",0,D54)-IF(E54="",0,E54))</f>
        <v/>
      </c>
    </row>
    <row r="55">
      <c r="A55" s="3" t="inlineStr">
        <is>
          <t>HSBC HKD Savings Account</t>
        </is>
      </c>
      <c r="B55" s="4" t="n">
        <v>45744</v>
      </c>
      <c r="C55" s="3" t="inlineStr">
        <is>
          <t>CREDIT INTEREST</t>
        </is>
      </c>
      <c r="D55" s="5" t="n">
        <v>119.4</v>
      </c>
      <c r="E55" s="6" t="n"/>
      <c r="F55" s="7" t="n">
        <v>423591.87</v>
      </c>
      <c r="G55" s="8">
        <f>IF(AND(D55="",E55=""),F55,G54+IF(D55="",0,D55)-IF(E55="",0,E55))</f>
        <v/>
      </c>
    </row>
    <row r="56">
      <c r="A56" s="3" t="inlineStr">
        <is>
          <t>HSBC HKD Savings Account</t>
        </is>
      </c>
      <c r="B56" s="4" t="n">
        <v>45747</v>
      </c>
      <c r="C56" s="3" t="inlineStr">
        <is>
          <t>CHARGES HC12533186626414 31MAR</t>
        </is>
      </c>
      <c r="D56" s="5" t="n"/>
      <c r="E56" s="6" t="n">
        <v>5</v>
      </c>
      <c r="F56" s="7" t="n"/>
      <c r="G56" s="8">
        <f>IF(AND(D56="",E56=""),F56,G55+IF(D56="",0,D56)-IF(E56="",0,E56))</f>
        <v/>
      </c>
    </row>
    <row r="57">
      <c r="A57" s="3" t="inlineStr">
        <is>
          <t>HSBC HKD Savings Account</t>
        </is>
      </c>
      <c r="B57" s="4" t="n">
        <v>45747</v>
      </c>
      <c r="C57" s="3" t="inlineStr">
        <is>
          <t>WONG Y* T*** HC12533186626414 31MAR</t>
        </is>
      </c>
      <c r="D57" s="5" t="n"/>
      <c r="E57" s="6" t="n">
        <v>4300</v>
      </c>
      <c r="F57" s="7" t="n">
        <v>419286.87</v>
      </c>
      <c r="G57" s="8">
        <f>IF(AND(D57="",E57=""),F57,G56+IF(D57="",0,D57)-IF(E57="",0,E57))</f>
        <v/>
      </c>
    </row>
    <row r="58">
      <c r="A58" s="3" t="inlineStr">
        <is>
          <t>HSBC HKD Savings Account</t>
        </is>
      </c>
      <c r="B58" s="4" t="n">
        <v>45750</v>
      </c>
      <c r="C58" s="3" t="inlineStr">
        <is>
          <t>CR TO 129-496493-001 N40379153534(03APR25)</t>
        </is>
      </c>
      <c r="D58" s="5" t="n"/>
      <c r="E58" s="6" t="n">
        <v>5980</v>
      </c>
      <c r="F58" s="7" t="n"/>
      <c r="G58" s="8">
        <f>IF(AND(D58="",E58=""),F58,G57+IF(D58="",0,D58)-IF(E58="",0,E58))</f>
        <v/>
      </c>
    </row>
    <row r="59">
      <c r="A59" s="3" t="inlineStr">
        <is>
          <t>HSBC HKD Savings Account</t>
        </is>
      </c>
      <c r="B59" s="4" t="n">
        <v>45750</v>
      </c>
      <c r="C59" s="3" t="inlineStr">
        <is>
          <t>SALARY</t>
        </is>
      </c>
      <c r="D59" s="5" t="n"/>
      <c r="E59" s="6" t="n">
        <v>43500</v>
      </c>
      <c r="F59" s="7" t="n"/>
      <c r="G59" s="8">
        <f>IF(AND(D59="",E59=""),F59,G58+IF(D59="",0,D59)-IF(E59="",0,E59))</f>
        <v/>
      </c>
    </row>
    <row r="60">
      <c r="A60" s="3" t="inlineStr">
        <is>
          <t>HSBC HKD Savings Account</t>
        </is>
      </c>
      <c r="B60" s="4" t="n">
        <v>45750</v>
      </c>
      <c r="C60" s="3" t="inlineStr">
        <is>
          <t>SALARY</t>
        </is>
      </c>
      <c r="D60" s="5" t="n"/>
      <c r="E60" s="6" t="n">
        <v>53365</v>
      </c>
      <c r="F60" s="7" t="n">
        <v>316441.87</v>
      </c>
      <c r="G60" s="8">
        <f>IF(AND(D60="",E60=""),F60,G59+IF(D60="",0,D60)-IF(E60="",0,E60))</f>
        <v/>
      </c>
    </row>
    <row r="61">
      <c r="A61" s="3" t="inlineStr">
        <is>
          <t>HSBC HKD Savings Account</t>
        </is>
      </c>
      <c r="B61" s="4" t="n">
        <v>45754</v>
      </c>
      <c r="C61" s="3" t="inlineStr">
        <is>
          <t>APS CHARGES I02 SALARY</t>
        </is>
      </c>
      <c r="D61" s="5" t="n"/>
      <c r="E61" s="6" t="n">
        <v>1</v>
      </c>
      <c r="F61" s="7" t="n"/>
      <c r="G61" s="8">
        <f>IF(AND(D61="",E61=""),F61,G60+IF(D61="",0,D61)-IF(E61="",0,E61))</f>
        <v/>
      </c>
    </row>
    <row r="62">
      <c r="A62" s="3" t="inlineStr">
        <is>
          <t>HSBC HKD Savings Account</t>
        </is>
      </c>
      <c r="B62" s="4" t="n">
        <v>45754</v>
      </c>
      <c r="C62" s="3" t="inlineStr">
        <is>
          <t>APS CHARGES I01 SALARY</t>
        </is>
      </c>
      <c r="D62" s="5" t="n"/>
      <c r="E62" s="6" t="n">
        <v>5.5</v>
      </c>
      <c r="F62" s="7" t="n"/>
      <c r="G62" s="8">
        <f>IF(AND(D62="",E62=""),F62,G61+IF(D62="",0,D62)-IF(E62="",0,E62))</f>
        <v/>
      </c>
    </row>
    <row r="63">
      <c r="A63" s="3" t="inlineStr">
        <is>
          <t>HSBC HKD Savings Account</t>
        </is>
      </c>
      <c r="B63" s="4" t="n">
        <v>45754</v>
      </c>
      <c r="C63" s="3" t="inlineStr">
        <is>
          <t>004521304535034 LOAN INTEREST</t>
        </is>
      </c>
      <c r="D63" s="5" t="n"/>
      <c r="E63" s="6" t="n">
        <v>2350</v>
      </c>
      <c r="F63" s="7" t="n">
        <v>314085.37</v>
      </c>
      <c r="G63" s="8">
        <f>IF(AND(D63="",E63=""),F63,G62+IF(D63="",0,D63)-IF(E63="",0,E63))</f>
        <v/>
      </c>
    </row>
    <row r="64">
      <c r="A64" s="3" t="inlineStr">
        <is>
          <t>HSBC HKD Savings Account</t>
        </is>
      </c>
      <c r="B64" s="4" t="n">
        <v>45755</v>
      </c>
      <c r="C64" s="3" t="inlineStr">
        <is>
          <t>SALARY</t>
        </is>
      </c>
      <c r="D64" s="5" t="n"/>
      <c r="E64" s="6" t="n">
        <v>297.5</v>
      </c>
      <c r="F64" s="7" t="n">
        <v>313787.87</v>
      </c>
      <c r="G64" s="8">
        <f>IF(AND(D64="",E64=""),F64,G63+IF(D64="",0,D64)-IF(E64="",0,E64))</f>
        <v/>
      </c>
    </row>
    <row r="65">
      <c r="A65" s="3" t="inlineStr">
        <is>
          <t>HSBC HKD Savings Account</t>
        </is>
      </c>
      <c r="B65" s="4" t="n">
        <v>45756</v>
      </c>
      <c r="C65" s="3" t="inlineStr">
        <is>
          <t>APS CHARGES I01 SALARY</t>
        </is>
      </c>
      <c r="D65" s="5" t="n"/>
      <c r="E65" s="6" t="n">
        <v>2.5</v>
      </c>
      <c r="F65" s="7" t="n">
        <v>313785.37</v>
      </c>
      <c r="G65" s="8">
        <f>IF(AND(D65="",E65=""),F65,G64+IF(D65="",0,D65)-IF(E65="",0,E65))</f>
        <v/>
      </c>
    </row>
    <row r="66">
      <c r="A66" s="3" t="inlineStr">
        <is>
          <t>HSBC HKD Savings Account</t>
        </is>
      </c>
      <c r="B66" s="4" t="n">
        <v>45761</v>
      </c>
      <c r="C66" s="3" t="inlineStr">
        <is>
          <t>REF:58A9 0523 CHEQUE DEPOSIT MACHINE (14APR25)</t>
        </is>
      </c>
      <c r="D66" s="5" t="n">
        <v>14900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HSBC HKD Savings Account</t>
        </is>
      </c>
      <c r="B67" s="4" t="n">
        <v>45761</v>
      </c>
      <c r="C67" s="3" t="inlineStr">
        <is>
          <t>REF:58A9 0524 CHEQUE DEPOSIT MACHINE (14APR25)</t>
        </is>
      </c>
      <c r="D67" s="5" t="n">
        <v>14845</v>
      </c>
      <c r="E67" s="6" t="n"/>
      <c r="F67" s="7" t="n">
        <v>343530.37</v>
      </c>
      <c r="G67" s="8">
        <f>IF(AND(D67="",E67=""),F67,G66+IF(D67="",0,D67)-IF(E67="",0,E67))</f>
        <v/>
      </c>
    </row>
    <row r="68">
      <c r="A68" s="3" t="inlineStr">
        <is>
          <t>HSBC HKD Savings Account</t>
        </is>
      </c>
      <c r="B68" s="4" t="n">
        <v>45762</v>
      </c>
      <c r="C68" s="3" t="inlineStr">
        <is>
          <t>REF:58AB 0238 CHEQUE DEPOSIT MACHINE (15APR25)</t>
        </is>
      </c>
      <c r="D68" s="5" t="n">
        <v>4000</v>
      </c>
      <c r="E68" s="6" t="n"/>
      <c r="F68" s="7" t="n">
        <v>347530.37</v>
      </c>
      <c r="G68" s="8">
        <f>IF(AND(D68="",E68=""),F68,G67+IF(D68="",0,D68)-IF(E68="",0,E68))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2026-06-23T02:40:58Z</dcterms:created>
  <dcterms:modified xmlns:dcterms="http://purl.org/dc/terms/" xmlns:xsi="http://www.w3.org/2001/XMLSchema-instance" xsi:type="dcterms:W3CDTF">2026-06-23T02:40:58Z</dcterms:modified>
</cp:coreProperties>
</file>