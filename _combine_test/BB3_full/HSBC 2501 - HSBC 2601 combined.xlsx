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45644</v>
      </c>
      <c r="C2" s="3" t="inlineStr">
        <is>
          <t>B/F BALANCE</t>
        </is>
      </c>
      <c r="D2" s="5" t="n"/>
      <c r="E2" s="6" t="n"/>
      <c r="F2" s="7" t="n">
        <v>49796.68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45645</v>
      </c>
      <c r="C3" s="3" t="inlineStr">
        <is>
          <t>CHEQUE 100833</t>
        </is>
      </c>
      <c r="D3" s="5" t="n"/>
      <c r="E3" s="6" t="n">
        <v>200</v>
      </c>
      <c r="F3" s="7" t="n">
        <v>49596.68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45653</v>
      </c>
      <c r="C4" s="3" t="inlineStr">
        <is>
          <t>FL MOTOR SERVICE LIM HC124C2521173642 25DEC</t>
        </is>
      </c>
      <c r="D4" s="5" t="n">
        <v>4460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45653</v>
      </c>
      <c r="C5" s="3" t="inlineStr">
        <is>
          <t>FL MOTOR SERVICE LIM HC124C2521175146 25DEC</t>
        </is>
      </c>
      <c r="D5" s="5" t="n">
        <v>4985</v>
      </c>
      <c r="E5" s="6" t="n"/>
      <c r="F5" s="7" t="n">
        <v>59041.68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45656</v>
      </c>
      <c r="C6" s="3" t="inlineStr">
        <is>
          <t>MCD 100832</t>
        </is>
      </c>
      <c r="D6" s="5" t="n"/>
      <c r="E6" s="6" t="n">
        <v>352.7</v>
      </c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45656</v>
      </c>
      <c r="C7" s="3" t="inlineStr">
        <is>
          <t>CR TO 500-330253-002 NC2954921493(29DEC24)</t>
        </is>
      </c>
      <c r="D7" s="5" t="n"/>
      <c r="E7" s="6" t="n">
        <v>288</v>
      </c>
      <c r="F7" s="7" t="n">
        <v>58400.98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45657</v>
      </c>
      <c r="C8" s="3" t="inlineStr">
        <is>
          <t>CHEQUE 100831</t>
        </is>
      </c>
      <c r="D8" s="5" t="n"/>
      <c r="E8" s="6" t="n">
        <v>9975</v>
      </c>
      <c r="F8" s="7" t="n">
        <v>48425.98</v>
      </c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45660</v>
      </c>
      <c r="C9" s="3" t="inlineStr">
        <is>
          <t>CHEQUE 100834</t>
        </is>
      </c>
      <c r="D9" s="5" t="n"/>
      <c r="E9" s="6" t="n">
        <v>5390</v>
      </c>
      <c r="F9" s="7" t="n">
        <v>43035.98</v>
      </c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45664</v>
      </c>
      <c r="C10" s="3" t="inlineStr">
        <is>
          <t>MANULIFE PROVIDENT F 0412548001</t>
        </is>
      </c>
      <c r="D10" s="5" t="n"/>
      <c r="E10" s="6" t="n">
        <v>6620.63</v>
      </c>
      <c r="F10" s="7" t="n">
        <v>36415.35</v>
      </c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45667</v>
      </c>
      <c r="C11" s="3" t="inlineStr">
        <is>
          <t>5592-4033-3377-2530 N11000007118(10JAN25)</t>
        </is>
      </c>
      <c r="D11" s="5" t="n"/>
      <c r="E11" s="6" t="n">
        <v>758</v>
      </c>
      <c r="F11" s="7" t="n">
        <v>35657.35</v>
      </c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45670</v>
      </c>
      <c r="C12" s="3" t="inlineStr">
        <is>
          <t>THE VALLEY OF ARTS D HC12511272926828 12JAN</t>
        </is>
      </c>
      <c r="D12" s="5" t="n">
        <v>3529</v>
      </c>
      <c r="E12" s="6" t="n"/>
      <c r="F12" s="7" t="n">
        <v>39186.35</v>
      </c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45678</v>
      </c>
      <c r="C13" s="3" t="inlineStr">
        <is>
          <t>MCD 100836</t>
        </is>
      </c>
      <c r="D13" s="5" t="n"/>
      <c r="E13" s="6" t="n">
        <v>5286.89</v>
      </c>
      <c r="F13" s="7" t="n"/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45678</v>
      </c>
      <c r="C14" s="3" t="inlineStr">
        <is>
          <t>MCD 100835</t>
        </is>
      </c>
      <c r="D14" s="5" t="n"/>
      <c r="E14" s="6" t="n">
        <v>5760.37</v>
      </c>
      <c r="F14" s="7" t="n">
        <v>28139.09</v>
      </c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45680</v>
      </c>
      <c r="C15" s="3" t="inlineStr">
        <is>
          <t>LEAPSING COMPANY LIM HC12512303125428 23JAN</t>
        </is>
      </c>
      <c r="D15" s="5" t="n">
        <v>3690</v>
      </c>
      <c r="E15" s="6" t="n"/>
      <c r="F15" s="7" t="n">
        <v>31829.09</v>
      </c>
      <c r="G15" s="8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45681</v>
      </c>
      <c r="C16" s="3" t="inlineStr">
        <is>
          <t>LEAPCHUN COMPANY LIM HC12512404996501 24JAN</t>
        </is>
      </c>
      <c r="D16" s="5" t="n">
        <v>1800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45681</v>
      </c>
      <c r="C17" s="3" t="inlineStr">
        <is>
          <t>LEAPBUD COMPANY LIMI HC12512405003363 24JAN</t>
        </is>
      </c>
      <c r="D17" s="5" t="n">
        <v>1530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45681</v>
      </c>
      <c r="C18" s="3" t="inlineStr">
        <is>
          <t>LEAPHUA COMPANY LIMI HC12512405005083 24JAN</t>
        </is>
      </c>
      <c r="D18" s="5" t="n">
        <v>2610</v>
      </c>
      <c r="E18" s="6" t="n"/>
      <c r="F18" s="7" t="n">
        <v>37769.09</v>
      </c>
      <c r="G18" s="8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45695</v>
      </c>
      <c r="C19" s="3" t="inlineStr">
        <is>
          <t>MANULIFE PROVIDENT F 0412548001</t>
        </is>
      </c>
      <c r="D19" s="5" t="n"/>
      <c r="E19" s="6" t="n">
        <v>6862.25</v>
      </c>
      <c r="F19" s="7" t="n">
        <v>30906.84</v>
      </c>
      <c r="G19" s="8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45701</v>
      </c>
      <c r="C20" s="3" t="inlineStr">
        <is>
          <t>LEAPCHUN COMPANY LIM HC12521359518878 13FEB</t>
        </is>
      </c>
      <c r="D20" s="5" t="n">
        <v>1935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45701</v>
      </c>
      <c r="C21" s="3" t="inlineStr">
        <is>
          <t>LEAPBUD MANAGEMENT L HC12521359519150 13FEB</t>
        </is>
      </c>
      <c r="D21" s="5" t="n">
        <v>1575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45701</v>
      </c>
      <c r="C22" s="3" t="inlineStr">
        <is>
          <t>LEAPSING COMPANY LIM HC12521359519511 13FEB</t>
        </is>
      </c>
      <c r="D22" s="5" t="n">
        <v>3645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45701</v>
      </c>
      <c r="C23" s="3" t="inlineStr">
        <is>
          <t>LEAPHUA COMPANY LIMI HC12521359519821 13FEB</t>
        </is>
      </c>
      <c r="D23" s="5" t="n">
        <v>2745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45701</v>
      </c>
      <c r="C24" s="3" t="inlineStr">
        <is>
          <t>LEAPBUD COMPANY LIMI HC12521359520003 13FEB</t>
        </is>
      </c>
      <c r="D24" s="5" t="n">
        <v>1890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45701</v>
      </c>
      <c r="C25" s="3" t="inlineStr">
        <is>
          <t>LEAPBUD COMPANY LIMI HC12521359520008 13FEB</t>
        </is>
      </c>
      <c r="D25" s="5" t="n">
        <v>2115</v>
      </c>
      <c r="E25" s="6" t="n"/>
      <c r="F25" s="7" t="n">
        <v>44811.84</v>
      </c>
      <c r="G25" s="8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45724</v>
      </c>
      <c r="C26" s="3" t="inlineStr">
        <is>
          <t>THE VALLEY OF ARTS D HC12530824242713 08MAR</t>
        </is>
      </c>
      <c r="D26" s="5" t="n">
        <v>3519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45724</v>
      </c>
      <c r="C27" s="3" t="inlineStr">
        <is>
          <t>THE VALLEY OF ARTS D HC12530824244106 08MAR</t>
        </is>
      </c>
      <c r="D27" s="5" t="n">
        <v>3500</v>
      </c>
      <c r="E27" s="6" t="n"/>
      <c r="F27" s="7" t="n">
        <v>51830.84</v>
      </c>
      <c r="G27" s="8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45727</v>
      </c>
      <c r="C28" s="3" t="inlineStr">
        <is>
          <t>5592-4033-3377-2530 N31102004693(11MAR25)</t>
        </is>
      </c>
      <c r="D28" s="5" t="n"/>
      <c r="E28" s="6" t="n">
        <v>1375.38</v>
      </c>
      <c r="F28" s="7" t="n">
        <v>50455.46</v>
      </c>
      <c r="G28" s="8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45741</v>
      </c>
      <c r="C29" s="3" t="inlineStr">
        <is>
          <t>CHEQUE 100837</t>
        </is>
      </c>
      <c r="D29" s="5" t="n"/>
      <c r="E29" s="6" t="n">
        <v>21600</v>
      </c>
      <c r="F29" s="7" t="n"/>
      <c r="G29" s="8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45741</v>
      </c>
      <c r="C30" s="3" t="inlineStr">
        <is>
          <t>MANULIFE PROVIDENT F 0412548001</t>
        </is>
      </c>
      <c r="D30" s="5" t="n"/>
      <c r="E30" s="6" t="n">
        <v>6496.38</v>
      </c>
      <c r="F30" s="7" t="n">
        <v>22359.08</v>
      </c>
      <c r="G30" s="8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45755</v>
      </c>
      <c r="C31" s="3" t="inlineStr">
        <is>
          <t>MANULIFE PROVIDENT F 0412548001</t>
        </is>
      </c>
      <c r="D31" s="5" t="n"/>
      <c r="E31" s="6" t="n">
        <v>8454</v>
      </c>
      <c r="F31" s="7" t="n">
        <v>13905.08</v>
      </c>
      <c r="G31" s="8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45780</v>
      </c>
      <c r="C32" s="3" t="inlineStr">
        <is>
          <t>LEAPBUD MANAGEMENT L HC12550378710999 03MAY</t>
        </is>
      </c>
      <c r="D32" s="5" t="n">
        <v>855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45780</v>
      </c>
      <c r="C33" s="3" t="inlineStr">
        <is>
          <t>LEAPCHUN COMPANY LIM HC12550378711032 03MAY</t>
        </is>
      </c>
      <c r="D33" s="5" t="n">
        <v>5761.3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45780</v>
      </c>
      <c r="C34" s="3" t="inlineStr">
        <is>
          <t>LEAPBUD COMPANY LIMI HC12550378711674 03MAY</t>
        </is>
      </c>
      <c r="D34" s="5" t="n">
        <v>3420.7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45780</v>
      </c>
      <c r="C35" s="3" t="inlineStr">
        <is>
          <t>LEAPHUA COMPANY LIMI HC12550378711915 03MAY</t>
        </is>
      </c>
      <c r="D35" s="5" t="n">
        <v>5591.6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45780</v>
      </c>
      <c r="C36" s="3" t="inlineStr">
        <is>
          <t>LEAPSING COMPANY LIM HC12550378711953 03MAY</t>
        </is>
      </c>
      <c r="D36" s="5" t="n">
        <v>7068.2</v>
      </c>
      <c r="E36" s="6" t="n"/>
      <c r="F36" s="7" t="n">
        <v>36601.88</v>
      </c>
      <c r="G36" s="8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45784</v>
      </c>
      <c r="C37" s="3" t="inlineStr">
        <is>
          <t>CR TO 129-496493-001 N50795033788(07MAY25)</t>
        </is>
      </c>
      <c r="D37" s="5" t="n"/>
      <c r="E37" s="6" t="n">
        <v>5980</v>
      </c>
      <c r="F37" s="7" t="n">
        <v>30621.88</v>
      </c>
      <c r="G37" s="8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45786</v>
      </c>
      <c r="C38" s="3" t="inlineStr">
        <is>
          <t>MANULIFE PROVIDENT F 0412548001</t>
        </is>
      </c>
      <c r="D38" s="5" t="n"/>
      <c r="E38" s="6" t="n">
        <v>8032.43</v>
      </c>
      <c r="F38" s="7" t="n">
        <v>22589.45</v>
      </c>
      <c r="G38" s="8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45789</v>
      </c>
      <c r="C39" s="3" t="inlineStr">
        <is>
          <t>5592-4033-3377-2530 N51212699661(12MAY25)</t>
        </is>
      </c>
      <c r="D39" s="5" t="n"/>
      <c r="E39" s="6" t="n">
        <v>1238.94</v>
      </c>
      <c r="F39" s="7" t="n">
        <v>21350.51</v>
      </c>
      <c r="G39" s="8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45790</v>
      </c>
      <c r="C40" s="3" t="inlineStr">
        <is>
          <t>LEUNG KIN SHUN HC12551206830642 12MAY</t>
        </is>
      </c>
      <c r="D40" s="5" t="n">
        <v>3600</v>
      </c>
      <c r="E40" s="6" t="n"/>
      <c r="F40" s="7" t="n">
        <v>24950.51</v>
      </c>
      <c r="G40" s="8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45799</v>
      </c>
      <c r="C41" s="3" t="inlineStr">
        <is>
          <t>5592-4033-3377-2530 N52245787942(22MAY25)</t>
        </is>
      </c>
      <c r="D41" s="5" t="n"/>
      <c r="E41" s="6" t="n">
        <v>487.77</v>
      </c>
      <c r="F41" s="7" t="n">
        <v>24462.74</v>
      </c>
      <c r="G41" s="8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45811</v>
      </c>
      <c r="C42" s="3" t="inlineStr">
        <is>
          <t>CHEQUE 100839</t>
        </is>
      </c>
      <c r="D42" s="5" t="n"/>
      <c r="E42" s="6" t="n">
        <v>1720</v>
      </c>
      <c r="F42" s="7" t="n"/>
      <c r="G42" s="8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45811</v>
      </c>
      <c r="C43" s="3" t="inlineStr">
        <is>
          <t>CHEQUE 100838</t>
        </is>
      </c>
      <c r="D43" s="5" t="n"/>
      <c r="E43" s="6" t="n">
        <v>2200</v>
      </c>
      <c r="F43" s="7" t="n">
        <v>20542.74</v>
      </c>
      <c r="G43" s="8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45813</v>
      </c>
      <c r="C44" s="3" t="inlineStr">
        <is>
          <t>LEAPBUD MANAGEMENT L HC12560575671732 05JUN</t>
        </is>
      </c>
      <c r="D44" s="5" t="n">
        <v>3195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45813</v>
      </c>
      <c r="C45" s="3" t="inlineStr">
        <is>
          <t>LEAPSING COMPANY LIM HC12560575682216 05JUN</t>
        </is>
      </c>
      <c r="D45" s="5" t="n">
        <v>7650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45813</v>
      </c>
      <c r="C46" s="3" t="inlineStr">
        <is>
          <t>LEAPHUA COMPANY LIMI HC12560575689342 05JUN</t>
        </is>
      </c>
      <c r="D46" s="5" t="n">
        <v>4590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45813</v>
      </c>
      <c r="C47" s="3" t="inlineStr">
        <is>
          <t>LEAPBUD COMPANY LIMI HC12560575692710 05JUN</t>
        </is>
      </c>
      <c r="D47" s="5" t="n">
        <v>2700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45813</v>
      </c>
      <c r="C48" s="3" t="inlineStr">
        <is>
          <t>LEAPCHUN COMPANY LIM HC12560575696400 05JUN</t>
        </is>
      </c>
      <c r="D48" s="5" t="n">
        <v>3690</v>
      </c>
      <c r="E48" s="6" t="n"/>
      <c r="F48" s="7" t="n">
        <v>42367.74</v>
      </c>
      <c r="G48" s="8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45814</v>
      </c>
      <c r="C49" s="3" t="inlineStr">
        <is>
          <t>CHEQUE 100842</t>
        </is>
      </c>
      <c r="D49" s="5" t="n"/>
      <c r="E49" s="6" t="n">
        <v>2505</v>
      </c>
      <c r="F49" s="7" t="n">
        <v>39862.74</v>
      </c>
      <c r="G49" s="8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45818</v>
      </c>
      <c r="C50" s="3" t="inlineStr">
        <is>
          <t>MANULIFE PROVIDENT F 0412548001</t>
        </is>
      </c>
      <c r="D50" s="5" t="n"/>
      <c r="E50" s="6" t="n">
        <v>8854.75</v>
      </c>
      <c r="F50" s="7" t="n">
        <v>31007.99</v>
      </c>
      <c r="G50" s="8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45824</v>
      </c>
      <c r="C51" s="3" t="inlineStr">
        <is>
          <t>MR LEUNG KIN SHUN HC12561606700999 16JUN</t>
        </is>
      </c>
      <c r="D51" s="5" t="n">
        <v>3600</v>
      </c>
      <c r="E51" s="6" t="n"/>
      <c r="F51" s="7" t="n">
        <v>34607.99</v>
      </c>
      <c r="G51" s="8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45825</v>
      </c>
      <c r="C52" s="3" t="inlineStr">
        <is>
          <t>LEAPCHUN COMPANY LIM HC12561707827926 17JUN</t>
        </is>
      </c>
      <c r="D52" s="5" t="n">
        <v>7445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45825</v>
      </c>
      <c r="C53" s="3" t="inlineStr">
        <is>
          <t>LEAPBUD MANAGEMENT L HC12561707828468 17JUN</t>
        </is>
      </c>
      <c r="D53" s="5" t="n">
        <v>5805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45825</v>
      </c>
      <c r="C54" s="3" t="inlineStr">
        <is>
          <t>LEAPHUA COMPANY LIMI HC12561707829575 17JUN</t>
        </is>
      </c>
      <c r="D54" s="5" t="n">
        <v>12738.5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45825</v>
      </c>
      <c r="C55" s="3" t="inlineStr">
        <is>
          <t>LEAPSING COMPANY LIM HC12561707829644 17JUN</t>
        </is>
      </c>
      <c r="D55" s="5" t="n">
        <v>14360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45825</v>
      </c>
      <c r="C56" s="3" t="inlineStr">
        <is>
          <t>LEAPBUD COMPANY LIMI HC12561707829960 17JUN</t>
        </is>
      </c>
      <c r="D56" s="5" t="n">
        <v>4762</v>
      </c>
      <c r="E56" s="6" t="n"/>
      <c r="F56" s="7" t="n">
        <v>79718.49000000001</v>
      </c>
      <c r="G56" s="8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45838</v>
      </c>
      <c r="C57" s="3" t="inlineStr">
        <is>
          <t>CHEQUE 100844</t>
        </is>
      </c>
      <c r="D57" s="5" t="n"/>
      <c r="E57" s="6" t="n">
        <v>2200</v>
      </c>
      <c r="F57" s="7" t="n">
        <v>77518.49000000001</v>
      </c>
      <c r="G57" s="8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45842</v>
      </c>
      <c r="C58" s="3" t="inlineStr">
        <is>
          <t>CHEQUE 100843</t>
        </is>
      </c>
      <c r="D58" s="5" t="n"/>
      <c r="E58" s="6" t="n">
        <v>870</v>
      </c>
      <c r="F58" s="7" t="n">
        <v>76648.49000000001</v>
      </c>
      <c r="G58" s="8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45849</v>
      </c>
      <c r="C59" s="3" t="inlineStr">
        <is>
          <t>MANULIFE PROVIDENT F 0412548001</t>
        </is>
      </c>
      <c r="D59" s="5" t="n"/>
      <c r="E59" s="6" t="n">
        <v>7872</v>
      </c>
      <c r="F59" s="7" t="n"/>
      <c r="G59" s="8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45849</v>
      </c>
      <c r="C60" s="3" t="inlineStr">
        <is>
          <t>MISS LIN SEN MEI HC12571179449083 11JUL</t>
        </is>
      </c>
      <c r="D60" s="5" t="n">
        <v>6960</v>
      </c>
      <c r="E60" s="6" t="n"/>
      <c r="F60" s="7" t="n">
        <v>75736.49000000001</v>
      </c>
      <c r="G60" s="8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45852</v>
      </c>
      <c r="C61" s="3" t="inlineStr">
        <is>
          <t>MANULIFE PROVIDENT F 0412548001</t>
        </is>
      </c>
      <c r="D61" s="5" t="n"/>
      <c r="E61" s="6" t="n">
        <v>900</v>
      </c>
      <c r="F61" s="7" t="n">
        <v>74836.49000000001</v>
      </c>
      <c r="G61" s="8">
        <f>IF(AND(D61="",E61=""),F61,G60+IF(D61="",0,D61)-IF(E61="",0,E61))</f>
        <v/>
      </c>
    </row>
    <row r="62">
      <c r="A62" s="3" t="inlineStr">
        <is>
          <t>HSBC HKD Current Account</t>
        </is>
      </c>
      <c r="B62" s="4" t="n">
        <v>45854</v>
      </c>
      <c r="C62" s="3" t="inlineStr">
        <is>
          <t>CHEQUE 100845</t>
        </is>
      </c>
      <c r="D62" s="5" t="n"/>
      <c r="E62" s="6" t="n">
        <v>1720</v>
      </c>
      <c r="F62" s="7" t="n"/>
      <c r="G62" s="8">
        <f>IF(AND(D62="",E62=""),F62,G61+IF(D62="",0,D62)-IF(E62="",0,E62))</f>
        <v/>
      </c>
    </row>
    <row r="63">
      <c r="A63" s="3" t="inlineStr">
        <is>
          <t>HSBC HKD Current Account</t>
        </is>
      </c>
      <c r="B63" s="4" t="n">
        <v>45854</v>
      </c>
      <c r="C63" s="3" t="inlineStr">
        <is>
          <t>CHEQUE 100846</t>
        </is>
      </c>
      <c r="D63" s="5" t="n"/>
      <c r="E63" s="6" t="n">
        <v>2200</v>
      </c>
      <c r="F63" s="7" t="n">
        <v>70916.49000000001</v>
      </c>
      <c r="G63" s="8">
        <f>IF(AND(D63="",E63=""),F63,G62+IF(D63="",0,D63)-IF(E63="",0,E63))</f>
        <v/>
      </c>
    </row>
    <row r="64">
      <c r="A64" s="3" t="inlineStr">
        <is>
          <t>HSBC HKD Current Account</t>
        </is>
      </c>
      <c r="B64" s="4" t="n">
        <v>45855</v>
      </c>
      <c r="C64" s="3" t="inlineStr">
        <is>
          <t>TAI SZE MAN DIANA HC12571795812918 17JUL</t>
        </is>
      </c>
      <c r="D64" s="5" t="n">
        <v>5000</v>
      </c>
      <c r="E64" s="6" t="n"/>
      <c r="F64" s="7" t="n">
        <v>75916.49000000001</v>
      </c>
      <c r="G64" s="8">
        <f>IF(AND(D64="",E64=""),F64,G63+IF(D64="",0,D64)-IF(E64="",0,E64))</f>
        <v/>
      </c>
    </row>
    <row r="65">
      <c r="A65" s="3" t="inlineStr">
        <is>
          <t>HSBC HKD Current Account</t>
        </is>
      </c>
      <c r="B65" s="4" t="n">
        <v>45856</v>
      </c>
      <c r="C65" s="3" t="inlineStr">
        <is>
          <t>MANULIFE PROVIDENT F 0412548001</t>
        </is>
      </c>
      <c r="D65" s="5" t="n"/>
      <c r="E65" s="6" t="n">
        <v>288</v>
      </c>
      <c r="F65" s="7" t="n"/>
      <c r="G65" s="8">
        <f>IF(AND(D65="",E65=""),F65,G64+IF(D65="",0,D65)-IF(E65="",0,E65))</f>
        <v/>
      </c>
    </row>
    <row r="66">
      <c r="A66" s="3" t="inlineStr">
        <is>
          <t>HSBC HKD Current Account</t>
        </is>
      </c>
      <c r="B66" s="4" t="n">
        <v>45856</v>
      </c>
      <c r="C66" s="3" t="inlineStr">
        <is>
          <t>LEAPBUD MANAGEMENT L HC12571898858308 18JUL</t>
        </is>
      </c>
      <c r="D66" s="5" t="n">
        <v>3375</v>
      </c>
      <c r="E66" s="6" t="n"/>
      <c r="F66" s="7" t="n">
        <v>79003.49000000001</v>
      </c>
      <c r="G66" s="8">
        <f>IF(AND(D66="",E66=""),F66,G65+IF(D66="",0,D66)-IF(E66="",0,E66))</f>
        <v/>
      </c>
    </row>
    <row r="67">
      <c r="A67" s="3" t="inlineStr">
        <is>
          <t>HSBC HKD Current Account</t>
        </is>
      </c>
      <c r="B67" s="4" t="n">
        <v>45857</v>
      </c>
      <c r="C67" s="3" t="inlineStr">
        <is>
          <t>MR LEUNG KIN SHUN HC12571901832244 19JUL</t>
        </is>
      </c>
      <c r="D67" s="5" t="n">
        <v>3600</v>
      </c>
      <c r="E67" s="6" t="n"/>
      <c r="F67" s="7" t="n">
        <v>82603.49000000001</v>
      </c>
      <c r="G67" s="8">
        <f>IF(AND(D67="",E67=""),F67,G66+IF(D67="",0,D67)-IF(E67="",0,E67))</f>
        <v/>
      </c>
    </row>
    <row r="68">
      <c r="A68" s="3" t="inlineStr">
        <is>
          <t>HSBC HKD Current Account</t>
        </is>
      </c>
      <c r="B68" s="4" t="n">
        <v>45859</v>
      </c>
      <c r="C68" s="3" t="inlineStr">
        <is>
          <t>LEAPCHUN COMPANY LIM HC12572106019546 21JUL</t>
        </is>
      </c>
      <c r="D68" s="5" t="n">
        <v>3780</v>
      </c>
      <c r="E68" s="6" t="n"/>
      <c r="F68" s="7" t="n">
        <v>86383.49000000001</v>
      </c>
      <c r="G68" s="8">
        <f>IF(AND(D68="",E68=""),F68,G67+IF(D68="",0,D68)-IF(E68="",0,E68))</f>
        <v/>
      </c>
    </row>
    <row r="69">
      <c r="A69" s="3" t="inlineStr">
        <is>
          <t>HSBC HKD Current Account</t>
        </is>
      </c>
      <c r="B69" s="4" t="n">
        <v>45860</v>
      </c>
      <c r="C69" s="3" t="inlineStr">
        <is>
          <t>LEAPBUD COMPANY LIMI HC12572207872374 22JUL</t>
        </is>
      </c>
      <c r="D69" s="5" t="n">
        <v>3060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HSBC HKD Current Account</t>
        </is>
      </c>
      <c r="B70" s="4" t="n">
        <v>45860</v>
      </c>
      <c r="C70" s="3" t="inlineStr">
        <is>
          <t>LEAPHUA COMPANY LIMI HC12572207872716 22JUL</t>
        </is>
      </c>
      <c r="D70" s="5" t="n">
        <v>4518.5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HSBC HKD Current Account</t>
        </is>
      </c>
      <c r="B71" s="4" t="n">
        <v>45860</v>
      </c>
      <c r="C71" s="3" t="inlineStr">
        <is>
          <t>LEAPSING COMPANY LIM HC12572207872813 22JUL</t>
        </is>
      </c>
      <c r="D71" s="5" t="n">
        <v>5940</v>
      </c>
      <c r="E71" s="6" t="n"/>
      <c r="F71" s="7" t="n">
        <v>99901.99000000001</v>
      </c>
      <c r="G71" s="8">
        <f>IF(AND(D71="",E71=""),F71,G70+IF(D71="",0,D71)-IF(E71="",0,E71))</f>
        <v/>
      </c>
    </row>
    <row r="72">
      <c r="A72" s="3" t="inlineStr">
        <is>
          <t>HSBC HKD Current Account</t>
        </is>
      </c>
      <c r="B72" s="4" t="n">
        <v>45861</v>
      </c>
      <c r="C72" s="3" t="inlineStr">
        <is>
          <t>MR SO HO YIN HC12572310452601 23JUL</t>
        </is>
      </c>
      <c r="D72" s="5" t="n">
        <v>5520</v>
      </c>
      <c r="E72" s="6" t="n"/>
      <c r="F72" s="7" t="n">
        <v>105421.99</v>
      </c>
      <c r="G72" s="8">
        <f>IF(AND(D72="",E72=""),F72,G71+IF(D72="",0,D72)-IF(E72="",0,E72))</f>
        <v/>
      </c>
    </row>
    <row r="73">
      <c r="A73" s="3" t="inlineStr">
        <is>
          <t>HSBC HKD Current Account</t>
        </is>
      </c>
      <c r="B73" s="4" t="n">
        <v>45867</v>
      </c>
      <c r="C73" s="3" t="inlineStr">
        <is>
          <t>MISS CHEUNG SZE MAN HC12572926800762 29JUL</t>
        </is>
      </c>
      <c r="D73" s="5" t="n">
        <v>150</v>
      </c>
      <c r="E73" s="6" t="n"/>
      <c r="F73" s="7" t="n">
        <v>105571.99</v>
      </c>
      <c r="G73" s="8">
        <f>IF(AND(D73="",E73=""),F73,G72+IF(D73="",0,D73)-IF(E73="",0,E73))</f>
        <v/>
      </c>
    </row>
    <row r="74">
      <c r="A74" s="3" t="inlineStr">
        <is>
          <t>HSBC HKD Current Account</t>
        </is>
      </c>
      <c r="B74" s="4" t="n">
        <v>45870</v>
      </c>
      <c r="C74" s="3" t="inlineStr">
        <is>
          <t>CHEQUE 100847</t>
        </is>
      </c>
      <c r="D74" s="5" t="n"/>
      <c r="E74" s="6" t="n">
        <v>1720</v>
      </c>
      <c r="F74" s="7" t="n"/>
      <c r="G74" s="8">
        <f>IF(AND(D74="",E74=""),F74,G73+IF(D74="",0,D74)-IF(E74="",0,E74))</f>
        <v/>
      </c>
    </row>
    <row r="75">
      <c r="A75" s="3" t="inlineStr">
        <is>
          <t>HSBC HKD Current Account</t>
        </is>
      </c>
      <c r="B75" s="4" t="n">
        <v>45870</v>
      </c>
      <c r="C75" s="3" t="inlineStr">
        <is>
          <t>CHEQUE 100848</t>
        </is>
      </c>
      <c r="D75" s="5" t="n"/>
      <c r="E75" s="6" t="n">
        <v>2200</v>
      </c>
      <c r="F75" s="7" t="n">
        <v>101651.99</v>
      </c>
      <c r="G75" s="8">
        <f>IF(AND(D75="",E75=""),F75,G74+IF(D75="",0,D75)-IF(E75="",0,E75))</f>
        <v/>
      </c>
    </row>
    <row r="76">
      <c r="A76" s="3" t="inlineStr">
        <is>
          <t>HSBC HKD Current Account</t>
        </is>
      </c>
      <c r="B76" s="4" t="n">
        <v>45873</v>
      </c>
      <c r="C76" s="3" t="inlineStr">
        <is>
          <t>MANULIFE PROVIDENT F 0412548001</t>
        </is>
      </c>
      <c r="D76" s="5" t="n"/>
      <c r="E76" s="6" t="n">
        <v>6248.23</v>
      </c>
      <c r="F76" s="7" t="n">
        <v>95403.75999999999</v>
      </c>
      <c r="G76" s="8">
        <f>IF(AND(D76="",E76=""),F76,G75+IF(D76="",0,D76)-IF(E76="",0,E76))</f>
        <v/>
      </c>
    </row>
    <row r="77">
      <c r="A77" s="3" t="inlineStr">
        <is>
          <t>HSBC HKD Current Account</t>
        </is>
      </c>
      <c r="B77" s="4" t="n">
        <v>45875</v>
      </c>
      <c r="C77" s="3" t="inlineStr">
        <is>
          <t>CR TO 121-866131-838 N80612413009(06AUG25)</t>
        </is>
      </c>
      <c r="D77" s="5" t="n"/>
      <c r="E77" s="6" t="n">
        <v>20000</v>
      </c>
      <c r="F77" s="7" t="n">
        <v>75403.75999999999</v>
      </c>
      <c r="G77" s="8">
        <f>IF(AND(D77="",E77=""),F77,G76+IF(D77="",0,D77)-IF(E77="",0,E77))</f>
        <v/>
      </c>
    </row>
    <row r="78">
      <c r="A78" s="3" t="inlineStr">
        <is>
          <t>HSBC HKD Current Account</t>
        </is>
      </c>
      <c r="B78" s="4" t="n">
        <v>45880</v>
      </c>
      <c r="C78" s="3" t="inlineStr">
        <is>
          <t>MANULIFE PROVIDENT F 0412548001</t>
        </is>
      </c>
      <c r="D78" s="5" t="n"/>
      <c r="E78" s="6" t="n">
        <v>8405</v>
      </c>
      <c r="F78" s="7" t="n"/>
      <c r="G78" s="8">
        <f>IF(AND(D78="",E78=""),F78,G77+IF(D78="",0,D78)-IF(E78="",0,E78))</f>
        <v/>
      </c>
    </row>
    <row r="79">
      <c r="A79" s="3" t="inlineStr">
        <is>
          <t>HSBC HKD Current Account</t>
        </is>
      </c>
      <c r="B79" s="4" t="n">
        <v>45880</v>
      </c>
      <c r="C79" s="3" t="inlineStr">
        <is>
          <t>MISS LIN SEN MEI HC12581167101606 11AUG</t>
        </is>
      </c>
      <c r="D79" s="5" t="n">
        <v>200</v>
      </c>
      <c r="E79" s="6" t="n"/>
      <c r="F79" s="7" t="n">
        <v>67198.75999999999</v>
      </c>
      <c r="G79" s="8">
        <f>IF(AND(D79="",E79=""),F79,G78+IF(D79="",0,D79)-IF(E79="",0,E79))</f>
        <v/>
      </c>
    </row>
    <row r="80">
      <c r="A80" s="3" t="inlineStr">
        <is>
          <t>HSBC HKD Current Account</t>
        </is>
      </c>
      <c r="B80" s="4" t="n">
        <v>45881</v>
      </c>
      <c r="C80" s="3" t="inlineStr">
        <is>
          <t>MANULIFE PROVIDENT F 0412548001</t>
        </is>
      </c>
      <c r="D80" s="5" t="n"/>
      <c r="E80" s="6" t="n">
        <v>938.14</v>
      </c>
      <c r="F80" s="7" t="n">
        <v>66260.62</v>
      </c>
      <c r="G80" s="8">
        <f>IF(AND(D80="",E80=""),F80,G79+IF(D80="",0,D80)-IF(E80="",0,E80))</f>
        <v/>
      </c>
    </row>
    <row r="81">
      <c r="A81" s="3" t="inlineStr">
        <is>
          <t>HSBC HKD Current Account</t>
        </is>
      </c>
      <c r="B81" s="4" t="n">
        <v>45884</v>
      </c>
      <c r="C81" s="3" t="inlineStr">
        <is>
          <t>MR LEUNG KIN SHUN HC12581577022958 15AUG</t>
        </is>
      </c>
      <c r="D81" s="5" t="n">
        <v>3600</v>
      </c>
      <c r="E81" s="6" t="n"/>
      <c r="F81" s="7" t="n">
        <v>69860.62</v>
      </c>
      <c r="G81" s="8">
        <f>IF(AND(D81="",E81=""),F81,G80+IF(D81="",0,D81)-IF(E81="",0,E81))</f>
        <v/>
      </c>
    </row>
    <row r="82">
      <c r="A82" s="3" t="inlineStr">
        <is>
          <t>HSBC HKD Current Account</t>
        </is>
      </c>
      <c r="B82" s="4" t="n">
        <v>45904</v>
      </c>
      <c r="C82" s="3" t="inlineStr">
        <is>
          <t>CR TO 121-866131-838 N90414241906(04SEP25)</t>
        </is>
      </c>
      <c r="D82" s="5" t="n"/>
      <c r="E82" s="6" t="n">
        <v>53000</v>
      </c>
      <c r="F82" s="7" t="n">
        <v>16860.62</v>
      </c>
      <c r="G82" s="8">
        <f>IF(AND(D82="",E82=""),F82,G81+IF(D82="",0,D82)-IF(E82="",0,E82))</f>
        <v/>
      </c>
    </row>
    <row r="83">
      <c r="A83" s="3" t="inlineStr">
        <is>
          <t>HSBC HKD Current Account</t>
        </is>
      </c>
      <c r="B83" s="4" t="n">
        <v>45909</v>
      </c>
      <c r="C83" s="3" t="inlineStr">
        <is>
          <t>CHEQUE 100849</t>
        </is>
      </c>
      <c r="D83" s="5" t="n"/>
      <c r="E83" s="6" t="n">
        <v>105</v>
      </c>
      <c r="F83" s="7" t="n"/>
      <c r="G83" s="8">
        <f>IF(AND(D83="",E83=""),F83,G82+IF(D83="",0,D83)-IF(E83="",0,E83))</f>
        <v/>
      </c>
    </row>
    <row r="84">
      <c r="A84" s="3" t="inlineStr">
        <is>
          <t>HSBC HKD Current Account</t>
        </is>
      </c>
      <c r="B84" s="4" t="n">
        <v>45909</v>
      </c>
      <c r="C84" s="3" t="inlineStr">
        <is>
          <t>MR LEUNG KIN SHUN HC12590949767780 09SEP</t>
        </is>
      </c>
      <c r="D84" s="5" t="n">
        <v>3600</v>
      </c>
      <c r="E84" s="6" t="n"/>
      <c r="F84" s="7" t="n">
        <v>20355.62</v>
      </c>
      <c r="G84" s="8">
        <f>IF(AND(D84="",E84=""),F84,G83+IF(D84="",0,D84)-IF(E84="",0,E84))</f>
        <v/>
      </c>
    </row>
    <row r="85">
      <c r="A85" s="3" t="inlineStr">
        <is>
          <t>HSBC HKD Current Account</t>
        </is>
      </c>
      <c r="B85" s="4" t="n">
        <v>45911</v>
      </c>
      <c r="C85" s="3" t="inlineStr">
        <is>
          <t>LEAPHUA COMPANY LIMI HC12591156357289 11SEP</t>
        </is>
      </c>
      <c r="D85" s="5" t="n">
        <v>6387</v>
      </c>
      <c r="E85" s="6" t="n"/>
      <c r="F85" s="7" t="n">
        <v>26742.62</v>
      </c>
      <c r="G85" s="8">
        <f>IF(AND(D85="",E85=""),F85,G84+IF(D85="",0,D85)-IF(E85="",0,E85))</f>
        <v/>
      </c>
    </row>
    <row r="86">
      <c r="A86" s="3" t="inlineStr">
        <is>
          <t>HSBC HKD Current Account</t>
        </is>
      </c>
      <c r="B86" s="4" t="n">
        <v>45912</v>
      </c>
      <c r="C86" s="3" t="inlineStr">
        <is>
          <t>MANULIFE PROVIDENT F 0412548001</t>
        </is>
      </c>
      <c r="D86" s="5" t="n"/>
      <c r="E86" s="6" t="n">
        <v>8663.25</v>
      </c>
      <c r="F86" s="7" t="n"/>
      <c r="G86" s="8">
        <f>IF(AND(D86="",E86=""),F86,G85+IF(D86="",0,D86)-IF(E86="",0,E86))</f>
        <v/>
      </c>
    </row>
    <row r="87">
      <c r="A87" s="3" t="inlineStr">
        <is>
          <t>HSBC HKD Current Account</t>
        </is>
      </c>
      <c r="B87" s="4" t="n">
        <v>45912</v>
      </c>
      <c r="C87" s="3" t="inlineStr">
        <is>
          <t>LEAPCHUN COMPANY LIM HC12591258941795 12SEP</t>
        </is>
      </c>
      <c r="D87" s="5" t="n">
        <v>6005.5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HSBC HKD Current Account</t>
        </is>
      </c>
      <c r="B88" s="4" t="n">
        <v>45912</v>
      </c>
      <c r="C88" s="3" t="inlineStr">
        <is>
          <t>LEAPBUD MANAGEMENT L HC12591258941830 12SEP</t>
        </is>
      </c>
      <c r="D88" s="5" t="n">
        <v>6769.5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HSBC HKD Current Account</t>
        </is>
      </c>
      <c r="B89" s="4" t="n">
        <v>45912</v>
      </c>
      <c r="C89" s="3" t="inlineStr">
        <is>
          <t>LEAPBUD COMPANY LIMI HC12591258943942 12SEP</t>
        </is>
      </c>
      <c r="D89" s="5" t="n">
        <v>5355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HSBC HKD Current Account</t>
        </is>
      </c>
      <c r="B90" s="4" t="n">
        <v>45912</v>
      </c>
      <c r="C90" s="3" t="inlineStr">
        <is>
          <t>LEAPSING COMPANY LIM HC12591258943949 12SEP</t>
        </is>
      </c>
      <c r="D90" s="5" t="n">
        <v>8100</v>
      </c>
      <c r="E90" s="6" t="n"/>
      <c r="F90" s="7" t="n">
        <v>44309.37</v>
      </c>
      <c r="G90" s="8">
        <f>IF(AND(D90="",E90=""),F90,G89+IF(D90="",0,D90)-IF(E90="",0,E90))</f>
        <v/>
      </c>
    </row>
    <row r="91">
      <c r="A91" s="3" t="inlineStr">
        <is>
          <t>HSBC HKD Current Account</t>
        </is>
      </c>
      <c r="B91" s="4" t="n">
        <v>45930</v>
      </c>
      <c r="C91" s="3" t="inlineStr">
        <is>
          <t>CHEQUE 100850</t>
        </is>
      </c>
      <c r="D91" s="5" t="n"/>
      <c r="E91" s="6" t="n">
        <v>10200</v>
      </c>
      <c r="F91" s="7" t="n">
        <v>34109.37</v>
      </c>
      <c r="G91" s="8">
        <f>IF(AND(D91="",E91=""),F91,G90+IF(D91="",0,D91)-IF(E91="",0,E91))</f>
        <v/>
      </c>
    </row>
    <row r="92">
      <c r="A92" s="3" t="inlineStr">
        <is>
          <t>HSBC HKD Current Account</t>
        </is>
      </c>
      <c r="B92" s="4" t="n">
        <v>45936</v>
      </c>
      <c r="C92" s="3" t="inlineStr">
        <is>
          <t>CR TO 121-866131-838 NA0628155562(06OCT25)</t>
        </is>
      </c>
      <c r="D92" s="5" t="n"/>
      <c r="E92" s="6" t="n">
        <v>30000</v>
      </c>
      <c r="F92" s="7" t="n">
        <v>4109.37</v>
      </c>
      <c r="G92" s="8">
        <f>IF(AND(D92="",E92=""),F92,G91+IF(D92="",0,D92)-IF(E92="",0,E92))</f>
        <v/>
      </c>
    </row>
    <row r="93">
      <c r="A93" s="3" t="inlineStr">
        <is>
          <t>HSBC HKD Current Account</t>
        </is>
      </c>
      <c r="B93" s="4" t="n">
        <v>45939</v>
      </c>
      <c r="C93" s="3" t="inlineStr">
        <is>
          <t>W OFFICE LIMITED NA0940660060(09OCT25)</t>
        </is>
      </c>
      <c r="D93" s="5" t="n">
        <v>3000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HSBC HKD Current Account</t>
        </is>
      </c>
      <c r="B94" s="4" t="n">
        <v>45939</v>
      </c>
      <c r="C94" s="3" t="inlineStr">
        <is>
          <t>LEAPBUD MANAGEMENT L HC125A0940021052 09OCT</t>
        </is>
      </c>
      <c r="D94" s="5" t="n">
        <v>4390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HSBC HKD Current Account</t>
        </is>
      </c>
      <c r="B95" s="4" t="n">
        <v>45939</v>
      </c>
      <c r="C95" s="3" t="inlineStr">
        <is>
          <t>LEAPSING COMPANY LIM HC125A0940036049 09OCT</t>
        </is>
      </c>
      <c r="D95" s="5" t="n">
        <v>4050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HSBC HKD Current Account</t>
        </is>
      </c>
      <c r="B96" s="4" t="n">
        <v>45939</v>
      </c>
      <c r="C96" s="3" t="inlineStr">
        <is>
          <t>LEAPHUA COMPANY LIMI HC125A0940158568 09OCT</t>
        </is>
      </c>
      <c r="D96" s="5" t="n">
        <v>2745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HSBC HKD Current Account</t>
        </is>
      </c>
      <c r="B97" s="4" t="n">
        <v>45939</v>
      </c>
      <c r="C97" s="3" t="inlineStr">
        <is>
          <t>LEAPCHUN COMPANY LIM HC125A0940161480 09OCT</t>
        </is>
      </c>
      <c r="D97" s="5" t="n">
        <v>2543.5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HSBC HKD Current Account</t>
        </is>
      </c>
      <c r="B98" s="4" t="n">
        <v>45939</v>
      </c>
      <c r="C98" s="3" t="inlineStr">
        <is>
          <t>LEAPBUD COMPANY LIMI HC125A0940164057 09OCT</t>
        </is>
      </c>
      <c r="D98" s="5" t="n">
        <v>2655</v>
      </c>
      <c r="E98" s="6" t="n"/>
      <c r="F98" s="7" t="n">
        <v>23492.87</v>
      </c>
      <c r="G98" s="8">
        <f>IF(AND(D98="",E98=""),F98,G97+IF(D98="",0,D98)-IF(E98="",0,E98))</f>
        <v/>
      </c>
    </row>
    <row r="99">
      <c r="A99" s="3" t="inlineStr">
        <is>
          <t>HSBC HKD Current Account</t>
        </is>
      </c>
      <c r="B99" s="4" t="n">
        <v>45943</v>
      </c>
      <c r="C99" s="3" t="inlineStr">
        <is>
          <t>MANULIFE PROVIDENT F 0412548001</t>
        </is>
      </c>
      <c r="D99" s="5" t="n"/>
      <c r="E99" s="6" t="n">
        <v>8679.74</v>
      </c>
      <c r="F99" s="7" t="n">
        <v>14813.13</v>
      </c>
      <c r="G99" s="8">
        <f>IF(AND(D99="",E99=""),F99,G98+IF(D99="",0,D99)-IF(E99="",0,E99))</f>
        <v/>
      </c>
    </row>
    <row r="100">
      <c r="A100" s="3" t="inlineStr">
        <is>
          <t>HSBC HKD Current Account</t>
        </is>
      </c>
      <c r="B100" s="4" t="n">
        <v>45944</v>
      </c>
      <c r="C100" s="3" t="inlineStr">
        <is>
          <t>CR TO 456-076512-833 BNI MEETINGF(14OCT25)</t>
        </is>
      </c>
      <c r="D100" s="5" t="n"/>
      <c r="E100" s="6" t="n">
        <v>4200</v>
      </c>
      <c r="F100" s="7" t="n">
        <v>10613.13</v>
      </c>
      <c r="G100" s="8">
        <f>IF(AND(D100="",E100=""),F100,G99+IF(D100="",0,D100)-IF(E100="",0,E100))</f>
        <v/>
      </c>
    </row>
    <row r="101">
      <c r="A101" s="3" t="inlineStr">
        <is>
          <t>HSBC HKD Current Account</t>
        </is>
      </c>
      <c r="B101" s="4" t="n">
        <v>45945</v>
      </c>
      <c r="C101" s="3" t="inlineStr">
        <is>
          <t>MR LEUNG KIN SHUN HC125A1557796188 15OCT</t>
        </is>
      </c>
      <c r="D101" s="5" t="n">
        <v>3600</v>
      </c>
      <c r="E101" s="6" t="n"/>
      <c r="F101" s="7" t="n">
        <v>14213.13</v>
      </c>
      <c r="G101" s="8">
        <f>IF(AND(D101="",E101=""),F101,G100+IF(D101="",0,D101)-IF(E101="",0,E101))</f>
        <v/>
      </c>
    </row>
    <row r="102">
      <c r="A102" s="3" t="inlineStr">
        <is>
          <t>HSBC HKD Current Account</t>
        </is>
      </c>
      <c r="B102" s="4" t="n">
        <v>45972</v>
      </c>
      <c r="C102" s="3" t="inlineStr">
        <is>
          <t>PIONEER TECHNOLOGY L HC125B1140079687 11NOV</t>
        </is>
      </c>
      <c r="D102" s="5" t="n">
        <v>12240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HSBC HKD Current Account</t>
        </is>
      </c>
      <c r="B103" s="4" t="n">
        <v>45972</v>
      </c>
      <c r="C103" s="3" t="inlineStr">
        <is>
          <t>CR TO 129-496493-001 RENT (11NOV25)</t>
        </is>
      </c>
      <c r="D103" s="5" t="n"/>
      <c r="E103" s="6" t="n">
        <v>5980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HSBC HKD Current Account</t>
        </is>
      </c>
      <c r="B104" s="4" t="n">
        <v>45972</v>
      </c>
      <c r="C104" s="3" t="inlineStr">
        <is>
          <t>CR TO 121-866131-838 NB1164886885(11NOV25)</t>
        </is>
      </c>
      <c r="D104" s="5" t="n"/>
      <c r="E104" s="6" t="n">
        <v>20000</v>
      </c>
      <c r="F104" s="7" t="n">
        <v>473.13</v>
      </c>
      <c r="G104" s="8">
        <f>IF(AND(D104="",E104=""),F104,G103+IF(D104="",0,D104)-IF(E104="",0,E104))</f>
        <v/>
      </c>
    </row>
    <row r="105">
      <c r="A105" s="3" t="inlineStr">
        <is>
          <t>HSBC HKD Current Account</t>
        </is>
      </c>
      <c r="B105" s="4" t="n">
        <v>45974</v>
      </c>
      <c r="C105" s="3" t="inlineStr">
        <is>
          <t>MANULIFE PROVIDENT F 0412548001</t>
        </is>
      </c>
      <c r="D105" s="5" t="n"/>
      <c r="E105" s="6" t="n">
        <v>8396.059999999999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HSBC HKD Current Account</t>
        </is>
      </c>
      <c r="B106" s="4" t="n">
        <v>45976</v>
      </c>
      <c r="C106" s="3" t="inlineStr">
        <is>
          <t>UNAUTHORIZED OD CHARGE</t>
        </is>
      </c>
      <c r="D106" s="5" t="n"/>
      <c r="E106" s="6" t="n">
        <v>120</v>
      </c>
      <c r="F106" s="7" t="n"/>
      <c r="G106" s="8">
        <f>IF(AND(D106="",E106=""),F106,G105+IF(D106="",0,D106)-IF(E106="",0,E106))</f>
        <v/>
      </c>
    </row>
    <row r="107">
      <c r="A107" s="3" t="inlineStr">
        <is>
          <t>HSBC HKD Current Account</t>
        </is>
      </c>
      <c r="B107" s="4" t="n">
        <v>45979</v>
      </c>
      <c r="C107" s="3" t="inlineStr">
        <is>
          <t>LEAPBUD MANAGEMENT L HC125B1860733378 18NOV</t>
        </is>
      </c>
      <c r="D107" s="5" t="n">
        <v>3168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HSBC HKD Current Account</t>
        </is>
      </c>
      <c r="B108" s="4" t="n">
        <v>45979</v>
      </c>
      <c r="C108" s="3" t="inlineStr">
        <is>
          <t>LEAPSING COMPANY LIM HC125B1860736798 18NOV</t>
        </is>
      </c>
      <c r="D108" s="5" t="n">
        <v>3870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HSBC HKD Current Account</t>
        </is>
      </c>
      <c r="B109" s="4" t="n">
        <v>45979</v>
      </c>
      <c r="C109" s="3" t="inlineStr">
        <is>
          <t>LEAPHUA COMPANY LIMI HC125B1860739425 18NOV</t>
        </is>
      </c>
      <c r="D109" s="5" t="n">
        <v>2520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HSBC HKD Current Account</t>
        </is>
      </c>
      <c r="B110" s="4" t="n">
        <v>45979</v>
      </c>
      <c r="C110" s="3" t="inlineStr">
        <is>
          <t>LEAPCHUN COMPANY LIM HC125B1860741817 18NOV</t>
        </is>
      </c>
      <c r="D110" s="5" t="n">
        <v>3150.5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HSBC HKD Current Account</t>
        </is>
      </c>
      <c r="B111" s="4" t="n">
        <v>45979</v>
      </c>
      <c r="C111" s="3" t="inlineStr">
        <is>
          <t>LEAPBUD COMPANY LIMI HC125B1860746592 18NOV</t>
        </is>
      </c>
      <c r="D111" s="5" t="n">
        <v>2835</v>
      </c>
      <c r="E111" s="6" t="n"/>
      <c r="F111" s="7" t="n">
        <v>7500.57</v>
      </c>
      <c r="G111" s="8">
        <f>IF(AND(D111="",E111=""),F111,G110+IF(D111="",0,D111)-IF(E111="",0,E111))</f>
        <v/>
      </c>
    </row>
    <row r="112">
      <c r="A112" s="3" t="inlineStr">
        <is>
          <t>HSBC HKD Current Account</t>
        </is>
      </c>
      <c r="B112" s="4" t="n">
        <v>45980</v>
      </c>
      <c r="C112" s="3" t="inlineStr">
        <is>
          <t>MR LEUNG KIN SHUN HC125B1963098467 19NOV</t>
        </is>
      </c>
      <c r="D112" s="5" t="n">
        <v>3600</v>
      </c>
      <c r="E112" s="6" t="n"/>
      <c r="F112" s="7" t="n">
        <v>11100.57</v>
      </c>
      <c r="G112" s="8">
        <f>IF(AND(D112="",E112=""),F112,G111+IF(D112="",0,D112)-IF(E112="",0,E112))</f>
        <v/>
      </c>
    </row>
    <row r="113">
      <c r="A113" s="3" t="inlineStr">
        <is>
          <t>HSBC HKD Current Account</t>
        </is>
      </c>
      <c r="B113" s="4" t="n">
        <v>45981</v>
      </c>
      <c r="C113" s="3" t="inlineStr">
        <is>
          <t>SENTO AUTO TECH LIMI HC125B2067298785 20NOV</t>
        </is>
      </c>
      <c r="D113" s="5" t="n">
        <v>8075</v>
      </c>
      <c r="E113" s="6" t="n"/>
      <c r="F113" s="7" t="n">
        <v>19175.57</v>
      </c>
      <c r="G113" s="8">
        <f>IF(AND(D113="",E113=""),F113,G112+IF(D113="",0,D113)-IF(E113="",0,E113))</f>
        <v/>
      </c>
    </row>
    <row r="114">
      <c r="A114" s="3" t="inlineStr">
        <is>
          <t>HSBC HKD Current Account</t>
        </is>
      </c>
      <c r="B114" s="4" t="n">
        <v>45989</v>
      </c>
      <c r="C114" s="3" t="inlineStr">
        <is>
          <t>28OCT25 TO 27NOV25 DEBIT INTEREST</t>
        </is>
      </c>
      <c r="D114" s="5" t="n"/>
      <c r="E114" s="6" t="n">
        <v>14.22</v>
      </c>
      <c r="F114" s="7" t="n">
        <v>19161.35</v>
      </c>
      <c r="G114" s="8">
        <f>IF(AND(D114="",E114=""),F114,G113+IF(D114="",0,D114)-IF(E114="",0,E114))</f>
        <v/>
      </c>
    </row>
    <row r="115">
      <c r="A115" s="3" t="inlineStr">
        <is>
          <t>HSBC HKD Current Account</t>
        </is>
      </c>
      <c r="B115" s="4" t="n">
        <v>45995</v>
      </c>
      <c r="C115" s="3" t="inlineStr">
        <is>
          <t>CR TO 121-866131-838 NC0451520698(04DEC25)</t>
        </is>
      </c>
      <c r="D115" s="5" t="n"/>
      <c r="E115" s="6" t="n">
        <v>9000</v>
      </c>
      <c r="F115" s="7" t="n"/>
      <c r="G115" s="8">
        <f>IF(AND(D115="",E115=""),F115,G114+IF(D115="",0,D115)-IF(E115="",0,E115))</f>
        <v/>
      </c>
    </row>
    <row r="116">
      <c r="A116" s="3" t="inlineStr">
        <is>
          <t>HSBC HKD Current Account</t>
        </is>
      </c>
      <c r="B116" s="4" t="n">
        <v>45995</v>
      </c>
      <c r="C116" s="3" t="inlineStr">
        <is>
          <t>CR TO 129-496493-001 NC0451528543(04DEC25)</t>
        </is>
      </c>
      <c r="D116" s="5" t="n"/>
      <c r="E116" s="6" t="n">
        <v>5980</v>
      </c>
      <c r="F116" s="7" t="n">
        <v>4181.35</v>
      </c>
      <c r="G116" s="8">
        <f>IF(AND(D116="",E116=""),F116,G115+IF(D116="",0,D116)-IF(E116="",0,E116))</f>
        <v/>
      </c>
    </row>
    <row r="117">
      <c r="A117" s="3" t="inlineStr">
        <is>
          <t>HSBC HKD Current Account</t>
        </is>
      </c>
      <c r="B117" s="4" t="n">
        <v>46000</v>
      </c>
      <c r="C117" s="3" t="inlineStr">
        <is>
          <t>LEAPBUD MANAGEMENT L HC125C0927733231 09DEC</t>
        </is>
      </c>
      <c r="D117" s="5" t="n">
        <v>4365.5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HSBC HKD Current Account</t>
        </is>
      </c>
      <c r="B118" s="4" t="n">
        <v>46000</v>
      </c>
      <c r="C118" s="3" t="inlineStr">
        <is>
          <t>LEAPSING COMPANY LIM HC125C0927737162 09DEC</t>
        </is>
      </c>
      <c r="D118" s="5" t="n">
        <v>3690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HSBC HKD Current Account</t>
        </is>
      </c>
      <c r="B119" s="4" t="n">
        <v>46000</v>
      </c>
      <c r="C119" s="3" t="inlineStr">
        <is>
          <t>LEAPHUA COMPANY LIMI HC125C0927740111 09DEC</t>
        </is>
      </c>
      <c r="D119" s="5" t="n">
        <v>3105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HSBC HKD Current Account</t>
        </is>
      </c>
      <c r="B120" s="4" t="n">
        <v>46000</v>
      </c>
      <c r="C120" s="3" t="inlineStr">
        <is>
          <t>LEAPCHUN COMPANY LIM HC125C0927743020 09DEC</t>
        </is>
      </c>
      <c r="D120" s="5" t="n">
        <v>3189.5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HSBC HKD Current Account</t>
        </is>
      </c>
      <c r="B121" s="4" t="n">
        <v>46000</v>
      </c>
      <c r="C121" s="3" t="inlineStr">
        <is>
          <t>LEAPBUD COMPANY LIMI HC125C0927745659 09DEC</t>
        </is>
      </c>
      <c r="D121" s="5" t="n">
        <v>1665</v>
      </c>
      <c r="E121" s="6" t="n"/>
      <c r="F121" s="7" t="n">
        <v>20196.35</v>
      </c>
      <c r="G121" s="8">
        <f>IF(AND(D121="",E121=""),F121,G120+IF(D121="",0,D121)-IF(E121="",0,E121))</f>
        <v/>
      </c>
    </row>
    <row r="122">
      <c r="A122" s="3" t="inlineStr">
        <is>
          <t>HSBC HKD Current Account</t>
        </is>
      </c>
      <c r="B122" s="4" t="n">
        <v>46002</v>
      </c>
      <c r="C122" s="3" t="inlineStr">
        <is>
          <t>MANULIFE PROVIDENT F 0412548001</t>
        </is>
      </c>
      <c r="D122" s="5" t="n"/>
      <c r="E122" s="6" t="n">
        <v>8140.75</v>
      </c>
      <c r="F122" s="7" t="n">
        <v>12055.6</v>
      </c>
      <c r="G122" s="8">
        <f>IF(AND(D122="",E122=""),F122,G121+IF(D122="",0,D122)-IF(E122="",0,E122))</f>
        <v/>
      </c>
    </row>
    <row r="123">
      <c r="A123" s="3" t="inlineStr">
        <is>
          <t>HSBC HKD Current Account</t>
        </is>
      </c>
      <c r="B123" s="4" t="n">
        <v>46006</v>
      </c>
      <c r="C123" s="3" t="inlineStr">
        <is>
          <t>MR LEUNG KIN SHUN HC125C1545872520 15DEC</t>
        </is>
      </c>
      <c r="D123" s="5" t="n">
        <v>1800</v>
      </c>
      <c r="E123" s="6" t="n"/>
      <c r="F123" s="7" t="n">
        <v>13855.6</v>
      </c>
      <c r="G123" s="8">
        <f>IF(AND(D123="",E123=""),F123,G122+IF(D123="",0,D123)-IF(E123="",0,E123))</f>
        <v/>
      </c>
    </row>
    <row r="124">
      <c r="A124" s="3" t="inlineStr">
        <is>
          <t>HSBC HKD Current Account</t>
        </is>
      </c>
      <c r="B124" s="4" t="n">
        <v>46013</v>
      </c>
      <c r="C124" s="3" t="inlineStr">
        <is>
          <t>PIONEER TECHNOLOGY L HC125C2265660741 22DEC</t>
        </is>
      </c>
      <c r="D124" s="5" t="n">
        <v>3600</v>
      </c>
      <c r="E124" s="6" t="n"/>
      <c r="F124" s="7" t="n">
        <v>17455.6</v>
      </c>
      <c r="G124" s="8">
        <f>IF(AND(D124="",E124=""),F124,G123+IF(D124="",0,D124)-IF(E124="",0,E124))</f>
        <v/>
      </c>
    </row>
    <row r="125">
      <c r="A125" s="3" t="inlineStr">
        <is>
          <t>HSBC HKD Current Account</t>
        </is>
      </c>
      <c r="B125" s="4" t="n">
        <v>46020</v>
      </c>
      <c r="C125" s="3" t="inlineStr">
        <is>
          <t>5592-4033-3377-2530 NC2942041380(29DEC25)</t>
        </is>
      </c>
      <c r="D125" s="5" t="n"/>
      <c r="E125" s="6" t="n">
        <v>224</v>
      </c>
      <c r="F125" s="7" t="n">
        <v>17231.6</v>
      </c>
      <c r="G125" s="8">
        <f>IF(AND(D125="",E125=""),F125,G124+IF(D125="",0,D125)-IF(E125="",0,E125))</f>
        <v/>
      </c>
    </row>
    <row r="126">
      <c r="A126" s="3" t="inlineStr">
        <is>
          <t>HSBC HKD Current Account</t>
        </is>
      </c>
      <c r="B126" s="4" t="n">
        <v>46027</v>
      </c>
      <c r="C126" s="3" t="inlineStr">
        <is>
          <t>CR TO 121-866131-838 N10571394062(05JAN26)</t>
        </is>
      </c>
      <c r="D126" s="5" t="n"/>
      <c r="E126" s="6" t="n">
        <v>17000</v>
      </c>
      <c r="F126" s="7" t="n">
        <v>231.6</v>
      </c>
      <c r="G126" s="8">
        <f>IF(AND(D126="",E126=""),F126,G125+IF(D126="",0,D126)-IF(E126="",0,E126))</f>
        <v/>
      </c>
    </row>
    <row r="127">
      <c r="A127" s="3" t="inlineStr">
        <is>
          <t>HSBC HKD Current Account</t>
        </is>
      </c>
      <c r="B127" s="4" t="n">
        <v>46031</v>
      </c>
      <c r="C127" s="3" t="inlineStr">
        <is>
          <t>LEAPSING COMPANY LIM HC12610923940352 09JAN</t>
        </is>
      </c>
      <c r="D127" s="5" t="n">
        <v>4860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HSBC HKD Current Account</t>
        </is>
      </c>
      <c r="B128" s="4" t="n">
        <v>46031</v>
      </c>
      <c r="C128" s="3" t="inlineStr">
        <is>
          <t>LEAPCHUN COMPANY LIM HC12610923947332 09JAN</t>
        </is>
      </c>
      <c r="D128" s="5" t="n">
        <v>3145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HSBC HKD Current Account</t>
        </is>
      </c>
      <c r="B129" s="4" t="n">
        <v>46031</v>
      </c>
      <c r="C129" s="3" t="inlineStr">
        <is>
          <t>LEAPBUD COMPANY LIMI HC12610924405135 09JAN</t>
        </is>
      </c>
      <c r="D129" s="5" t="n">
        <v>2655</v>
      </c>
      <c r="E129" s="6" t="n"/>
      <c r="F129" s="7" t="n">
        <v>10891.6</v>
      </c>
      <c r="G129" s="8">
        <f>IF(AND(D129="",E129=""),F129,G128+IF(D129="",0,D129)-IF(E129="",0,E129))</f>
        <v/>
      </c>
    </row>
    <row r="130">
      <c r="A130" s="3" t="inlineStr">
        <is>
          <t>HSBC HKD Current Account</t>
        </is>
      </c>
      <c r="B130" s="4" t="n">
        <v>46036</v>
      </c>
      <c r="C130" s="3" t="inlineStr">
        <is>
          <t>MANULIFE PROVIDENT F 0412548001</t>
        </is>
      </c>
      <c r="D130" s="5" t="n"/>
      <c r="E130" s="6" t="n">
        <v>8312.309999999999</v>
      </c>
      <c r="F130" s="7" t="n">
        <v>2579.29</v>
      </c>
      <c r="G130" s="8">
        <f>IF(AND(D130="",E130=""),F130,G129+IF(D130="",0,D130)-IF(E130="",0,E130))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45644</v>
      </c>
      <c r="C2" s="3" t="inlineStr">
        <is>
          <t>B/F BALANCE</t>
        </is>
      </c>
      <c r="D2" s="5" t="n"/>
      <c r="E2" s="6" t="n"/>
      <c r="F2" s="7" t="n">
        <v>182866.83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45647</v>
      </c>
      <c r="C3" s="3" t="inlineStr">
        <is>
          <t>MISS MAO SHI HUI HC124C2110586907 21DEC</t>
        </is>
      </c>
      <c r="D3" s="5" t="n">
        <v>300</v>
      </c>
      <c r="E3" s="6" t="n"/>
      <c r="F3" s="7" t="n">
        <v>183166.83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45649</v>
      </c>
      <c r="C4" s="3" t="inlineStr">
        <is>
          <t>CREDIBILITY M I M L W OFFICE (23DEC24)</t>
        </is>
      </c>
      <c r="D4" s="5" t="n">
        <v>7200</v>
      </c>
      <c r="E4" s="6" t="n"/>
      <c r="F4" s="7" t="n">
        <v>190366.83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45654</v>
      </c>
      <c r="C5" s="3" t="inlineStr">
        <is>
          <t>CREDIT INTEREST</t>
        </is>
      </c>
      <c r="D5" s="5" t="n">
        <v>57.04</v>
      </c>
      <c r="E5" s="6" t="n"/>
      <c r="F5" s="7" t="n">
        <v>190423.87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45660</v>
      </c>
      <c r="C6" s="3" t="inlineStr">
        <is>
          <t>SALARY</t>
        </is>
      </c>
      <c r="D6" s="5" t="n"/>
      <c r="E6" s="6" t="n">
        <v>20662.5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45660</v>
      </c>
      <c r="C7" s="3" t="inlineStr">
        <is>
          <t>SALARY</t>
        </is>
      </c>
      <c r="D7" s="5" t="n"/>
      <c r="E7" s="6" t="n">
        <v>50573</v>
      </c>
      <c r="F7" s="7" t="n">
        <v>119188.37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45663</v>
      </c>
      <c r="C8" s="3" t="inlineStr">
        <is>
          <t>APS CHARGES I02 SALARY</t>
        </is>
      </c>
      <c r="D8" s="5" t="n"/>
      <c r="E8" s="6" t="n">
        <v>1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45663</v>
      </c>
      <c r="C9" s="3" t="inlineStr">
        <is>
          <t>APS CHARGES I01 SALARY</t>
        </is>
      </c>
      <c r="D9" s="5" t="n"/>
      <c r="E9" s="6" t="n">
        <v>3.5</v>
      </c>
      <c r="F9" s="7" t="n">
        <v>119183.87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45664</v>
      </c>
      <c r="C10" s="3" t="inlineStr">
        <is>
          <t>CR TO 168-294437-001 RENT (07JAN25)</t>
        </is>
      </c>
      <c r="D10" s="5" t="n"/>
      <c r="E10" s="6" t="n">
        <v>5980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45664</v>
      </c>
      <c r="C11" s="3" t="inlineStr">
        <is>
          <t>CR TO 168-294437-001 DOOR CARD (07JAN25)</t>
        </is>
      </c>
      <c r="D11" s="5" t="n"/>
      <c r="E11" s="6" t="n">
        <v>50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45664</v>
      </c>
      <c r="C12" s="3" t="inlineStr">
        <is>
          <t>REF:58A9 0494 CHEQUE DEPOSIT MACHINE (07JAN25)</t>
        </is>
      </c>
      <c r="D12" s="5" t="n">
        <v>4000</v>
      </c>
      <c r="E12" s="6" t="n"/>
      <c r="F12" s="7" t="n">
        <v>117153.87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45670</v>
      </c>
      <c r="C13" s="3" t="inlineStr">
        <is>
          <t>REF:5896 0313 CHEQUE DEPOSIT MACHINE (13JAN25)</t>
        </is>
      </c>
      <c r="D13" s="5" t="n">
        <v>3600</v>
      </c>
      <c r="E13" s="6" t="n"/>
      <c r="F13" s="7" t="n">
        <v>120753.87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45671</v>
      </c>
      <c r="C14" s="3" t="inlineStr">
        <is>
          <t>LANGO INNOVATION L N11412315543(14JAN25)</t>
        </is>
      </c>
      <c r="D14" s="5" t="n">
        <v>8000</v>
      </c>
      <c r="E14" s="6" t="n"/>
      <c r="F14" s="7" t="n">
        <v>128753.87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45673</v>
      </c>
      <c r="C15" s="3" t="inlineStr">
        <is>
          <t>CHG FOR AUDIT CONF O N 31122024 (16JAN25)</t>
        </is>
      </c>
      <c r="D15" s="5" t="n"/>
      <c r="E15" s="6" t="n">
        <v>760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45673</v>
      </c>
      <c r="C16" s="3" t="inlineStr">
        <is>
          <t>REF:58A9 0520 CHEQUE DEPOSIT MACHINE (16JAN25)</t>
        </is>
      </c>
      <c r="D16" s="5" t="n">
        <v>14300</v>
      </c>
      <c r="E16" s="6" t="n"/>
      <c r="F16" s="7" t="n">
        <v>142293.87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45674</v>
      </c>
      <c r="C17" s="3" t="inlineStr">
        <is>
          <t>SALARY</t>
        </is>
      </c>
      <c r="D17" s="5" t="n"/>
      <c r="E17" s="6" t="n">
        <v>54100</v>
      </c>
      <c r="F17" s="7" t="n">
        <v>88193.87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45677</v>
      </c>
      <c r="C18" s="3" t="inlineStr">
        <is>
          <t>APS CHARGES I02 SALARY</t>
        </is>
      </c>
      <c r="D18" s="5" t="n"/>
      <c r="E18" s="6" t="n">
        <v>1</v>
      </c>
      <c r="F18" s="7" t="n">
        <v>88192.87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45684</v>
      </c>
      <c r="C19" s="3" t="inlineStr">
        <is>
          <t>CR TO 129-496493-001 RENT (27JAN25)</t>
        </is>
      </c>
      <c r="D19" s="5" t="n"/>
      <c r="E19" s="6" t="n">
        <v>5980</v>
      </c>
      <c r="F19" s="7" t="n"/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45684</v>
      </c>
      <c r="C20" s="3" t="inlineStr">
        <is>
          <t>CR TO 521-080598-838 LOAN (27JAN25)</t>
        </is>
      </c>
      <c r="D20" s="5" t="n"/>
      <c r="E20" s="6" t="n">
        <v>9975</v>
      </c>
      <c r="F20" s="7" t="n">
        <v>72237.87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45685</v>
      </c>
      <c r="C21" s="3" t="inlineStr">
        <is>
          <t>CREDIT INTEREST</t>
        </is>
      </c>
      <c r="D21" s="5" t="n">
        <v>26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45685</v>
      </c>
      <c r="C22" s="3" t="inlineStr">
        <is>
          <t>SALARY</t>
        </is>
      </c>
      <c r="D22" s="5" t="n"/>
      <c r="E22" s="6" t="n">
        <v>19013</v>
      </c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45685</v>
      </c>
      <c r="C23" s="3" t="inlineStr">
        <is>
          <t>SALARY</t>
        </is>
      </c>
      <c r="D23" s="5" t="n"/>
      <c r="E23" s="6" t="n">
        <v>21310</v>
      </c>
      <c r="F23" s="7" t="n">
        <v>31940.87</v>
      </c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45691</v>
      </c>
      <c r="C24" s="3" t="inlineStr">
        <is>
          <t>APS CHARGES I02 SALARY</t>
        </is>
      </c>
      <c r="D24" s="5" t="n"/>
      <c r="E24" s="6" t="n">
        <v>0.5</v>
      </c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45691</v>
      </c>
      <c r="C25" s="3" t="inlineStr">
        <is>
          <t>APS CHARGES I01 SALARY</t>
        </is>
      </c>
      <c r="D25" s="5" t="n"/>
      <c r="E25" s="6" t="n">
        <v>1.5</v>
      </c>
      <c r="F25" s="7" t="n"/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45691</v>
      </c>
      <c r="C26" s="3" t="inlineStr">
        <is>
          <t>LATE STUDIO LIMITED N20376908157(03FEB25)</t>
        </is>
      </c>
      <c r="D26" s="5" t="n">
        <v>3500</v>
      </c>
      <c r="E26" s="6" t="n"/>
      <c r="F26" s="7" t="n">
        <v>35438.87</v>
      </c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45692</v>
      </c>
      <c r="C27" s="3" t="inlineStr">
        <is>
          <t>SALARY</t>
        </is>
      </c>
      <c r="D27" s="5" t="n"/>
      <c r="E27" s="6" t="n">
        <v>1785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45692</v>
      </c>
      <c r="C28" s="3" t="inlineStr">
        <is>
          <t>SALARY</t>
        </is>
      </c>
      <c r="D28" s="5" t="n"/>
      <c r="E28" s="6" t="n">
        <v>4185</v>
      </c>
      <c r="F28" s="7" t="n">
        <v>29468.87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45693</v>
      </c>
      <c r="C29" s="3" t="inlineStr">
        <is>
          <t>APS CHARGES I02 SALARY</t>
        </is>
      </c>
      <c r="D29" s="5" t="n"/>
      <c r="E29" s="6" t="n">
        <v>0.5</v>
      </c>
      <c r="F29" s="7" t="n"/>
      <c r="G29" s="8">
        <f>IF(AND(D29="",E29=""),F29,G28+IF(D29="",0,D29)-IF(E29="",0,E29))</f>
        <v/>
      </c>
    </row>
    <row r="30">
      <c r="A30" s="3" t="inlineStr">
        <is>
          <t>HSBC HKD Savings Account</t>
        </is>
      </c>
      <c r="B30" s="4" t="n">
        <v>45693</v>
      </c>
      <c r="C30" s="3" t="inlineStr">
        <is>
          <t>APS CHARGES I01 SALARY</t>
        </is>
      </c>
      <c r="D30" s="5" t="n"/>
      <c r="E30" s="6" t="n">
        <v>2</v>
      </c>
      <c r="F30" s="7" t="n">
        <v>29466.37</v>
      </c>
      <c r="G30" s="8">
        <f>IF(AND(D30="",E30=""),F30,G29+IF(D30="",0,D30)-IF(E30="",0,E30))</f>
        <v/>
      </c>
    </row>
    <row r="31">
      <c r="A31" s="3" t="inlineStr">
        <is>
          <t>HSBC HKD Savings Account</t>
        </is>
      </c>
      <c r="B31" s="4" t="n">
        <v>45694</v>
      </c>
      <c r="C31" s="3" t="inlineStr">
        <is>
          <t>FG00121092 SFGS SING LE UPFRONT GUARANTEE FEE</t>
        </is>
      </c>
      <c r="D31" s="5" t="n"/>
      <c r="E31" s="6" t="n">
        <v>7624.49</v>
      </c>
      <c r="F31" s="7" t="n"/>
      <c r="G31" s="8">
        <f>IF(AND(D31="",E31=""),F31,G30+IF(D31="",0,D31)-IF(E31="",0,E31))</f>
        <v/>
      </c>
    </row>
    <row r="32">
      <c r="A32" s="3" t="inlineStr">
        <is>
          <t>HSBC HKD Savings Account</t>
        </is>
      </c>
      <c r="B32" s="4" t="n">
        <v>45694</v>
      </c>
      <c r="C32" s="3" t="inlineStr">
        <is>
          <t>LOAN DRAWDOWN FOR 52 1-304535-034</t>
        </is>
      </c>
      <c r="D32" s="5" t="n">
        <v>940000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HSBC HKD Savings Account</t>
        </is>
      </c>
      <c r="B33" s="4" t="n">
        <v>45694</v>
      </c>
      <c r="C33" s="3" t="inlineStr">
        <is>
          <t>HANDLING FEE FOR 521 -304535-034</t>
        </is>
      </c>
      <c r="D33" s="5" t="n"/>
      <c r="E33" s="6" t="n">
        <v>23500</v>
      </c>
      <c r="F33" s="7" t="n">
        <v>938341.88</v>
      </c>
      <c r="G33" s="8">
        <f>IF(AND(D33="",E33=""),F33,G32+IF(D33="",0,D33)-IF(E33="",0,E33))</f>
        <v/>
      </c>
    </row>
    <row r="34">
      <c r="A34" s="3" t="inlineStr">
        <is>
          <t>HSBC HKD Savings Account</t>
        </is>
      </c>
      <c r="B34" s="4" t="n">
        <v>45695</v>
      </c>
      <c r="C34" s="3" t="inlineStr">
        <is>
          <t>CO AMENDMENT FEE SERVICE CHARGE1</t>
        </is>
      </c>
      <c r="D34" s="5" t="n"/>
      <c r="E34" s="6" t="n">
        <v>250</v>
      </c>
      <c r="F34" s="7" t="n"/>
      <c r="G34" s="8">
        <f>IF(AND(D34="",E34=""),F34,G33+IF(D34="",0,D34)-IF(E34="",0,E34))</f>
        <v/>
      </c>
    </row>
    <row r="35">
      <c r="A35" s="3" t="inlineStr">
        <is>
          <t>HSBC HKD Savings Account</t>
        </is>
      </c>
      <c r="B35" s="4" t="n">
        <v>45695</v>
      </c>
      <c r="C35" s="3" t="inlineStr">
        <is>
          <t>REF:58AB 0286 CHEQUE DEPOSIT MACHINE (07FEB25)</t>
        </is>
      </c>
      <c r="D35" s="5" t="n">
        <v>4000</v>
      </c>
      <c r="E35" s="6" t="n"/>
      <c r="F35" s="7" t="n">
        <v>942091.88</v>
      </c>
      <c r="G35" s="8">
        <f>IF(AND(D35="",E35=""),F35,G34+IF(D35="",0,D35)-IF(E35="",0,E35))</f>
        <v/>
      </c>
    </row>
    <row r="36">
      <c r="A36" s="3" t="inlineStr">
        <is>
          <t>HSBC HKD Savings Account</t>
        </is>
      </c>
      <c r="B36" s="4" t="n">
        <v>45706</v>
      </c>
      <c r="C36" s="3" t="inlineStr">
        <is>
          <t>5592-4033-3377-2530 N21827395010(18FEB25)</t>
        </is>
      </c>
      <c r="D36" s="5" t="n"/>
      <c r="E36" s="6" t="n">
        <v>619.38</v>
      </c>
      <c r="F36" s="7" t="n"/>
      <c r="G36" s="8">
        <f>IF(AND(D36="",E36=""),F36,G35+IF(D36="",0,D36)-IF(E36="",0,E36))</f>
        <v/>
      </c>
    </row>
    <row r="37">
      <c r="A37" s="3" t="inlineStr">
        <is>
          <t>HSBC HKD Savings Account</t>
        </is>
      </c>
      <c r="B37" s="4" t="n">
        <v>45706</v>
      </c>
      <c r="C37" s="3" t="inlineStr">
        <is>
          <t>5592-4033-3377-2530 N21827398244(18FEB25)</t>
        </is>
      </c>
      <c r="D37" s="5" t="n"/>
      <c r="E37" s="6" t="n">
        <v>138.62</v>
      </c>
      <c r="F37" s="7" t="n"/>
      <c r="G37" s="8">
        <f>IF(AND(D37="",E37=""),F37,G36+IF(D37="",0,D37)-IF(E37="",0,E37))</f>
        <v/>
      </c>
    </row>
    <row r="38">
      <c r="A38" s="3" t="inlineStr">
        <is>
          <t>HSBC HKD Savings Account</t>
        </is>
      </c>
      <c r="B38" s="4" t="n">
        <v>45706</v>
      </c>
      <c r="C38" s="3" t="inlineStr">
        <is>
          <t>REF:5896 0217 CHEQUE DEPOSIT MACHINE (18FEB25)</t>
        </is>
      </c>
      <c r="D38" s="5" t="n">
        <v>3600</v>
      </c>
      <c r="E38" s="6" t="n"/>
      <c r="F38" s="7" t="n">
        <v>944933.88</v>
      </c>
      <c r="G38" s="8">
        <f>IF(AND(D38="",E38=""),F38,G37+IF(D38="",0,D38)-IF(E38="",0,E38))</f>
        <v/>
      </c>
    </row>
    <row r="39">
      <c r="A39" s="3" t="inlineStr">
        <is>
          <t>HSBC HKD Savings Account</t>
        </is>
      </c>
      <c r="B39" s="4" t="n">
        <v>45713</v>
      </c>
      <c r="C39" s="3" t="inlineStr">
        <is>
          <t>CR TO 521-080598-838 N22549937524(25FEB25)</t>
        </is>
      </c>
      <c r="D39" s="5" t="n"/>
      <c r="E39" s="6" t="n">
        <v>9975</v>
      </c>
      <c r="F39" s="7" t="n">
        <v>934958.88</v>
      </c>
      <c r="G39" s="8">
        <f>IF(AND(D39="",E39=""),F39,G38+IF(D39="",0,D39)-IF(E39="",0,E39))</f>
        <v/>
      </c>
    </row>
    <row r="40">
      <c r="A40" s="3" t="inlineStr">
        <is>
          <t>HSBC HKD Savings Account</t>
        </is>
      </c>
      <c r="B40" s="4" t="n">
        <v>45716</v>
      </c>
      <c r="C40" s="3" t="inlineStr">
        <is>
          <t>CREDIT INTEREST</t>
        </is>
      </c>
      <c r="D40" s="5" t="n">
        <v>143.89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HSBC HKD Savings Account</t>
        </is>
      </c>
      <c r="B41" s="4" t="n">
        <v>45716</v>
      </c>
      <c r="C41" s="3" t="inlineStr">
        <is>
          <t>REF:5865 0329 CHEQUE DEPOSIT MACHINE (28FEB25)</t>
        </is>
      </c>
      <c r="D41" s="5" t="n">
        <v>1200</v>
      </c>
      <c r="E41" s="6" t="n"/>
      <c r="F41" s="7" t="n">
        <v>936302.77</v>
      </c>
      <c r="G41" s="8">
        <f>IF(AND(D41="",E41=""),F41,G40+IF(D41="",0,D41)-IF(E41="",0,E41))</f>
        <v/>
      </c>
    </row>
    <row r="42">
      <c r="A42" s="3" t="inlineStr">
        <is>
          <t>HSBC HKD Savings Account</t>
        </is>
      </c>
      <c r="B42" s="4" t="n">
        <v>45721</v>
      </c>
      <c r="C42" s="3" t="inlineStr">
        <is>
          <t>CR TO 129-496493-001 5980 OR 300 (05MAR25)</t>
        </is>
      </c>
      <c r="D42" s="5" t="n"/>
      <c r="E42" s="6" t="n">
        <v>6280</v>
      </c>
      <c r="F42" s="7" t="n"/>
      <c r="G42" s="8">
        <f>IF(AND(D42="",E42=""),F42,G41+IF(D42="",0,D42)-IF(E42="",0,E42))</f>
        <v/>
      </c>
    </row>
    <row r="43">
      <c r="A43" s="3" t="inlineStr">
        <is>
          <t>HSBC HKD Savings Account</t>
        </is>
      </c>
      <c r="B43" s="4" t="n">
        <v>45721</v>
      </c>
      <c r="C43" s="3" t="inlineStr">
        <is>
          <t>SALARY</t>
        </is>
      </c>
      <c r="D43" s="5" t="n"/>
      <c r="E43" s="6" t="n">
        <v>18657.5</v>
      </c>
      <c r="F43" s="7" t="n"/>
      <c r="G43" s="8">
        <f>IF(AND(D43="",E43=""),F43,G42+IF(D43="",0,D43)-IF(E43="",0,E43))</f>
        <v/>
      </c>
    </row>
    <row r="44">
      <c r="A44" s="3" t="inlineStr">
        <is>
          <t>HSBC HKD Savings Account</t>
        </is>
      </c>
      <c r="B44" s="4" t="n">
        <v>45721</v>
      </c>
      <c r="C44" s="3" t="inlineStr">
        <is>
          <t>SALARY</t>
        </is>
      </c>
      <c r="D44" s="5" t="n"/>
      <c r="E44" s="6" t="n">
        <v>18885</v>
      </c>
      <c r="F44" s="7" t="n">
        <v>892480.27</v>
      </c>
      <c r="G44" s="8">
        <f>IF(AND(D44="",E44=""),F44,G43+IF(D44="",0,D44)-IF(E44="",0,E44))</f>
        <v/>
      </c>
    </row>
    <row r="45">
      <c r="A45" s="3" t="inlineStr">
        <is>
          <t>HSBC HKD Savings Account</t>
        </is>
      </c>
      <c r="B45" s="4" t="n">
        <v>45722</v>
      </c>
      <c r="C45" s="3" t="inlineStr">
        <is>
          <t>APS CHARGES I02 SALARY</t>
        </is>
      </c>
      <c r="D45" s="5" t="n"/>
      <c r="E45" s="6" t="n">
        <v>1</v>
      </c>
      <c r="F45" s="7" t="n"/>
      <c r="G45" s="8">
        <f>IF(AND(D45="",E45=""),F45,G44+IF(D45="",0,D45)-IF(E45="",0,E45))</f>
        <v/>
      </c>
    </row>
    <row r="46">
      <c r="A46" s="3" t="inlineStr">
        <is>
          <t>HSBC HKD Savings Account</t>
        </is>
      </c>
      <c r="B46" s="4" t="n">
        <v>45722</v>
      </c>
      <c r="C46" s="3" t="inlineStr">
        <is>
          <t>APS CHARGES I01 SALARY</t>
        </is>
      </c>
      <c r="D46" s="5" t="n"/>
      <c r="E46" s="6" t="n">
        <v>3.5</v>
      </c>
      <c r="F46" s="7" t="n"/>
      <c r="G46" s="8">
        <f>IF(AND(D46="",E46=""),F46,G45+IF(D46="",0,D46)-IF(E46="",0,E46))</f>
        <v/>
      </c>
    </row>
    <row r="47">
      <c r="A47" s="3" t="inlineStr">
        <is>
          <t>HSBC HKD Savings Account</t>
        </is>
      </c>
      <c r="B47" s="4" t="n">
        <v>45722</v>
      </c>
      <c r="C47" s="3" t="inlineStr">
        <is>
          <t>004521304535034 LOAN INTEREST</t>
        </is>
      </c>
      <c r="D47" s="5" t="n"/>
      <c r="E47" s="6" t="n">
        <v>2350</v>
      </c>
      <c r="F47" s="7" t="n"/>
      <c r="G47" s="8">
        <f>IF(AND(D47="",E47=""),F47,G46+IF(D47="",0,D47)-IF(E47="",0,E47))</f>
        <v/>
      </c>
    </row>
    <row r="48">
      <c r="A48" s="3" t="inlineStr">
        <is>
          <t>HSBC HKD Savings Account</t>
        </is>
      </c>
      <c r="B48" s="4" t="n">
        <v>45722</v>
      </c>
      <c r="C48" s="3" t="inlineStr">
        <is>
          <t>SALARY</t>
        </is>
      </c>
      <c r="D48" s="5" t="n"/>
      <c r="E48" s="6" t="n">
        <v>38619</v>
      </c>
      <c r="F48" s="7" t="n"/>
      <c r="G48" s="8">
        <f>IF(AND(D48="",E48=""),F48,G47+IF(D48="",0,D48)-IF(E48="",0,E48))</f>
        <v/>
      </c>
    </row>
    <row r="49">
      <c r="A49" s="3" t="inlineStr">
        <is>
          <t>HSBC HKD Savings Account</t>
        </is>
      </c>
      <c r="B49" s="4" t="n">
        <v>45722</v>
      </c>
      <c r="C49" s="3" t="inlineStr">
        <is>
          <t>LAM Y*** M** J**** HC12530619728947 06MAR</t>
        </is>
      </c>
      <c r="D49" s="5" t="n"/>
      <c r="E49" s="6" t="n">
        <v>1563.8</v>
      </c>
      <c r="F49" s="7" t="n">
        <v>849942.97</v>
      </c>
      <c r="G49" s="8">
        <f>IF(AND(D49="",E49=""),F49,G48+IF(D49="",0,D49)-IF(E49="",0,E49))</f>
        <v/>
      </c>
    </row>
    <row r="50">
      <c r="A50" s="3" t="inlineStr">
        <is>
          <t>HSBC HKD Savings Account</t>
        </is>
      </c>
      <c r="B50" s="4" t="n">
        <v>45723</v>
      </c>
      <c r="C50" s="3" t="inlineStr">
        <is>
          <t>APS CHARGES I02 SALARY</t>
        </is>
      </c>
      <c r="D50" s="5" t="n"/>
      <c r="E50" s="6" t="n">
        <v>0.5</v>
      </c>
      <c r="F50" s="7" t="n"/>
      <c r="G50" s="8">
        <f>IF(AND(D50="",E50=""),F50,G49+IF(D50="",0,D50)-IF(E50="",0,E50))</f>
        <v/>
      </c>
    </row>
    <row r="51">
      <c r="A51" s="3" t="inlineStr">
        <is>
          <t>HSBC HKD Savings Account</t>
        </is>
      </c>
      <c r="B51" s="4" t="n">
        <v>45723</v>
      </c>
      <c r="C51" s="3" t="inlineStr">
        <is>
          <t>REF:58A9 0386 CHEQUE DEPOSIT MACHINE (07MAR25)</t>
        </is>
      </c>
      <c r="D51" s="5" t="n">
        <v>4000</v>
      </c>
      <c r="E51" s="6" t="n"/>
      <c r="F51" s="7" t="n">
        <v>853942.47</v>
      </c>
      <c r="G51" s="8">
        <f>IF(AND(D51="",E51=""),F51,G50+IF(D51="",0,D51)-IF(E51="",0,E51))</f>
        <v/>
      </c>
    </row>
    <row r="52">
      <c r="A52" s="3" t="inlineStr">
        <is>
          <t>HSBC HKD Savings Account</t>
        </is>
      </c>
      <c r="B52" s="4" t="n">
        <v>45727</v>
      </c>
      <c r="C52" s="3" t="inlineStr">
        <is>
          <t>CR TO 521-080598-838 N31101634406(11MAR25)</t>
        </is>
      </c>
      <c r="D52" s="5" t="n"/>
      <c r="E52" s="6" t="n">
        <v>300000</v>
      </c>
      <c r="F52" s="7" t="n">
        <v>553942.47</v>
      </c>
      <c r="G52" s="8">
        <f>IF(AND(D52="",E52=""),F52,G51+IF(D52="",0,D52)-IF(E52="",0,E52))</f>
        <v/>
      </c>
    </row>
    <row r="53">
      <c r="A53" s="3" t="inlineStr">
        <is>
          <t>HSBC HKD Savings Account</t>
        </is>
      </c>
      <c r="B53" s="4" t="n">
        <v>45730</v>
      </c>
      <c r="C53" s="3" t="inlineStr">
        <is>
          <t>REF:5891 0093 CHEQUE DEPOSIT MACHINE (14MAR25)</t>
        </is>
      </c>
      <c r="D53" s="5" t="n">
        <v>10800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HSBC HKD Savings Account</t>
        </is>
      </c>
      <c r="B54" s="4" t="n">
        <v>45730</v>
      </c>
      <c r="C54" s="3" t="inlineStr">
        <is>
          <t>CR TO 521-080598-838 N31411791278(14MAR25)</t>
        </is>
      </c>
      <c r="D54" s="5" t="n"/>
      <c r="E54" s="6" t="n">
        <v>141270</v>
      </c>
      <c r="F54" s="7" t="n">
        <v>423472.47</v>
      </c>
      <c r="G54" s="8">
        <f>IF(AND(D54="",E54=""),F54,G53+IF(D54="",0,D54)-IF(E54="",0,E54))</f>
        <v/>
      </c>
    </row>
    <row r="55">
      <c r="A55" s="3" t="inlineStr">
        <is>
          <t>HSBC HKD Savings Account</t>
        </is>
      </c>
      <c r="B55" s="4" t="n">
        <v>45744</v>
      </c>
      <c r="C55" s="3" t="inlineStr">
        <is>
          <t>CREDIT INTEREST</t>
        </is>
      </c>
      <c r="D55" s="5" t="n">
        <v>119.4</v>
      </c>
      <c r="E55" s="6" t="n"/>
      <c r="F55" s="7" t="n">
        <v>423591.87</v>
      </c>
      <c r="G55" s="8">
        <f>IF(AND(D55="",E55=""),F55,G54+IF(D55="",0,D55)-IF(E55="",0,E55))</f>
        <v/>
      </c>
    </row>
    <row r="56">
      <c r="A56" s="3" t="inlineStr">
        <is>
          <t>HSBC HKD Savings Account</t>
        </is>
      </c>
      <c r="B56" s="4" t="n">
        <v>45747</v>
      </c>
      <c r="C56" s="3" t="inlineStr">
        <is>
          <t>CHARGES HC12533186626414 31MAR</t>
        </is>
      </c>
      <c r="D56" s="5" t="n"/>
      <c r="E56" s="6" t="n">
        <v>5</v>
      </c>
      <c r="F56" s="7" t="n"/>
      <c r="G56" s="8">
        <f>IF(AND(D56="",E56=""),F56,G55+IF(D56="",0,D56)-IF(E56="",0,E56))</f>
        <v/>
      </c>
    </row>
    <row r="57">
      <c r="A57" s="3" t="inlineStr">
        <is>
          <t>HSBC HKD Savings Account</t>
        </is>
      </c>
      <c r="B57" s="4" t="n">
        <v>45747</v>
      </c>
      <c r="C57" s="3" t="inlineStr">
        <is>
          <t>WONG Y* T*** HC12533186626414 31MAR</t>
        </is>
      </c>
      <c r="D57" s="5" t="n"/>
      <c r="E57" s="6" t="n">
        <v>4300</v>
      </c>
      <c r="F57" s="7" t="n">
        <v>419286.87</v>
      </c>
      <c r="G57" s="8">
        <f>IF(AND(D57="",E57=""),F57,G56+IF(D57="",0,D57)-IF(E57="",0,E57))</f>
        <v/>
      </c>
    </row>
    <row r="58">
      <c r="A58" s="3" t="inlineStr">
        <is>
          <t>HSBC HKD Savings Account</t>
        </is>
      </c>
      <c r="B58" s="4" t="n">
        <v>45750</v>
      </c>
      <c r="C58" s="3" t="inlineStr">
        <is>
          <t>CR TO 129-496493-001 N40379153534(03APR25)</t>
        </is>
      </c>
      <c r="D58" s="5" t="n"/>
      <c r="E58" s="6" t="n">
        <v>5980</v>
      </c>
      <c r="F58" s="7" t="n"/>
      <c r="G58" s="8">
        <f>IF(AND(D58="",E58=""),F58,G57+IF(D58="",0,D58)-IF(E58="",0,E58))</f>
        <v/>
      </c>
    </row>
    <row r="59">
      <c r="A59" s="3" t="inlineStr">
        <is>
          <t>HSBC HKD Savings Account</t>
        </is>
      </c>
      <c r="B59" s="4" t="n">
        <v>45750</v>
      </c>
      <c r="C59" s="3" t="inlineStr">
        <is>
          <t>SALARY</t>
        </is>
      </c>
      <c r="D59" s="5" t="n"/>
      <c r="E59" s="6" t="n">
        <v>43500</v>
      </c>
      <c r="F59" s="7" t="n"/>
      <c r="G59" s="8">
        <f>IF(AND(D59="",E59=""),F59,G58+IF(D59="",0,D59)-IF(E59="",0,E59))</f>
        <v/>
      </c>
    </row>
    <row r="60">
      <c r="A60" s="3" t="inlineStr">
        <is>
          <t>HSBC HKD Savings Account</t>
        </is>
      </c>
      <c r="B60" s="4" t="n">
        <v>45750</v>
      </c>
      <c r="C60" s="3" t="inlineStr">
        <is>
          <t>SALARY</t>
        </is>
      </c>
      <c r="D60" s="5" t="n"/>
      <c r="E60" s="6" t="n">
        <v>53365</v>
      </c>
      <c r="F60" s="7" t="n">
        <v>316441.87</v>
      </c>
      <c r="G60" s="8">
        <f>IF(AND(D60="",E60=""),F60,G59+IF(D60="",0,D60)-IF(E60="",0,E60))</f>
        <v/>
      </c>
    </row>
    <row r="61">
      <c r="A61" s="3" t="inlineStr">
        <is>
          <t>HSBC HKD Savings Account</t>
        </is>
      </c>
      <c r="B61" s="4" t="n">
        <v>45754</v>
      </c>
      <c r="C61" s="3" t="inlineStr">
        <is>
          <t>APS CHARGES I02 SALARY</t>
        </is>
      </c>
      <c r="D61" s="5" t="n"/>
      <c r="E61" s="6" t="n">
        <v>1</v>
      </c>
      <c r="F61" s="7" t="n"/>
      <c r="G61" s="8">
        <f>IF(AND(D61="",E61=""),F61,G60+IF(D61="",0,D61)-IF(E61="",0,E61))</f>
        <v/>
      </c>
    </row>
    <row r="62">
      <c r="A62" s="3" t="inlineStr">
        <is>
          <t>HSBC HKD Savings Account</t>
        </is>
      </c>
      <c r="B62" s="4" t="n">
        <v>45754</v>
      </c>
      <c r="C62" s="3" t="inlineStr">
        <is>
          <t>APS CHARGES I01 SALARY</t>
        </is>
      </c>
      <c r="D62" s="5" t="n"/>
      <c r="E62" s="6" t="n">
        <v>5.5</v>
      </c>
      <c r="F62" s="7" t="n"/>
      <c r="G62" s="8">
        <f>IF(AND(D62="",E62=""),F62,G61+IF(D62="",0,D62)-IF(E62="",0,E62))</f>
        <v/>
      </c>
    </row>
    <row r="63">
      <c r="A63" s="3" t="inlineStr">
        <is>
          <t>HSBC HKD Savings Account</t>
        </is>
      </c>
      <c r="B63" s="4" t="n">
        <v>45754</v>
      </c>
      <c r="C63" s="3" t="inlineStr">
        <is>
          <t>004521304535034 LOAN INTEREST</t>
        </is>
      </c>
      <c r="D63" s="5" t="n"/>
      <c r="E63" s="6" t="n">
        <v>2350</v>
      </c>
      <c r="F63" s="7" t="n">
        <v>314085.37</v>
      </c>
      <c r="G63" s="8">
        <f>IF(AND(D63="",E63=""),F63,G62+IF(D63="",0,D63)-IF(E63="",0,E63))</f>
        <v/>
      </c>
    </row>
    <row r="64">
      <c r="A64" s="3" t="inlineStr">
        <is>
          <t>HSBC HKD Savings Account</t>
        </is>
      </c>
      <c r="B64" s="4" t="n">
        <v>45755</v>
      </c>
      <c r="C64" s="3" t="inlineStr">
        <is>
          <t>SALARY</t>
        </is>
      </c>
      <c r="D64" s="5" t="n"/>
      <c r="E64" s="6" t="n">
        <v>297.5</v>
      </c>
      <c r="F64" s="7" t="n">
        <v>313787.87</v>
      </c>
      <c r="G64" s="8">
        <f>IF(AND(D64="",E64=""),F64,G63+IF(D64="",0,D64)-IF(E64="",0,E64))</f>
        <v/>
      </c>
    </row>
    <row r="65">
      <c r="A65" s="3" t="inlineStr">
        <is>
          <t>HSBC HKD Savings Account</t>
        </is>
      </c>
      <c r="B65" s="4" t="n">
        <v>45756</v>
      </c>
      <c r="C65" s="3" t="inlineStr">
        <is>
          <t>APS CHARGES I01 SALARY</t>
        </is>
      </c>
      <c r="D65" s="5" t="n"/>
      <c r="E65" s="6" t="n">
        <v>2.5</v>
      </c>
      <c r="F65" s="7" t="n">
        <v>313785.37</v>
      </c>
      <c r="G65" s="8">
        <f>IF(AND(D65="",E65=""),F65,G64+IF(D65="",0,D65)-IF(E65="",0,E65))</f>
        <v/>
      </c>
    </row>
    <row r="66">
      <c r="A66" s="3" t="inlineStr">
        <is>
          <t>HSBC HKD Savings Account</t>
        </is>
      </c>
      <c r="B66" s="4" t="n">
        <v>45761</v>
      </c>
      <c r="C66" s="3" t="inlineStr">
        <is>
          <t>REF:58A9 0523 CHEQUE DEPOSIT MACHINE (14APR25)</t>
        </is>
      </c>
      <c r="D66" s="5" t="n">
        <v>14900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HSBC HKD Savings Account</t>
        </is>
      </c>
      <c r="B67" s="4" t="n">
        <v>45761</v>
      </c>
      <c r="C67" s="3" t="inlineStr">
        <is>
          <t>REF:58A9 0524 CHEQUE DEPOSIT MACHINE (14APR25)</t>
        </is>
      </c>
      <c r="D67" s="5" t="n">
        <v>14845</v>
      </c>
      <c r="E67" s="6" t="n"/>
      <c r="F67" s="7" t="n">
        <v>343530.37</v>
      </c>
      <c r="G67" s="8">
        <f>IF(AND(D67="",E67=""),F67,G66+IF(D67="",0,D67)-IF(E67="",0,E67))</f>
        <v/>
      </c>
    </row>
    <row r="68">
      <c r="A68" s="3" t="inlineStr">
        <is>
          <t>HSBC HKD Savings Account</t>
        </is>
      </c>
      <c r="B68" s="4" t="n">
        <v>45762</v>
      </c>
      <c r="C68" s="3" t="inlineStr">
        <is>
          <t>REF:58AB 0238 CHEQUE DEPOSIT MACHINE (15APR25)</t>
        </is>
      </c>
      <c r="D68" s="5" t="n">
        <v>4000</v>
      </c>
      <c r="E68" s="6" t="n"/>
      <c r="F68" s="7" t="n">
        <v>347530.37</v>
      </c>
      <c r="G68" s="8">
        <f>IF(AND(D68="",E68=""),F68,G67+IF(D68="",0,D68)-IF(E68="",0,E68))</f>
        <v/>
      </c>
    </row>
    <row r="69">
      <c r="A69" s="3" t="inlineStr">
        <is>
          <t>HSBC HKD Savings Account</t>
        </is>
      </c>
      <c r="B69" s="4" t="n">
        <v>45769</v>
      </c>
      <c r="C69" s="3" t="inlineStr">
        <is>
          <t>5592-4033-3377-2530 N41931229325(19APR25)</t>
        </is>
      </c>
      <c r="D69" s="5" t="n"/>
      <c r="E69" s="6" t="n">
        <v>542.87</v>
      </c>
      <c r="F69" s="7" t="n"/>
      <c r="G69" s="8">
        <f>IF(AND(D69="",E69=""),F69,G68+IF(D69="",0,D69)-IF(E69="",0,E69))</f>
        <v/>
      </c>
    </row>
    <row r="70">
      <c r="A70" s="3" t="inlineStr">
        <is>
          <t>HSBC HKD Savings Account</t>
        </is>
      </c>
      <c r="B70" s="4" t="n">
        <v>45769</v>
      </c>
      <c r="C70" s="3" t="inlineStr">
        <is>
          <t>LAM Y*** M** J**** HC12542246260175 22APR</t>
        </is>
      </c>
      <c r="D70" s="5" t="n"/>
      <c r="E70" s="6" t="n">
        <v>330.6</v>
      </c>
      <c r="F70" s="7" t="n">
        <v>346656.9</v>
      </c>
      <c r="G70" s="8">
        <f>IF(AND(D70="",E70=""),F70,G69+IF(D70="",0,D70)-IF(E70="",0,E70))</f>
        <v/>
      </c>
    </row>
    <row r="71">
      <c r="A71" s="3" t="inlineStr">
        <is>
          <t>HSBC HKD Savings Account</t>
        </is>
      </c>
      <c r="B71" s="4" t="n">
        <v>45775</v>
      </c>
      <c r="C71" s="3" t="inlineStr">
        <is>
          <t>CREDIT INTEREST</t>
        </is>
      </c>
      <c r="D71" s="5" t="n">
        <v>74.5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HSBC HKD Savings Account</t>
        </is>
      </c>
      <c r="B72" s="4" t="n">
        <v>45775</v>
      </c>
      <c r="C72" s="3" t="inlineStr">
        <is>
          <t>INLAND REVENUE DEPAR HC12542862690924 28APR</t>
        </is>
      </c>
      <c r="D72" s="5" t="n"/>
      <c r="E72" s="6" t="n">
        <v>27</v>
      </c>
      <c r="F72" s="7" t="n">
        <v>346704.4</v>
      </c>
      <c r="G72" s="8">
        <f>IF(AND(D72="",E72=""),F72,G71+IF(D72="",0,D72)-IF(E72="",0,E72))</f>
        <v/>
      </c>
    </row>
    <row r="73">
      <c r="A73" s="3" t="inlineStr">
        <is>
          <t>HSBC HKD Savings Account</t>
        </is>
      </c>
      <c r="B73" s="4" t="n">
        <v>45777</v>
      </c>
      <c r="C73" s="3" t="inlineStr">
        <is>
          <t>TECHNET (HONG KONG) HC12543069885350 30APR</t>
        </is>
      </c>
      <c r="D73" s="5" t="n">
        <v>2200</v>
      </c>
      <c r="E73" s="6" t="n"/>
      <c r="F73" s="7" t="n">
        <v>348904.4</v>
      </c>
      <c r="G73" s="8">
        <f>IF(AND(D73="",E73=""),F73,G72+IF(D73="",0,D73)-IF(E73="",0,E73))</f>
        <v/>
      </c>
    </row>
    <row r="74">
      <c r="A74" s="3" t="inlineStr">
        <is>
          <t>HSBC HKD Savings Account</t>
        </is>
      </c>
      <c r="B74" s="4" t="n">
        <v>45783</v>
      </c>
      <c r="C74" s="3" t="inlineStr">
        <is>
          <t>004521304535034 LOAN INTEREST</t>
        </is>
      </c>
      <c r="D74" s="5" t="n"/>
      <c r="E74" s="6" t="n">
        <v>2350</v>
      </c>
      <c r="F74" s="7" t="n"/>
      <c r="G74" s="8">
        <f>IF(AND(D74="",E74=""),F74,G73+IF(D74="",0,D74)-IF(E74="",0,E74))</f>
        <v/>
      </c>
    </row>
    <row r="75">
      <c r="A75" s="3" t="inlineStr">
        <is>
          <t>HSBC HKD Savings Account</t>
        </is>
      </c>
      <c r="B75" s="4" t="n">
        <v>45783</v>
      </c>
      <c r="C75" s="3" t="inlineStr">
        <is>
          <t>REF:58EE 0406 CHEQUE DEPOSIT MACHINE (06MAY25)</t>
        </is>
      </c>
      <c r="D75" s="5" t="n">
        <v>3600</v>
      </c>
      <c r="E75" s="6" t="n"/>
      <c r="F75" s="7" t="n">
        <v>350154.4</v>
      </c>
      <c r="G75" s="8">
        <f>IF(AND(D75="",E75=""),F75,G74+IF(D75="",0,D75)-IF(E75="",0,E75))</f>
        <v/>
      </c>
    </row>
    <row r="76">
      <c r="A76" s="3" t="inlineStr">
        <is>
          <t>HSBC HKD Savings Account</t>
        </is>
      </c>
      <c r="B76" s="4" t="n">
        <v>45784</v>
      </c>
      <c r="C76" s="3" t="inlineStr">
        <is>
          <t>SALARY</t>
        </is>
      </c>
      <c r="D76" s="5" t="n"/>
      <c r="E76" s="6" t="n">
        <v>52190</v>
      </c>
      <c r="F76" s="7" t="n"/>
      <c r="G76" s="8">
        <f>IF(AND(D76="",E76=""),F76,G75+IF(D76="",0,D76)-IF(E76="",0,E76))</f>
        <v/>
      </c>
    </row>
    <row r="77">
      <c r="A77" s="3" t="inlineStr">
        <is>
          <t>HSBC HKD Savings Account</t>
        </is>
      </c>
      <c r="B77" s="4" t="n">
        <v>45784</v>
      </c>
      <c r="C77" s="3" t="inlineStr">
        <is>
          <t>SALARY</t>
        </is>
      </c>
      <c r="D77" s="5" t="n"/>
      <c r="E77" s="6" t="n">
        <v>40352.5</v>
      </c>
      <c r="F77" s="7" t="n"/>
      <c r="G77" s="8">
        <f>IF(AND(D77="",E77=""),F77,G76+IF(D77="",0,D77)-IF(E77="",0,E77))</f>
        <v/>
      </c>
    </row>
    <row r="78">
      <c r="A78" s="3" t="inlineStr">
        <is>
          <t>HSBC HKD Savings Account</t>
        </is>
      </c>
      <c r="B78" s="4" t="n">
        <v>45784</v>
      </c>
      <c r="C78" s="3" t="inlineStr">
        <is>
          <t>LAM Y*** M** J**** HC12550791787692 07MAY</t>
        </is>
      </c>
      <c r="D78" s="5" t="n"/>
      <c r="E78" s="6" t="n">
        <v>2298.1</v>
      </c>
      <c r="F78" s="7" t="n">
        <v>255313.8</v>
      </c>
      <c r="G78" s="8">
        <f>IF(AND(D78="",E78=""),F78,G77+IF(D78="",0,D78)-IF(E78="",0,E78))</f>
        <v/>
      </c>
    </row>
    <row r="79">
      <c r="A79" s="3" t="inlineStr">
        <is>
          <t>HSBC HKD Savings Account</t>
        </is>
      </c>
      <c r="B79" s="4" t="n">
        <v>45785</v>
      </c>
      <c r="C79" s="3" t="inlineStr">
        <is>
          <t>APS CHARGES I02 SALARY</t>
        </is>
      </c>
      <c r="D79" s="5" t="n"/>
      <c r="E79" s="6" t="n">
        <v>1</v>
      </c>
      <c r="F79" s="7" t="n"/>
      <c r="G79" s="8">
        <f>IF(AND(D79="",E79=""),F79,G78+IF(D79="",0,D79)-IF(E79="",0,E79))</f>
        <v/>
      </c>
    </row>
    <row r="80">
      <c r="A80" s="3" t="inlineStr">
        <is>
          <t>HSBC HKD Savings Account</t>
        </is>
      </c>
      <c r="B80" s="4" t="n">
        <v>45785</v>
      </c>
      <c r="C80" s="3" t="inlineStr">
        <is>
          <t>APS CHARGES I01 SALARY</t>
        </is>
      </c>
      <c r="D80" s="5" t="n"/>
      <c r="E80" s="6" t="n">
        <v>5.5</v>
      </c>
      <c r="F80" s="7" t="n">
        <v>255307.3</v>
      </c>
      <c r="G80" s="8">
        <f>IF(AND(D80="",E80=""),F80,G79+IF(D80="",0,D80)-IF(E80="",0,E80))</f>
        <v/>
      </c>
    </row>
    <row r="81">
      <c r="A81" s="3" t="inlineStr">
        <is>
          <t>HSBC HKD Savings Account</t>
        </is>
      </c>
      <c r="B81" s="4" t="n">
        <v>45786</v>
      </c>
      <c r="C81" s="3" t="inlineStr">
        <is>
          <t>SALARY</t>
        </is>
      </c>
      <c r="D81" s="5" t="n"/>
      <c r="E81" s="6" t="n">
        <v>716</v>
      </c>
      <c r="F81" s="7" t="n">
        <v>254591.3</v>
      </c>
      <c r="G81" s="8">
        <f>IF(AND(D81="",E81=""),F81,G80+IF(D81="",0,D81)-IF(E81="",0,E81))</f>
        <v/>
      </c>
    </row>
    <row r="82">
      <c r="A82" s="3" t="inlineStr">
        <is>
          <t>HSBC HKD Savings Account</t>
        </is>
      </c>
      <c r="B82" s="4" t="n">
        <v>45789</v>
      </c>
      <c r="C82" s="3" t="inlineStr">
        <is>
          <t>APS CHARGES I01 SALARY</t>
        </is>
      </c>
      <c r="D82" s="5" t="n"/>
      <c r="E82" s="6" t="n">
        <v>1</v>
      </c>
      <c r="F82" s="7" t="n"/>
      <c r="G82" s="8">
        <f>IF(AND(D82="",E82=""),F82,G81+IF(D82="",0,D82)-IF(E82="",0,E82))</f>
        <v/>
      </c>
    </row>
    <row r="83">
      <c r="A83" s="3" t="inlineStr">
        <is>
          <t>HSBC HKD Savings Account</t>
        </is>
      </c>
      <c r="B83" s="4" t="n">
        <v>45789</v>
      </c>
      <c r="C83" s="3" t="inlineStr">
        <is>
          <t>I01 09-05-2025 SALARY</t>
        </is>
      </c>
      <c r="D83" s="5" t="n">
        <v>716</v>
      </c>
      <c r="E83" s="6" t="n"/>
      <c r="F83" s="7" t="n">
        <v>255306.3</v>
      </c>
      <c r="G83" s="8">
        <f>IF(AND(D83="",E83=""),F83,G82+IF(D83="",0,D83)-IF(E83="",0,E83))</f>
        <v/>
      </c>
    </row>
    <row r="84">
      <c r="A84" s="3" t="inlineStr">
        <is>
          <t>HSBC HKD Savings Account</t>
        </is>
      </c>
      <c r="B84" s="4" t="n">
        <v>45796</v>
      </c>
      <c r="C84" s="3" t="inlineStr">
        <is>
          <t>REF:5896 0324 CHEQUE DEPOSIT MACHINE (19MAY25)</t>
        </is>
      </c>
      <c r="D84" s="5" t="n">
        <v>3600</v>
      </c>
      <c r="E84" s="6" t="n"/>
      <c r="F84" s="7" t="n">
        <v>258906.3</v>
      </c>
      <c r="G84" s="8">
        <f>IF(AND(D84="",E84=""),F84,G83+IF(D84="",0,D84)-IF(E84="",0,E84))</f>
        <v/>
      </c>
    </row>
    <row r="85">
      <c r="A85" s="3" t="inlineStr">
        <is>
          <t>HSBC HKD Savings Account</t>
        </is>
      </c>
      <c r="B85" s="4" t="n">
        <v>45797</v>
      </c>
      <c r="C85" s="3" t="inlineStr">
        <is>
          <t>REF:589C 0009 CHEQUE DEPOSIT MACHINE (20MAY25)</t>
        </is>
      </c>
      <c r="D85" s="5" t="n">
        <v>7385</v>
      </c>
      <c r="E85" s="6" t="n"/>
      <c r="F85" s="7" t="n">
        <v>266291.3</v>
      </c>
      <c r="G85" s="8">
        <f>IF(AND(D85="",E85=""),F85,G84+IF(D85="",0,D85)-IF(E85="",0,E85))</f>
        <v/>
      </c>
    </row>
    <row r="86">
      <c r="A86" s="3" t="inlineStr">
        <is>
          <t>HSBC HKD Savings Account</t>
        </is>
      </c>
      <c r="B86" s="4" t="n">
        <v>45805</v>
      </c>
      <c r="C86" s="3" t="inlineStr">
        <is>
          <t>CREDIT INTEREST</t>
        </is>
      </c>
      <c r="D86" s="5" t="n">
        <v>59.07</v>
      </c>
      <c r="E86" s="6" t="n"/>
      <c r="F86" s="7" t="n">
        <v>266350.37</v>
      </c>
      <c r="G86" s="8">
        <f>IF(AND(D86="",E86=""),F86,G85+IF(D86="",0,D86)-IF(E86="",0,E86))</f>
        <v/>
      </c>
    </row>
    <row r="87">
      <c r="A87" s="3" t="inlineStr">
        <is>
          <t>HSBC HKD Savings Account</t>
        </is>
      </c>
      <c r="B87" s="4" t="n">
        <v>45812</v>
      </c>
      <c r="C87" s="3" t="inlineStr">
        <is>
          <t>SALARY SALARY</t>
        </is>
      </c>
      <c r="D87" s="5" t="n"/>
      <c r="E87" s="6" t="n">
        <v>49741.25</v>
      </c>
      <c r="F87" s="7" t="n">
        <v>216609.12</v>
      </c>
      <c r="G87" s="8">
        <f>IF(AND(D87="",E87=""),F87,G86+IF(D87="",0,D87)-IF(E87="",0,E87))</f>
        <v/>
      </c>
    </row>
    <row r="88">
      <c r="A88" s="3" t="inlineStr">
        <is>
          <t>HSBC HKD Savings Account</t>
        </is>
      </c>
      <c r="B88" s="4" t="n">
        <v>45813</v>
      </c>
      <c r="C88" s="3" t="inlineStr">
        <is>
          <t>APS CHARGES SALARY SALARY</t>
        </is>
      </c>
      <c r="D88" s="5" t="n"/>
      <c r="E88" s="6" t="n">
        <v>7.5</v>
      </c>
      <c r="F88" s="7" t="n"/>
      <c r="G88" s="8">
        <f>IF(AND(D88="",E88=""),F88,G87+IF(D88="",0,D88)-IF(E88="",0,E88))</f>
        <v/>
      </c>
    </row>
    <row r="89">
      <c r="A89" s="3" t="inlineStr">
        <is>
          <t>HSBC HKD Savings Account</t>
        </is>
      </c>
      <c r="B89" s="4" t="n">
        <v>45813</v>
      </c>
      <c r="C89" s="3" t="inlineStr">
        <is>
          <t>CR TO 129-496493-001 N60597074666(05JUN25)</t>
        </is>
      </c>
      <c r="D89" s="5" t="n"/>
      <c r="E89" s="6" t="n">
        <v>5980</v>
      </c>
      <c r="F89" s="7" t="n">
        <v>210621.62</v>
      </c>
      <c r="G89" s="8">
        <f>IF(AND(D89="",E89=""),F89,G88+IF(D89="",0,D89)-IF(E89="",0,E89))</f>
        <v/>
      </c>
    </row>
    <row r="90">
      <c r="A90" s="3" t="inlineStr">
        <is>
          <t>HSBC HKD Savings Account</t>
        </is>
      </c>
      <c r="B90" s="4" t="n">
        <v>45814</v>
      </c>
      <c r="C90" s="3" t="inlineStr">
        <is>
          <t>004521304535034 LOAN INTEREST</t>
        </is>
      </c>
      <c r="D90" s="5" t="n"/>
      <c r="E90" s="6" t="n">
        <v>2350</v>
      </c>
      <c r="F90" s="7" t="n"/>
      <c r="G90" s="8">
        <f>IF(AND(D90="",E90=""),F90,G89+IF(D90="",0,D90)-IF(E90="",0,E90))</f>
        <v/>
      </c>
    </row>
    <row r="91">
      <c r="A91" s="3" t="inlineStr">
        <is>
          <t>HSBC HKD Savings Account</t>
        </is>
      </c>
      <c r="B91" s="4" t="n">
        <v>45814</v>
      </c>
      <c r="C91" s="3" t="inlineStr">
        <is>
          <t>SALARY SALARY</t>
        </is>
      </c>
      <c r="D91" s="5" t="n"/>
      <c r="E91" s="6" t="n">
        <v>51769</v>
      </c>
      <c r="F91" s="7" t="n"/>
      <c r="G91" s="8">
        <f>IF(AND(D91="",E91=""),F91,G90+IF(D91="",0,D91)-IF(E91="",0,E91))</f>
        <v/>
      </c>
    </row>
    <row r="92">
      <c r="A92" s="3" t="inlineStr">
        <is>
          <t>HSBC HKD Savings Account</t>
        </is>
      </c>
      <c r="B92" s="4" t="n">
        <v>45814</v>
      </c>
      <c r="C92" s="3" t="inlineStr">
        <is>
          <t>LAM Y*** M** J**** HC12560677766772 06JUN</t>
        </is>
      </c>
      <c r="D92" s="5" t="n"/>
      <c r="E92" s="6" t="n">
        <v>500</v>
      </c>
      <c r="F92" s="7" t="n">
        <v>156002.62</v>
      </c>
      <c r="G92" s="8">
        <f>IF(AND(D92="",E92=""),F92,G91+IF(D92="",0,D92)-IF(E92="",0,E92))</f>
        <v/>
      </c>
    </row>
    <row r="93">
      <c r="A93" s="3" t="inlineStr">
        <is>
          <t>HSBC HKD Savings Account</t>
        </is>
      </c>
      <c r="B93" s="4" t="n">
        <v>45817</v>
      </c>
      <c r="C93" s="3" t="inlineStr">
        <is>
          <t>APS CHARGES SALARY SALARY</t>
        </is>
      </c>
      <c r="D93" s="5" t="n"/>
      <c r="E93" s="6" t="n">
        <v>1</v>
      </c>
      <c r="F93" s="7" t="n">
        <v>156001.62</v>
      </c>
      <c r="G93" s="8">
        <f>IF(AND(D93="",E93=""),F93,G92+IF(D93="",0,D93)-IF(E93="",0,E93))</f>
        <v/>
      </c>
    </row>
    <row r="94">
      <c r="A94" s="3" t="inlineStr">
        <is>
          <t>HSBC HKD Savings Account</t>
        </is>
      </c>
      <c r="B94" s="4" t="n">
        <v>45824</v>
      </c>
      <c r="C94" s="3" t="inlineStr">
        <is>
          <t>DIN KHALIFA JAN N61634124387(16JUN25)</t>
        </is>
      </c>
      <c r="D94" s="5" t="n">
        <v>3000</v>
      </c>
      <c r="E94" s="6" t="n"/>
      <c r="F94" s="7" t="n">
        <v>159001.62</v>
      </c>
      <c r="G94" s="8">
        <f>IF(AND(D94="",E94=""),F94,G93+IF(D94="",0,D94)-IF(E94="",0,E94))</f>
        <v/>
      </c>
    </row>
    <row r="95">
      <c r="A95" s="3" t="inlineStr">
        <is>
          <t>HSBC HKD Savings Account</t>
        </is>
      </c>
      <c r="B95" s="4" t="n">
        <v>45826</v>
      </c>
      <c r="C95" s="3" t="inlineStr">
        <is>
          <t>CILIWUNG LTD ATM TRANSFER (18JUN25)</t>
        </is>
      </c>
      <c r="D95" s="5" t="n">
        <v>4000</v>
      </c>
      <c r="E95" s="6" t="n"/>
      <c r="F95" s="7" t="n">
        <v>163001.62</v>
      </c>
      <c r="G95" s="8">
        <f>IF(AND(D95="",E95=""),F95,G94+IF(D95="",0,D95)-IF(E95="",0,E95))</f>
        <v/>
      </c>
    </row>
    <row r="96">
      <c r="A96" s="3" t="inlineStr">
        <is>
          <t>HSBC HKD Savings Account</t>
        </is>
      </c>
      <c r="B96" s="4" t="n">
        <v>45827</v>
      </c>
      <c r="C96" s="3" t="inlineStr">
        <is>
          <t>5592-4033-3377-2530 N61943925729(19JUN25)</t>
        </is>
      </c>
      <c r="D96" s="5" t="n"/>
      <c r="E96" s="6" t="n">
        <v>158</v>
      </c>
      <c r="F96" s="7" t="n"/>
      <c r="G96" s="8">
        <f>IF(AND(D96="",E96=""),F96,G95+IF(D96="",0,D96)-IF(E96="",0,E96))</f>
        <v/>
      </c>
    </row>
    <row r="97">
      <c r="A97" s="3" t="inlineStr">
        <is>
          <t>HSBC HKD Savings Account</t>
        </is>
      </c>
      <c r="B97" s="4" t="n">
        <v>45827</v>
      </c>
      <c r="C97" s="3" t="inlineStr">
        <is>
          <t>CR TO 023-723877-838 N61943968766(19JUN25)</t>
        </is>
      </c>
      <c r="D97" s="5" t="n"/>
      <c r="E97" s="6" t="n">
        <v>250</v>
      </c>
      <c r="F97" s="7" t="n"/>
      <c r="G97" s="8">
        <f>IF(AND(D97="",E97=""),F97,G96+IF(D97="",0,D97)-IF(E97="",0,E97))</f>
        <v/>
      </c>
    </row>
    <row r="98">
      <c r="A98" s="3" t="inlineStr">
        <is>
          <t>HSBC HKD Savings Account</t>
        </is>
      </c>
      <c r="B98" s="4" t="n">
        <v>45827</v>
      </c>
      <c r="C98" s="3" t="inlineStr">
        <is>
          <t>SALARY CLAIM EXPENS</t>
        </is>
      </c>
      <c r="D98" s="5" t="n"/>
      <c r="E98" s="6" t="n">
        <v>3972.7</v>
      </c>
      <c r="F98" s="7" t="n">
        <v>158620.92</v>
      </c>
      <c r="G98" s="8">
        <f>IF(AND(D98="",E98=""),F98,G97+IF(D98="",0,D98)-IF(E98="",0,E98))</f>
        <v/>
      </c>
    </row>
    <row r="99">
      <c r="A99" s="3" t="inlineStr">
        <is>
          <t>HSBC HKD Savings Account</t>
        </is>
      </c>
      <c r="B99" s="4" t="n">
        <v>45828</v>
      </c>
      <c r="C99" s="3" t="inlineStr">
        <is>
          <t>APS CHARGES CLAIM EXPENSSALARY</t>
        </is>
      </c>
      <c r="D99" s="5" t="n"/>
      <c r="E99" s="6" t="n">
        <v>1</v>
      </c>
      <c r="F99" s="7" t="n">
        <v>158619.92</v>
      </c>
      <c r="G99" s="8">
        <f>IF(AND(D99="",E99=""),F99,G98+IF(D99="",0,D99)-IF(E99="",0,E99))</f>
        <v/>
      </c>
    </row>
    <row r="100">
      <c r="A100" s="3" t="inlineStr">
        <is>
          <t>HSBC HKD Savings Account</t>
        </is>
      </c>
      <c r="B100" s="4" t="n">
        <v>45836</v>
      </c>
      <c r="C100" s="3" t="inlineStr">
        <is>
          <t>CREDIT INTEREST</t>
        </is>
      </c>
      <c r="D100" s="5" t="n">
        <v>39.61</v>
      </c>
      <c r="E100" s="6" t="n"/>
      <c r="F100" s="7" t="n">
        <v>158659.53</v>
      </c>
      <c r="G100" s="8">
        <f>IF(AND(D100="",E100=""),F100,G99+IF(D100="",0,D100)-IF(E100="",0,E100))</f>
        <v/>
      </c>
    </row>
    <row r="101">
      <c r="A101" s="3" t="inlineStr">
        <is>
          <t>HSBC HKD Savings Account</t>
        </is>
      </c>
      <c r="B101" s="4" t="n">
        <v>45838</v>
      </c>
      <c r="C101" s="3" t="inlineStr">
        <is>
          <t>REF:5894 0229 CHEQUE DEPOSIT MACHINE (30JUN25)</t>
        </is>
      </c>
      <c r="D101" s="5" t="n">
        <v>10800</v>
      </c>
      <c r="E101" s="6" t="n"/>
      <c r="F101" s="7" t="n">
        <v>169459.53</v>
      </c>
      <c r="G101" s="8">
        <f>IF(AND(D101="",E101=""),F101,G100+IF(D101="",0,D101)-IF(E101="",0,E101))</f>
        <v/>
      </c>
    </row>
    <row r="102">
      <c r="A102" s="3" t="inlineStr">
        <is>
          <t>HSBC HKD Savings Account</t>
        </is>
      </c>
      <c r="B102" s="4" t="n">
        <v>45845</v>
      </c>
      <c r="C102" s="3" t="inlineStr">
        <is>
          <t>SALARY SALARY</t>
        </is>
      </c>
      <c r="D102" s="5" t="n"/>
      <c r="E102" s="6" t="n">
        <v>47200</v>
      </c>
      <c r="F102" s="7" t="n"/>
      <c r="G102" s="8">
        <f>IF(AND(D102="",E102=""),F102,G101+IF(D102="",0,D102)-IF(E102="",0,E102))</f>
        <v/>
      </c>
    </row>
    <row r="103">
      <c r="A103" s="3" t="inlineStr">
        <is>
          <t>HSBC HKD Savings Account</t>
        </is>
      </c>
      <c r="B103" s="4" t="n">
        <v>45845</v>
      </c>
      <c r="C103" s="3" t="inlineStr">
        <is>
          <t>004521304535034 LOAN INTEREST</t>
        </is>
      </c>
      <c r="D103" s="5" t="n"/>
      <c r="E103" s="6" t="n">
        <v>2350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HSBC HKD Savings Account</t>
        </is>
      </c>
      <c r="B104" s="4" t="n">
        <v>45845</v>
      </c>
      <c r="C104" s="3" t="inlineStr">
        <is>
          <t>REF:58AB 0229 CHEQUE DEPOSIT MACHINE (07JUL25)</t>
        </is>
      </c>
      <c r="D104" s="5" t="n">
        <v>26300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HSBC HKD Savings Account</t>
        </is>
      </c>
      <c r="B105" s="4" t="n">
        <v>45845</v>
      </c>
      <c r="C105" s="3" t="inlineStr">
        <is>
          <t>LAM Y*** M** J**** HC12570767797211 07JUL</t>
        </is>
      </c>
      <c r="D105" s="5" t="n"/>
      <c r="E105" s="6" t="n">
        <v>710.8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HSBC HKD Savings Account</t>
        </is>
      </c>
      <c r="B106" s="4" t="n">
        <v>45845</v>
      </c>
      <c r="C106" s="3" t="inlineStr">
        <is>
          <t>CR TO 129-496493-001 OFFICE RENT (07JUL25)</t>
        </is>
      </c>
      <c r="D106" s="5" t="n"/>
      <c r="E106" s="6" t="n">
        <v>5980</v>
      </c>
      <c r="F106" s="7" t="n"/>
      <c r="G106" s="8">
        <f>IF(AND(D106="",E106=""),F106,G105+IF(D106="",0,D106)-IF(E106="",0,E106))</f>
        <v/>
      </c>
    </row>
    <row r="107">
      <c r="A107" s="3" t="inlineStr">
        <is>
          <t>HSBC HKD Savings Account</t>
        </is>
      </c>
      <c r="B107" s="4" t="n">
        <v>45845</v>
      </c>
      <c r="C107" s="3" t="inlineStr">
        <is>
          <t>5592-4033-3377-2530 N70709375215(07JUL25)</t>
        </is>
      </c>
      <c r="D107" s="5" t="n"/>
      <c r="E107" s="6" t="n">
        <v>1558.5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HSBC HKD Savings Account</t>
        </is>
      </c>
      <c r="B108" s="4" t="n">
        <v>45845</v>
      </c>
      <c r="C108" s="3" t="inlineStr">
        <is>
          <t>SALARY SALARY</t>
        </is>
      </c>
      <c r="D108" s="5" t="n"/>
      <c r="E108" s="6" t="n">
        <v>54427.5</v>
      </c>
      <c r="F108" s="7" t="n">
        <v>83532.73</v>
      </c>
      <c r="G108" s="8">
        <f>IF(AND(D108="",E108=""),F108,G107+IF(D108="",0,D108)-IF(E108="",0,E108))</f>
        <v/>
      </c>
    </row>
    <row r="109">
      <c r="A109" s="3" t="inlineStr">
        <is>
          <t>HSBC HKD Savings Account</t>
        </is>
      </c>
      <c r="B109" s="4" t="n">
        <v>45846</v>
      </c>
      <c r="C109" s="3" t="inlineStr">
        <is>
          <t>APS CHARGES SALARY SALARY</t>
        </is>
      </c>
      <c r="D109" s="5" t="n"/>
      <c r="E109" s="6" t="n">
        <v>1</v>
      </c>
      <c r="F109" s="7" t="n"/>
      <c r="G109" s="8">
        <f>IF(AND(D109="",E109=""),F109,G108+IF(D109="",0,D109)-IF(E109="",0,E109))</f>
        <v/>
      </c>
    </row>
    <row r="110">
      <c r="A110" s="3" t="inlineStr">
        <is>
          <t>HSBC HKD Savings Account</t>
        </is>
      </c>
      <c r="B110" s="4" t="n">
        <v>45846</v>
      </c>
      <c r="C110" s="3" t="inlineStr">
        <is>
          <t>APS CHARGES SALARY SALARY</t>
        </is>
      </c>
      <c r="D110" s="5" t="n"/>
      <c r="E110" s="6" t="n">
        <v>6</v>
      </c>
      <c r="F110" s="7" t="n">
        <v>83525.73</v>
      </c>
      <c r="G110" s="8">
        <f>IF(AND(D110="",E110=""),F110,G109+IF(D110="",0,D110)-IF(E110="",0,E110))</f>
        <v/>
      </c>
    </row>
    <row r="111">
      <c r="A111" s="3" t="inlineStr">
        <is>
          <t>HSBC HKD Savings Account</t>
        </is>
      </c>
      <c r="B111" s="4" t="n">
        <v>45853</v>
      </c>
      <c r="C111" s="3" t="inlineStr">
        <is>
          <t>SALARY EXPENSES</t>
        </is>
      </c>
      <c r="D111" s="5" t="n"/>
      <c r="E111" s="6" t="n">
        <v>2607.9</v>
      </c>
      <c r="F111" s="7" t="n">
        <v>80917.83</v>
      </c>
      <c r="G111" s="8">
        <f>IF(AND(D111="",E111=""),F111,G110+IF(D111="",0,D111)-IF(E111="",0,E111))</f>
        <v/>
      </c>
    </row>
    <row r="112">
      <c r="A112" s="3" t="inlineStr">
        <is>
          <t>HSBC HKD Savings Account</t>
        </is>
      </c>
      <c r="B112" s="4" t="n">
        <v>45854</v>
      </c>
      <c r="C112" s="3" t="inlineStr">
        <is>
          <t>APS CHARGES EXPENSES SALARY</t>
        </is>
      </c>
      <c r="D112" s="5" t="n"/>
      <c r="E112" s="6" t="n">
        <v>0.5</v>
      </c>
      <c r="F112" s="7" t="n">
        <v>80917.33</v>
      </c>
      <c r="G112" s="8">
        <f>IF(AND(D112="",E112=""),F112,G111+IF(D112="",0,D112)-IF(E112="",0,E112))</f>
        <v/>
      </c>
    </row>
    <row r="113">
      <c r="A113" s="3" t="inlineStr">
        <is>
          <t>HSBC HKD Savings Account</t>
        </is>
      </c>
      <c r="B113" s="4" t="n">
        <v>45863</v>
      </c>
      <c r="C113" s="3" t="inlineStr">
        <is>
          <t>FROM KY DESIGN AND E ECQ DEPOSIT 003015</t>
        </is>
      </c>
      <c r="D113" s="5" t="n">
        <v>3600</v>
      </c>
      <c r="E113" s="6" t="n"/>
      <c r="F113" s="7" t="n">
        <v>84517.33</v>
      </c>
      <c r="G113" s="8">
        <f>IF(AND(D113="",E113=""),F113,G112+IF(D113="",0,D113)-IF(E113="",0,E113))</f>
        <v/>
      </c>
    </row>
    <row r="114">
      <c r="A114" s="3" t="inlineStr">
        <is>
          <t>HSBC HKD Savings Account</t>
        </is>
      </c>
      <c r="B114" s="4" t="n">
        <v>45866</v>
      </c>
      <c r="C114" s="3" t="inlineStr">
        <is>
          <t>CREDIT INTEREST</t>
        </is>
      </c>
      <c r="D114" s="5" t="n">
        <v>22.25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HSBC HKD Savings Account</t>
        </is>
      </c>
      <c r="B115" s="4" t="n">
        <v>45866</v>
      </c>
      <c r="C115" s="3" t="inlineStr">
        <is>
          <t>HONOR U CHEQUE DEPOSIT MACHINE (28JUL25)</t>
        </is>
      </c>
      <c r="D115" s="5" t="n">
        <v>12000</v>
      </c>
      <c r="E115" s="6" t="n"/>
      <c r="F115" s="7" t="n">
        <v>96539.58</v>
      </c>
      <c r="G115" s="8">
        <f>IF(AND(D115="",E115=""),F115,G114+IF(D115="",0,D115)-IF(E115="",0,E115))</f>
        <v/>
      </c>
    </row>
    <row r="116">
      <c r="A116" s="3" t="inlineStr">
        <is>
          <t>HSBC HKD Savings Account</t>
        </is>
      </c>
      <c r="B116" s="4" t="n">
        <v>45868</v>
      </c>
      <c r="C116" s="3" t="inlineStr">
        <is>
          <t>IGATHER (GLOBAL) ENT HC12573029214474 30JUL</t>
        </is>
      </c>
      <c r="D116" s="5" t="n"/>
      <c r="E116" s="6" t="n">
        <v>100</v>
      </c>
      <c r="F116" s="7" t="n">
        <v>96439.58</v>
      </c>
      <c r="G116" s="8">
        <f>IF(AND(D116="",E116=""),F116,G115+IF(D116="",0,D116)-IF(E116="",0,E116))</f>
        <v/>
      </c>
    </row>
    <row r="117">
      <c r="A117" s="3" t="inlineStr">
        <is>
          <t>HSBC HKD Savings Account</t>
        </is>
      </c>
      <c r="B117" s="4" t="n">
        <v>45869</v>
      </c>
      <c r="C117" s="3" t="inlineStr">
        <is>
          <t>REF:58EE 0390 CHEQUE DEPOSIT MACHINE (31JUL25)</t>
        </is>
      </c>
      <c r="D117" s="5" t="n">
        <v>3600</v>
      </c>
      <c r="E117" s="6" t="n"/>
      <c r="F117" s="7" t="n">
        <v>100039.58</v>
      </c>
      <c r="G117" s="8">
        <f>IF(AND(D117="",E117=""),F117,G116+IF(D117="",0,D117)-IF(E117="",0,E117))</f>
        <v/>
      </c>
    </row>
    <row r="118">
      <c r="A118" s="3" t="inlineStr">
        <is>
          <t>HSBC HKD Savings Account</t>
        </is>
      </c>
      <c r="B118" s="4" t="n">
        <v>45875</v>
      </c>
      <c r="C118" s="3" t="inlineStr">
        <is>
          <t>004521304535034 LOAN INTEREST</t>
        </is>
      </c>
      <c r="D118" s="5" t="n"/>
      <c r="E118" s="6" t="n">
        <v>2350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HSBC HKD Savings Account</t>
        </is>
      </c>
      <c r="B119" s="4" t="n">
        <v>45875</v>
      </c>
      <c r="C119" s="3" t="inlineStr">
        <is>
          <t>W OFFICE LIMITED N80612413009(06AUG25)</t>
        </is>
      </c>
      <c r="D119" s="5" t="n">
        <v>20000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HSBC HKD Savings Account</t>
        </is>
      </c>
      <c r="B120" s="4" t="n">
        <v>45875</v>
      </c>
      <c r="C120" s="3" t="inlineStr">
        <is>
          <t>CR TO 168-294437-001 RENT (06AUG25)</t>
        </is>
      </c>
      <c r="D120" s="5" t="n"/>
      <c r="E120" s="6" t="n">
        <v>5980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HSBC HKD Savings Account</t>
        </is>
      </c>
      <c r="B121" s="4" t="n">
        <v>45875</v>
      </c>
      <c r="C121" s="3" t="inlineStr">
        <is>
          <t>CR TO 129-496493-001 DOOR CARD (06AUG25)</t>
        </is>
      </c>
      <c r="D121" s="5" t="n"/>
      <c r="E121" s="6" t="n">
        <v>50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HSBC HKD Savings Account</t>
        </is>
      </c>
      <c r="B122" s="4" t="n">
        <v>45875</v>
      </c>
      <c r="C122" s="3" t="inlineStr">
        <is>
          <t>SALARY SALARY</t>
        </is>
      </c>
      <c r="D122" s="5" t="n"/>
      <c r="E122" s="6" t="n">
        <v>47436.5</v>
      </c>
      <c r="F122" s="7" t="n"/>
      <c r="G122" s="8">
        <f>IF(AND(D122="",E122=""),F122,G121+IF(D122="",0,D122)-IF(E122="",0,E122))</f>
        <v/>
      </c>
    </row>
    <row r="123">
      <c r="A123" s="3" t="inlineStr">
        <is>
          <t>HSBC HKD Savings Account</t>
        </is>
      </c>
      <c r="B123" s="4" t="n">
        <v>45875</v>
      </c>
      <c r="C123" s="3" t="inlineStr">
        <is>
          <t>SALARY SALARY 2</t>
        </is>
      </c>
      <c r="D123" s="5" t="n"/>
      <c r="E123" s="6" t="n">
        <v>51102</v>
      </c>
      <c r="F123" s="7" t="n">
        <v>13121.08</v>
      </c>
      <c r="G123" s="8">
        <f>IF(AND(D123="",E123=""),F123,G122+IF(D123="",0,D123)-IF(E123="",0,E123))</f>
        <v/>
      </c>
    </row>
    <row r="124">
      <c r="A124" s="3" t="inlineStr">
        <is>
          <t>HSBC HKD Savings Account</t>
        </is>
      </c>
      <c r="B124" s="4" t="n">
        <v>45876</v>
      </c>
      <c r="C124" s="3" t="inlineStr">
        <is>
          <t>APS CHARGES SALARY 2 SALARY</t>
        </is>
      </c>
      <c r="D124" s="5" t="n"/>
      <c r="E124" s="6" t="n">
        <v>1</v>
      </c>
      <c r="F124" s="7" t="n"/>
      <c r="G124" s="8">
        <f>IF(AND(D124="",E124=""),F124,G123+IF(D124="",0,D124)-IF(E124="",0,E124))</f>
        <v/>
      </c>
    </row>
    <row r="125">
      <c r="A125" s="3" t="inlineStr">
        <is>
          <t>HSBC HKD Savings Account</t>
        </is>
      </c>
      <c r="B125" s="4" t="n">
        <v>45876</v>
      </c>
      <c r="C125" s="3" t="inlineStr">
        <is>
          <t>APS CHARGES SALARY SALARY</t>
        </is>
      </c>
      <c r="D125" s="5" t="n"/>
      <c r="E125" s="6" t="n">
        <v>6</v>
      </c>
      <c r="F125" s="7" t="n"/>
      <c r="G125" s="8">
        <f>IF(AND(D125="",E125=""),F125,G124+IF(D125="",0,D125)-IF(E125="",0,E125))</f>
        <v/>
      </c>
    </row>
    <row r="126">
      <c r="A126" s="3" t="inlineStr">
        <is>
          <t>HSBC HKD Savings Account</t>
        </is>
      </c>
      <c r="B126" s="4" t="n">
        <v>45876</v>
      </c>
      <c r="C126" s="3" t="inlineStr">
        <is>
          <t>LAM Y*** M** J**** HC12580754778803 07AUG</t>
        </is>
      </c>
      <c r="D126" s="5" t="n"/>
      <c r="E126" s="6" t="n">
        <v>1369.4</v>
      </c>
      <c r="F126" s="7" t="n">
        <v>11744.68</v>
      </c>
      <c r="G126" s="8">
        <f>IF(AND(D126="",E126=""),F126,G125+IF(D126="",0,D126)-IF(E126="",0,E126))</f>
        <v/>
      </c>
    </row>
    <row r="127">
      <c r="A127" s="3" t="inlineStr">
        <is>
          <t>HSBC HKD Savings Account</t>
        </is>
      </c>
      <c r="B127" s="4" t="n">
        <v>45880</v>
      </c>
      <c r="C127" s="3" t="inlineStr">
        <is>
          <t>IGATHER (GLOBAL) ENT HC12581166781001 11AUG</t>
        </is>
      </c>
      <c r="D127" s="5" t="n"/>
      <c r="E127" s="6" t="n">
        <v>100</v>
      </c>
      <c r="F127" s="7" t="n">
        <v>11644.68</v>
      </c>
      <c r="G127" s="8">
        <f>IF(AND(D127="",E127=""),F127,G126+IF(D127="",0,D127)-IF(E127="",0,E127))</f>
        <v/>
      </c>
    </row>
    <row r="128">
      <c r="A128" s="3" t="inlineStr">
        <is>
          <t>HSBC HKD Savings Account</t>
        </is>
      </c>
      <c r="B128" s="4" t="n">
        <v>45888</v>
      </c>
      <c r="C128" s="3" t="inlineStr">
        <is>
          <t>REF:587A 0221 CHEQUE DEPOSIT MACHINE (19AUG25)</t>
        </is>
      </c>
      <c r="D128" s="5" t="n">
        <v>47000</v>
      </c>
      <c r="E128" s="6" t="n"/>
      <c r="F128" s="7" t="n">
        <v>58644.68</v>
      </c>
      <c r="G128" s="8">
        <f>IF(AND(D128="",E128=""),F128,G127+IF(D128="",0,D128)-IF(E128="",0,E128))</f>
        <v/>
      </c>
    </row>
    <row r="129">
      <c r="A129" s="3" t="inlineStr">
        <is>
          <t>HSBC HKD Savings Account</t>
        </is>
      </c>
      <c r="B129" s="4" t="n">
        <v>45891</v>
      </c>
      <c r="C129" s="3" t="inlineStr">
        <is>
          <t>FG00121092 SFGS GUAR ANTEE FEE SUBSIDY 2025</t>
        </is>
      </c>
      <c r="D129" s="5" t="n">
        <v>3049.8</v>
      </c>
      <c r="E129" s="6" t="n"/>
      <c r="F129" s="7" t="n">
        <v>61694.48</v>
      </c>
      <c r="G129" s="8">
        <f>IF(AND(D129="",E129=""),F129,G128+IF(D129="",0,D129)-IF(E129="",0,E129))</f>
        <v/>
      </c>
    </row>
    <row r="130">
      <c r="A130" s="3" t="inlineStr">
        <is>
          <t>HSBC HKD Savings Account</t>
        </is>
      </c>
      <c r="B130" s="4" t="n">
        <v>45895</v>
      </c>
      <c r="C130" s="3" t="inlineStr">
        <is>
          <t>TIBERIAN LIMITED ATM TRANSFER (26AUG25)</t>
        </is>
      </c>
      <c r="D130" s="5" t="n">
        <v>2200</v>
      </c>
      <c r="E130" s="6" t="n"/>
      <c r="F130" s="7" t="n">
        <v>63894.48</v>
      </c>
      <c r="G130" s="8">
        <f>IF(AND(D130="",E130=""),F130,G129+IF(D130="",0,D130)-IF(E130="",0,E130))</f>
        <v/>
      </c>
    </row>
    <row r="131">
      <c r="A131" s="3" t="inlineStr">
        <is>
          <t>HSBC HKD Savings Account</t>
        </is>
      </c>
      <c r="B131" s="4" t="n">
        <v>45896</v>
      </c>
      <c r="C131" s="3" t="inlineStr">
        <is>
          <t>5592-4033-3377-2530 N82782450602(27AUG25)</t>
        </is>
      </c>
      <c r="D131" s="5" t="n"/>
      <c r="E131" s="6" t="n">
        <v>2396.7</v>
      </c>
      <c r="F131" s="7" t="n">
        <v>61497.78</v>
      </c>
      <c r="G131" s="8">
        <f>IF(AND(D131="",E131=""),F131,G130+IF(D131="",0,D131)-IF(E131="",0,E131))</f>
        <v/>
      </c>
    </row>
    <row r="132">
      <c r="A132" s="3" t="inlineStr">
        <is>
          <t>HSBC HKD Savings Account</t>
        </is>
      </c>
      <c r="B132" s="4" t="n">
        <v>45897</v>
      </c>
      <c r="C132" s="3" t="inlineStr">
        <is>
          <t>CREDIT INTEREST</t>
        </is>
      </c>
      <c r="D132" s="5" t="n">
        <v>10.94</v>
      </c>
      <c r="E132" s="6" t="n"/>
      <c r="F132" s="7" t="n">
        <v>61508.72</v>
      </c>
      <c r="G132" s="8">
        <f>IF(AND(D132="",E132=""),F132,G131+IF(D132="",0,D132)-IF(E132="",0,E132))</f>
        <v/>
      </c>
    </row>
    <row r="133">
      <c r="A133" s="3" t="inlineStr">
        <is>
          <t>HSBC HKD Savings Account</t>
        </is>
      </c>
      <c r="B133" s="4" t="n">
        <v>45903</v>
      </c>
      <c r="C133" s="3" t="inlineStr">
        <is>
          <t>SALARY EXP</t>
        </is>
      </c>
      <c r="D133" s="5" t="n"/>
      <c r="E133" s="6" t="n">
        <v>1944.1</v>
      </c>
      <c r="F133" s="7" t="n">
        <v>59564.62</v>
      </c>
      <c r="G133" s="8">
        <f>IF(AND(D133="",E133=""),F133,G132+IF(D133="",0,D133)-IF(E133="",0,E133))</f>
        <v/>
      </c>
    </row>
    <row r="134">
      <c r="A134" s="3" t="inlineStr">
        <is>
          <t>HSBC HKD Savings Account</t>
        </is>
      </c>
      <c r="B134" s="4" t="n">
        <v>45904</v>
      </c>
      <c r="C134" s="3" t="inlineStr">
        <is>
          <t>APS CHARGES EXP SALARY</t>
        </is>
      </c>
      <c r="D134" s="5" t="n"/>
      <c r="E134" s="6" t="n">
        <v>1</v>
      </c>
      <c r="F134" s="7" t="n"/>
      <c r="G134" s="8">
        <f>IF(AND(D134="",E134=""),F134,G133+IF(D134="",0,D134)-IF(E134="",0,E134))</f>
        <v/>
      </c>
    </row>
    <row r="135">
      <c r="A135" s="3" t="inlineStr">
        <is>
          <t>HSBC HKD Savings Account</t>
        </is>
      </c>
      <c r="B135" s="4" t="n">
        <v>45904</v>
      </c>
      <c r="C135" s="3" t="inlineStr">
        <is>
          <t>HONOR U CHEQUE DEPOSIT MACHINE (04SEP25)</t>
        </is>
      </c>
      <c r="D135" s="5" t="n">
        <v>12000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HSBC HKD Savings Account</t>
        </is>
      </c>
      <c r="B136" s="4" t="n">
        <v>45904</v>
      </c>
      <c r="C136" s="3" t="inlineStr">
        <is>
          <t>LAM Y*** M** J**** HC12590436563687 04SEP</t>
        </is>
      </c>
      <c r="D136" s="5" t="n"/>
      <c r="E136" s="6" t="n">
        <v>1278.4</v>
      </c>
      <c r="F136" s="7" t="n"/>
      <c r="G136" s="8">
        <f>IF(AND(D136="",E136=""),F136,G135+IF(D136="",0,D136)-IF(E136="",0,E136))</f>
        <v/>
      </c>
    </row>
    <row r="137">
      <c r="A137" s="3" t="inlineStr">
        <is>
          <t>HSBC HKD Savings Account</t>
        </is>
      </c>
      <c r="B137" s="4" t="n">
        <v>45904</v>
      </c>
      <c r="C137" s="3" t="inlineStr">
        <is>
          <t>W OFFICE LIMITED N90414241906(04SEP25)</t>
        </is>
      </c>
      <c r="D137" s="5" t="n">
        <v>53000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HSBC HKD Savings Account</t>
        </is>
      </c>
      <c r="B138" s="4" t="n">
        <v>45904</v>
      </c>
      <c r="C138" s="3" t="inlineStr">
        <is>
          <t>SALARY SALARY</t>
        </is>
      </c>
      <c r="D138" s="5" t="n"/>
      <c r="E138" s="6" t="n">
        <v>52364</v>
      </c>
      <c r="F138" s="7" t="n"/>
      <c r="G138" s="8">
        <f>IF(AND(D138="",E138=""),F138,G137+IF(D138="",0,D138)-IF(E138="",0,E138))</f>
        <v/>
      </c>
    </row>
    <row r="139">
      <c r="A139" s="3" t="inlineStr">
        <is>
          <t>HSBC HKD Savings Account</t>
        </is>
      </c>
      <c r="B139" s="4" t="n">
        <v>45904</v>
      </c>
      <c r="C139" s="3" t="inlineStr">
        <is>
          <t>SALARY</t>
        </is>
      </c>
      <c r="D139" s="5" t="n"/>
      <c r="E139" s="6" t="n">
        <v>52858</v>
      </c>
      <c r="F139" s="7" t="n">
        <v>18063.22</v>
      </c>
      <c r="G139" s="8">
        <f>IF(AND(D139="",E139=""),F139,G138+IF(D139="",0,D139)-IF(E139="",0,E139))</f>
        <v/>
      </c>
    </row>
    <row r="140">
      <c r="A140" s="3" t="inlineStr">
        <is>
          <t>HSBC HKD Savings Account</t>
        </is>
      </c>
      <c r="B140" s="4" t="n">
        <v>45905</v>
      </c>
      <c r="C140" s="3" t="inlineStr">
        <is>
          <t>APS CHARGES I02 SALARY</t>
        </is>
      </c>
      <c r="D140" s="5" t="n"/>
      <c r="E140" s="6" t="n">
        <v>1</v>
      </c>
      <c r="F140" s="7" t="n"/>
      <c r="G140" s="8">
        <f>IF(AND(D140="",E140=""),F140,G139+IF(D140="",0,D140)-IF(E140="",0,E140))</f>
        <v/>
      </c>
    </row>
    <row r="141">
      <c r="A141" s="3" t="inlineStr">
        <is>
          <t>HSBC HKD Savings Account</t>
        </is>
      </c>
      <c r="B141" s="4" t="n">
        <v>45905</v>
      </c>
      <c r="C141" s="3" t="inlineStr">
        <is>
          <t>APS CHARGES SALARY SALARY</t>
        </is>
      </c>
      <c r="D141" s="5" t="n"/>
      <c r="E141" s="6" t="n">
        <v>6</v>
      </c>
      <c r="F141" s="7" t="n">
        <v>18056.22</v>
      </c>
      <c r="G141" s="8">
        <f>IF(AND(D141="",E141=""),F141,G140+IF(D141="",0,D141)-IF(E141="",0,E141))</f>
        <v/>
      </c>
    </row>
    <row r="142">
      <c r="A142" s="3" t="inlineStr">
        <is>
          <t>HSBC HKD Savings Account</t>
        </is>
      </c>
      <c r="B142" s="4" t="n">
        <v>45906</v>
      </c>
      <c r="C142" s="3" t="inlineStr">
        <is>
          <t>004521304535034 LOAN INTEREST</t>
        </is>
      </c>
      <c r="D142" s="5" t="n"/>
      <c r="E142" s="6" t="n">
        <v>2350</v>
      </c>
      <c r="F142" s="7" t="n">
        <v>15706.22</v>
      </c>
      <c r="G142" s="8">
        <f>IF(AND(D142="",E142=""),F142,G141+IF(D142="",0,D142)-IF(E142="",0,E142))</f>
        <v/>
      </c>
    </row>
    <row r="143">
      <c r="A143" s="3" t="inlineStr">
        <is>
          <t>HSBC HKD Savings Account</t>
        </is>
      </c>
      <c r="B143" s="4" t="n">
        <v>45909</v>
      </c>
      <c r="C143" s="3" t="inlineStr">
        <is>
          <t>CR TO 129-496493-001 N90931636538(09SEP25)</t>
        </is>
      </c>
      <c r="D143" s="5" t="n"/>
      <c r="E143" s="6" t="n">
        <v>5980</v>
      </c>
      <c r="F143" s="7" t="n">
        <v>9726.219999999999</v>
      </c>
      <c r="G143" s="8">
        <f>IF(AND(D143="",E143=""),F143,G142+IF(D143="",0,D143)-IF(E143="",0,E143))</f>
        <v/>
      </c>
    </row>
    <row r="144">
      <c r="A144" s="3" t="inlineStr">
        <is>
          <t>HSBC HKD Savings Account</t>
        </is>
      </c>
      <c r="B144" s="4" t="n">
        <v>45912</v>
      </c>
      <c r="C144" s="3" t="inlineStr">
        <is>
          <t>CILIWUNG LTD ATM TRANSFER (12SEP25)</t>
        </is>
      </c>
      <c r="D144" s="5" t="n">
        <v>47000</v>
      </c>
      <c r="E144" s="6" t="n"/>
      <c r="F144" s="7" t="n">
        <v>56726.22</v>
      </c>
      <c r="G144" s="8">
        <f>IF(AND(D144="",E144=""),F144,G143+IF(D144="",0,D144)-IF(E144="",0,E144))</f>
        <v/>
      </c>
    </row>
    <row r="145">
      <c r="A145" s="3" t="inlineStr">
        <is>
          <t>HSBC HKD Savings Account</t>
        </is>
      </c>
      <c r="B145" s="4" t="n">
        <v>45922</v>
      </c>
      <c r="C145" s="3" t="inlineStr">
        <is>
          <t>REF:58A9 0329 CHEQUE DEPOSIT MACHINE (22SEP25)</t>
        </is>
      </c>
      <c r="D145" s="5" t="n">
        <v>10800</v>
      </c>
      <c r="E145" s="6" t="n"/>
      <c r="F145" s="7" t="n">
        <v>67526.22</v>
      </c>
      <c r="G145" s="8">
        <f>IF(AND(D145="",E145=""),F145,G144+IF(D145="",0,D145)-IF(E145="",0,E145))</f>
        <v/>
      </c>
    </row>
    <row r="146">
      <c r="A146" s="3" t="inlineStr">
        <is>
          <t>HSBC HKD Savings Account</t>
        </is>
      </c>
      <c r="B146" s="4" t="n">
        <v>45927</v>
      </c>
      <c r="C146" s="3" t="inlineStr">
        <is>
          <t>CREDIT INTEREST</t>
        </is>
      </c>
      <c r="D146" s="5" t="n">
        <v>8.199999999999999</v>
      </c>
      <c r="E146" s="6" t="n"/>
      <c r="F146" s="7" t="n">
        <v>67534.42</v>
      </c>
      <c r="G146" s="8">
        <f>IF(AND(D146="",E146=""),F146,G145+IF(D146="",0,D146)-IF(E146="",0,E146))</f>
        <v/>
      </c>
    </row>
    <row r="147">
      <c r="A147" s="3" t="inlineStr">
        <is>
          <t>HSBC HKD Savings Account</t>
        </is>
      </c>
      <c r="B147" s="4" t="n">
        <v>45936</v>
      </c>
      <c r="C147" s="3" t="inlineStr">
        <is>
          <t>BLG CQBK FEE</t>
        </is>
      </c>
      <c r="D147" s="5" t="n"/>
      <c r="E147" s="6" t="n">
        <v>100</v>
      </c>
      <c r="F147" s="7" t="n"/>
      <c r="G147" s="8">
        <f>IF(AND(D147="",E147=""),F147,G146+IF(D147="",0,D147)-IF(E147="",0,E147))</f>
        <v/>
      </c>
    </row>
    <row r="148">
      <c r="A148" s="3" t="inlineStr">
        <is>
          <t>HSBC HKD Savings Account</t>
        </is>
      </c>
      <c r="B148" s="4" t="n">
        <v>45936</v>
      </c>
      <c r="C148" s="3" t="inlineStr">
        <is>
          <t>004521304535034 LOAN INTEREST</t>
        </is>
      </c>
      <c r="D148" s="5" t="n"/>
      <c r="E148" s="6" t="n">
        <v>2350</v>
      </c>
      <c r="F148" s="7" t="n"/>
      <c r="G148" s="8">
        <f>IF(AND(D148="",E148=""),F148,G147+IF(D148="",0,D148)-IF(E148="",0,E148))</f>
        <v/>
      </c>
    </row>
    <row r="149">
      <c r="A149" s="3" t="inlineStr">
        <is>
          <t>HSBC HKD Savings Account</t>
        </is>
      </c>
      <c r="B149" s="4" t="n">
        <v>45936</v>
      </c>
      <c r="C149" s="3" t="inlineStr">
        <is>
          <t>W OFFICE LIMITED NA0628155562(06OCT25)</t>
        </is>
      </c>
      <c r="D149" s="5" t="n">
        <v>30000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HSBC HKD Savings Account</t>
        </is>
      </c>
      <c r="B150" s="4" t="n">
        <v>45936</v>
      </c>
      <c r="C150" s="3" t="inlineStr">
        <is>
          <t>CR TO 129-496493-001 OFFICE RENT (06OCT25)</t>
        </is>
      </c>
      <c r="D150" s="5" t="n"/>
      <c r="E150" s="6" t="n">
        <v>5980</v>
      </c>
      <c r="F150" s="7" t="n"/>
      <c r="G150" s="8">
        <f>IF(AND(D150="",E150=""),F150,G149+IF(D150="",0,D150)-IF(E150="",0,E150))</f>
        <v/>
      </c>
    </row>
    <row r="151">
      <c r="A151" s="3" t="inlineStr">
        <is>
          <t>HSBC HKD Savings Account</t>
        </is>
      </c>
      <c r="B151" s="4" t="n">
        <v>45936</v>
      </c>
      <c r="C151" s="3" t="inlineStr">
        <is>
          <t>SALARY SALARY</t>
        </is>
      </c>
      <c r="D151" s="5" t="n"/>
      <c r="E151" s="6" t="n">
        <v>41200.1</v>
      </c>
      <c r="F151" s="7" t="n"/>
      <c r="G151" s="8">
        <f>IF(AND(D151="",E151=""),F151,G150+IF(D151="",0,D151)-IF(E151="",0,E151))</f>
        <v/>
      </c>
    </row>
    <row r="152">
      <c r="A152" s="3" t="inlineStr">
        <is>
          <t>HSBC HKD Savings Account</t>
        </is>
      </c>
      <c r="B152" s="4" t="n">
        <v>45936</v>
      </c>
      <c r="C152" s="3" t="inlineStr">
        <is>
          <t>SALARY SALARY</t>
        </is>
      </c>
      <c r="D152" s="5" t="n"/>
      <c r="E152" s="6" t="n">
        <v>44857.5</v>
      </c>
      <c r="F152" s="7" t="n">
        <v>3046.82</v>
      </c>
      <c r="G152" s="8">
        <f>IF(AND(D152="",E152=""),F152,G151+IF(D152="",0,D152)-IF(E152="",0,E152))</f>
        <v/>
      </c>
    </row>
    <row r="153">
      <c r="A153" s="3" t="inlineStr">
        <is>
          <t>HSBC HKD Savings Account</t>
        </is>
      </c>
      <c r="B153" s="4" t="n">
        <v>45938</v>
      </c>
      <c r="C153" s="3" t="inlineStr">
        <is>
          <t>APS CHARGES SALARY SALARY</t>
        </is>
      </c>
      <c r="D153" s="5" t="n"/>
      <c r="E153" s="6" t="n">
        <v>1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HSBC HKD Savings Account</t>
        </is>
      </c>
      <c r="B154" s="4" t="n">
        <v>45938</v>
      </c>
      <c r="C154" s="3" t="inlineStr">
        <is>
          <t>APS CHARGES SALARY SALARY</t>
        </is>
      </c>
      <c r="D154" s="5" t="n"/>
      <c r="E154" s="6" t="n">
        <v>4</v>
      </c>
      <c r="F154" s="7" t="n">
        <v>3041.82</v>
      </c>
      <c r="G154" s="8">
        <f>IF(AND(D154="",E154=""),F154,G153+IF(D154="",0,D154)-IF(E154="",0,E154))</f>
        <v/>
      </c>
    </row>
    <row r="155">
      <c r="A155" s="3" t="inlineStr">
        <is>
          <t>HSBC HKD Savings Account</t>
        </is>
      </c>
      <c r="B155" s="4" t="n">
        <v>45939</v>
      </c>
      <c r="C155" s="3" t="inlineStr">
        <is>
          <t>CR TO 121-866131-001 NA0940660060(09OCT25)</t>
        </is>
      </c>
      <c r="D155" s="5" t="n"/>
      <c r="E155" s="6" t="n">
        <v>3000</v>
      </c>
      <c r="F155" s="7" t="n">
        <v>41.82</v>
      </c>
      <c r="G155" s="8">
        <f>IF(AND(D155="",E155=""),F155,G154+IF(D155="",0,D155)-IF(E155="",0,E155))</f>
        <v/>
      </c>
    </row>
    <row r="156">
      <c r="A156" s="3" t="inlineStr">
        <is>
          <t>HSBC HKD Savings Account</t>
        </is>
      </c>
      <c r="B156" s="4" t="n">
        <v>45946</v>
      </c>
      <c r="C156" s="3" t="inlineStr">
        <is>
          <t>HONORU CHEQUE DEPOSIT MACHINE (16OCT25)</t>
        </is>
      </c>
      <c r="D156" s="5" t="n">
        <v>11000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HSBC HKD Savings Account</t>
        </is>
      </c>
      <c r="B157" s="4" t="n">
        <v>45946</v>
      </c>
      <c r="C157" s="3" t="inlineStr">
        <is>
          <t>HONORU CHEQUE DEPOSIT MACHINE (16OCT25)</t>
        </is>
      </c>
      <c r="D157" s="5" t="n">
        <v>13000</v>
      </c>
      <c r="E157" s="6" t="n"/>
      <c r="F157" s="7" t="n">
        <v>24041.82</v>
      </c>
      <c r="G157" s="8">
        <f>IF(AND(D157="",E157=""),F157,G156+IF(D157="",0,D157)-IF(E157="",0,E157))</f>
        <v/>
      </c>
    </row>
    <row r="158">
      <c r="A158" s="3" t="inlineStr">
        <is>
          <t>HSBC HKD Savings Account</t>
        </is>
      </c>
      <c r="B158" s="4" t="n">
        <v>45950</v>
      </c>
      <c r="C158" s="3" t="inlineStr">
        <is>
          <t>CILIWUNG LTD ATM TRANSFER (19OCT25)</t>
        </is>
      </c>
      <c r="D158" s="5" t="n">
        <v>47000</v>
      </c>
      <c r="E158" s="6" t="n"/>
      <c r="F158" s="7" t="n">
        <v>71041.82000000001</v>
      </c>
      <c r="G158" s="8">
        <f>IF(AND(D158="",E158=""),F158,G157+IF(D158="",0,D158)-IF(E158="",0,E158))</f>
        <v/>
      </c>
    </row>
    <row r="159">
      <c r="A159" s="3" t="inlineStr">
        <is>
          <t>HSBC HKD Savings Account</t>
        </is>
      </c>
      <c r="B159" s="4" t="n">
        <v>45954</v>
      </c>
      <c r="C159" s="3" t="inlineStr">
        <is>
          <t>CR TO 456-076512-833 NA2493662058(24OCT25)</t>
        </is>
      </c>
      <c r="D159" s="5" t="n"/>
      <c r="E159" s="6" t="n">
        <v>3322.78</v>
      </c>
      <c r="F159" s="7" t="n"/>
      <c r="G159" s="8">
        <f>IF(AND(D159="",E159=""),F159,G158+IF(D159="",0,D159)-IF(E159="",0,E159))</f>
        <v/>
      </c>
    </row>
    <row r="160">
      <c r="A160" s="3" t="inlineStr">
        <is>
          <t>HSBC HKD Savings Account</t>
        </is>
      </c>
      <c r="B160" s="4" t="n">
        <v>45954</v>
      </c>
      <c r="C160" s="3" t="inlineStr">
        <is>
          <t>SALARY EXPENSES</t>
        </is>
      </c>
      <c r="D160" s="5" t="n"/>
      <c r="E160" s="6" t="n">
        <v>518</v>
      </c>
      <c r="F160" s="7" t="n">
        <v>67201.03999999999</v>
      </c>
      <c r="G160" s="8">
        <f>IF(AND(D160="",E160=""),F160,G159+IF(D160="",0,D160)-IF(E160="",0,E160))</f>
        <v/>
      </c>
    </row>
    <row r="161">
      <c r="A161" s="3" t="inlineStr">
        <is>
          <t>HSBC HKD Savings Account</t>
        </is>
      </c>
      <c r="B161" s="4" t="n">
        <v>45957</v>
      </c>
      <c r="C161" s="3" t="inlineStr">
        <is>
          <t>APS CHARGES EXPENSES SALARY</t>
        </is>
      </c>
      <c r="D161" s="5" t="n"/>
      <c r="E161" s="6" t="n">
        <v>0.5</v>
      </c>
      <c r="F161" s="7" t="n">
        <v>67200.53999999999</v>
      </c>
      <c r="G161" s="8">
        <f>IF(AND(D161="",E161=""),F161,G160+IF(D161="",0,D161)-IF(E161="",0,E161))</f>
        <v/>
      </c>
    </row>
    <row r="162">
      <c r="A162" s="3" t="inlineStr">
        <is>
          <t>HSBC HKD Savings Account</t>
        </is>
      </c>
      <c r="B162" s="4" t="n">
        <v>45958</v>
      </c>
      <c r="C162" s="3" t="inlineStr">
        <is>
          <t>CREDIT INTEREST</t>
        </is>
      </c>
      <c r="D162" s="5" t="n">
        <v>4.51</v>
      </c>
      <c r="E162" s="6" t="n"/>
      <c r="F162" s="7" t="n">
        <v>67205.05</v>
      </c>
      <c r="G162" s="8">
        <f>IF(AND(D162="",E162=""),F162,G161+IF(D162="",0,D162)-IF(E162="",0,E162))</f>
        <v/>
      </c>
    </row>
    <row r="163">
      <c r="A163" s="3" t="inlineStr">
        <is>
          <t>HSBC HKD Savings Account</t>
        </is>
      </c>
      <c r="B163" s="4" t="n">
        <v>45960</v>
      </c>
      <c r="C163" s="3" t="inlineStr">
        <is>
          <t>CILIWUNG LTD ATM TRANSFER (29OCT25)</t>
        </is>
      </c>
      <c r="D163" s="5" t="n">
        <v>10000</v>
      </c>
      <c r="E163" s="6" t="n"/>
      <c r="F163" s="7" t="n">
        <v>77205.05</v>
      </c>
      <c r="G163" s="8">
        <f>IF(AND(D163="",E163=""),F163,G162+IF(D163="",0,D163)-IF(E163="",0,E163))</f>
        <v/>
      </c>
    </row>
    <row r="164">
      <c r="A164" s="3" t="inlineStr">
        <is>
          <t>HSBC HKD Savings Account</t>
        </is>
      </c>
      <c r="B164" s="4" t="n">
        <v>45967</v>
      </c>
      <c r="C164" s="3" t="inlineStr">
        <is>
          <t>004521304535034 LOAN INTEREST</t>
        </is>
      </c>
      <c r="D164" s="5" t="n"/>
      <c r="E164" s="6" t="n">
        <v>2350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HSBC HKD Savings Account</t>
        </is>
      </c>
      <c r="B165" s="4" t="n">
        <v>45967</v>
      </c>
      <c r="C165" s="3" t="inlineStr">
        <is>
          <t>SALARY SALARY</t>
        </is>
      </c>
      <c r="D165" s="5" t="n"/>
      <c r="E165" s="6" t="n">
        <v>23126.33</v>
      </c>
      <c r="F165" s="7" t="n"/>
      <c r="G165" s="8">
        <f>IF(AND(D165="",E165=""),F165,G164+IF(D165="",0,D165)-IF(E165="",0,E165))</f>
        <v/>
      </c>
    </row>
    <row r="166">
      <c r="A166" s="3" t="inlineStr">
        <is>
          <t>HSBC HKD Savings Account</t>
        </is>
      </c>
      <c r="B166" s="4" t="n">
        <v>45967</v>
      </c>
      <c r="C166" s="3" t="inlineStr">
        <is>
          <t>SALARY SALARY</t>
        </is>
      </c>
      <c r="D166" s="5" t="n"/>
      <c r="E166" s="6" t="n">
        <v>48261.9</v>
      </c>
      <c r="F166" s="7" t="n">
        <v>3466.82</v>
      </c>
      <c r="G166" s="8">
        <f>IF(AND(D166="",E166=""),F166,G165+IF(D166="",0,D166)-IF(E166="",0,E166))</f>
        <v/>
      </c>
    </row>
    <row r="167">
      <c r="A167" s="3" t="inlineStr">
        <is>
          <t>HSBC HKD Savings Account</t>
        </is>
      </c>
      <c r="B167" s="4" t="n">
        <v>45968</v>
      </c>
      <c r="C167" s="3" t="inlineStr">
        <is>
          <t>APS CHARGES SALARY SALARY</t>
        </is>
      </c>
      <c r="D167" s="5" t="n"/>
      <c r="E167" s="6" t="n">
        <v>0.5</v>
      </c>
      <c r="F167" s="7" t="n"/>
      <c r="G167" s="8">
        <f>IF(AND(D167="",E167=""),F167,G166+IF(D167="",0,D167)-IF(E167="",0,E167))</f>
        <v/>
      </c>
    </row>
    <row r="168">
      <c r="A168" s="3" t="inlineStr">
        <is>
          <t>HSBC HKD Savings Account</t>
        </is>
      </c>
      <c r="B168" s="4" t="n">
        <v>45968</v>
      </c>
      <c r="C168" s="3" t="inlineStr">
        <is>
          <t>APS CHARGES SALARY SALARY</t>
        </is>
      </c>
      <c r="D168" s="5" t="n"/>
      <c r="E168" s="6" t="n">
        <v>5</v>
      </c>
      <c r="F168" s="7" t="n">
        <v>3461.32</v>
      </c>
      <c r="G168" s="8">
        <f>IF(AND(D168="",E168=""),F168,G167+IF(D168="",0,D168)-IF(E168="",0,E168))</f>
        <v/>
      </c>
    </row>
    <row r="169">
      <c r="A169" s="3" t="inlineStr">
        <is>
          <t>HSBC HKD Savings Account</t>
        </is>
      </c>
      <c r="B169" s="4" t="n">
        <v>45972</v>
      </c>
      <c r="C169" s="3" t="inlineStr">
        <is>
          <t>W OFFICE LIMITED NB1164886885(11NOV25)</t>
        </is>
      </c>
      <c r="D169" s="5" t="n">
        <v>20000</v>
      </c>
      <c r="E169" s="6" t="n"/>
      <c r="F169" s="7" t="n">
        <v>23461.32</v>
      </c>
      <c r="G169" s="8">
        <f>IF(AND(D169="",E169=""),F169,G168+IF(D169="",0,D169)-IF(E169="",0,E169))</f>
        <v/>
      </c>
    </row>
    <row r="170">
      <c r="A170" s="3" t="inlineStr">
        <is>
          <t>HSBC HKD Savings Account</t>
        </is>
      </c>
      <c r="B170" s="4" t="n">
        <v>45975</v>
      </c>
      <c r="C170" s="3" t="inlineStr">
        <is>
          <t>MICON ASIA LIMITED HC125B1450522856 14NOV</t>
        </is>
      </c>
      <c r="D170" s="5" t="n">
        <v>1800</v>
      </c>
      <c r="E170" s="6" t="n"/>
      <c r="F170" s="7" t="n">
        <v>25261.32</v>
      </c>
      <c r="G170" s="8">
        <f>IF(AND(D170="",E170=""),F170,G169+IF(D170="",0,D170)-IF(E170="",0,E170))</f>
        <v/>
      </c>
    </row>
    <row r="171">
      <c r="A171" s="3" t="inlineStr">
        <is>
          <t>HSBC HKD Savings Account</t>
        </is>
      </c>
      <c r="B171" s="4" t="n">
        <v>45979</v>
      </c>
      <c r="C171" s="3" t="inlineStr">
        <is>
          <t>SALARY</t>
        </is>
      </c>
      <c r="D171" s="5" t="n"/>
      <c r="E171" s="6" t="n">
        <v>17100</v>
      </c>
      <c r="F171" s="7" t="n">
        <v>8161.32</v>
      </c>
      <c r="G171" s="8">
        <f>IF(AND(D171="",E171=""),F171,G170+IF(D171="",0,D171)-IF(E171="",0,E171))</f>
        <v/>
      </c>
    </row>
    <row r="172">
      <c r="A172" s="3" t="inlineStr">
        <is>
          <t>HSBC HKD Savings Account</t>
        </is>
      </c>
      <c r="B172" s="4" t="n">
        <v>45980</v>
      </c>
      <c r="C172" s="3" t="inlineStr">
        <is>
          <t>APS CHARGES I01 SALARY</t>
        </is>
      </c>
      <c r="D172" s="5" t="n"/>
      <c r="E172" s="6" t="n">
        <v>0.5</v>
      </c>
      <c r="F172" s="7" t="n">
        <v>8160.82</v>
      </c>
      <c r="G172" s="8">
        <f>IF(AND(D172="",E172=""),F172,G171+IF(D172="",0,D172)-IF(E172="",0,E172))</f>
        <v/>
      </c>
    </row>
    <row r="173">
      <c r="A173" s="3" t="inlineStr">
        <is>
          <t>HSBC HKD Savings Account</t>
        </is>
      </c>
      <c r="B173" s="4" t="n">
        <v>45985</v>
      </c>
      <c r="C173" s="3" t="inlineStr">
        <is>
          <t>REF:5894 0160 CHEQUE DEPOSIT MACHINE (24NOV25)</t>
        </is>
      </c>
      <c r="D173" s="5" t="n">
        <v>10800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HSBC HKD Savings Account</t>
        </is>
      </c>
      <c r="B174" s="4" t="n">
        <v>45985</v>
      </c>
      <c r="C174" s="3" t="inlineStr">
        <is>
          <t>ALPHGA LIMITED HC125B2478079887 24NOV</t>
        </is>
      </c>
      <c r="D174" s="5" t="n"/>
      <c r="E174" s="6" t="n">
        <v>2994</v>
      </c>
      <c r="F174" s="7" t="n"/>
      <c r="G174" s="8">
        <f>IF(AND(D174="",E174=""),F174,G173+IF(D174="",0,D174)-IF(E174="",0,E174))</f>
        <v/>
      </c>
    </row>
    <row r="175">
      <c r="A175" s="3" t="inlineStr">
        <is>
          <t>HSBC HKD Savings Account</t>
        </is>
      </c>
      <c r="B175" s="4" t="n">
        <v>45985</v>
      </c>
      <c r="C175" s="3" t="inlineStr">
        <is>
          <t>5592-4033-3377-2530 NB2410547133(24NOV25)</t>
        </is>
      </c>
      <c r="D175" s="5" t="n"/>
      <c r="E175" s="6" t="n">
        <v>881.6900000000001</v>
      </c>
      <c r="F175" s="7" t="n">
        <v>15085.13</v>
      </c>
      <c r="G175" s="8">
        <f>IF(AND(D175="",E175=""),F175,G174+IF(D175="",0,D175)-IF(E175="",0,E175))</f>
        <v/>
      </c>
    </row>
    <row r="176">
      <c r="A176" s="3" t="inlineStr">
        <is>
          <t>HSBC HKD Savings Account</t>
        </is>
      </c>
      <c r="B176" s="4" t="n">
        <v>45989</v>
      </c>
      <c r="C176" s="3" t="inlineStr">
        <is>
          <t>CREDIT INTEREST</t>
        </is>
      </c>
      <c r="D176" s="5" t="n">
        <v>0.8</v>
      </c>
      <c r="E176" s="6" t="n"/>
      <c r="F176" s="7" t="n">
        <v>15085.93</v>
      </c>
      <c r="G176" s="8">
        <f>IF(AND(D176="",E176=""),F176,G175+IF(D176="",0,D176)-IF(E176="",0,E176))</f>
        <v/>
      </c>
    </row>
    <row r="177">
      <c r="A177" s="3" t="inlineStr">
        <is>
          <t>HSBC HKD Savings Account</t>
        </is>
      </c>
      <c r="B177" s="4" t="n">
        <v>45993</v>
      </c>
      <c r="C177" s="3" t="inlineStr">
        <is>
          <t>YAU KWOK LEUNG NC0243521715(02DEC25)</t>
        </is>
      </c>
      <c r="D177" s="5" t="n">
        <v>20000</v>
      </c>
      <c r="E177" s="6" t="n"/>
      <c r="F177" s="7" t="n">
        <v>35085.93</v>
      </c>
      <c r="G177" s="8">
        <f>IF(AND(D177="",E177=""),F177,G176+IF(D177="",0,D177)-IF(E177="",0,E177))</f>
        <v/>
      </c>
    </row>
    <row r="178">
      <c r="A178" s="3" t="inlineStr">
        <is>
          <t>HSBC HKD Savings Account</t>
        </is>
      </c>
      <c r="B178" s="4" t="n">
        <v>45994</v>
      </c>
      <c r="C178" s="3" t="inlineStr">
        <is>
          <t>WONG YU TING HC125C0308267452 03DEC</t>
        </is>
      </c>
      <c r="D178" s="5" t="n">
        <v>30000</v>
      </c>
      <c r="E178" s="6" t="n"/>
      <c r="F178" s="7" t="n">
        <v>65085.93</v>
      </c>
      <c r="G178" s="8">
        <f>IF(AND(D178="",E178=""),F178,G177+IF(D178="",0,D178)-IF(E178="",0,E178))</f>
        <v/>
      </c>
    </row>
    <row r="179">
      <c r="A179" s="3" t="inlineStr">
        <is>
          <t>HSBC HKD Savings Account</t>
        </is>
      </c>
      <c r="B179" s="4" t="n">
        <v>45995</v>
      </c>
      <c r="C179" s="3" t="inlineStr">
        <is>
          <t>W OFFICE LIMITED NC0451520698(04DEC25)</t>
        </is>
      </c>
      <c r="D179" s="5" t="n">
        <v>9000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HSBC HKD Savings Account</t>
        </is>
      </c>
      <c r="B180" s="4" t="n">
        <v>45995</v>
      </c>
      <c r="C180" s="3" t="inlineStr">
        <is>
          <t>SALARY</t>
        </is>
      </c>
      <c r="D180" s="5" t="n"/>
      <c r="E180" s="6" t="n">
        <v>20391.75</v>
      </c>
      <c r="F180" s="7" t="n"/>
      <c r="G180" s="8">
        <f>IF(AND(D180="",E180=""),F180,G179+IF(D180="",0,D180)-IF(E180="",0,E180))</f>
        <v/>
      </c>
    </row>
    <row r="181">
      <c r="A181" s="3" t="inlineStr">
        <is>
          <t>HSBC HKD Savings Account</t>
        </is>
      </c>
      <c r="B181" s="4" t="n">
        <v>45995</v>
      </c>
      <c r="C181" s="3" t="inlineStr">
        <is>
          <t>SALARY</t>
        </is>
      </c>
      <c r="D181" s="5" t="n"/>
      <c r="E181" s="6" t="n">
        <v>43005</v>
      </c>
      <c r="F181" s="7" t="n">
        <v>10689.18</v>
      </c>
      <c r="G181" s="8">
        <f>IF(AND(D181="",E181=""),F181,G180+IF(D181="",0,D181)-IF(E181="",0,E181))</f>
        <v/>
      </c>
    </row>
    <row r="182">
      <c r="A182" s="3" t="inlineStr">
        <is>
          <t>HSBC HKD Savings Account</t>
        </is>
      </c>
      <c r="B182" s="4" t="n">
        <v>45996</v>
      </c>
      <c r="C182" s="3" t="inlineStr">
        <is>
          <t>APS CHARGES I02 SALARY</t>
        </is>
      </c>
      <c r="D182" s="5" t="n"/>
      <c r="E182" s="6" t="n">
        <v>0.5</v>
      </c>
      <c r="F182" s="7" t="n"/>
      <c r="G182" s="8">
        <f>IF(AND(D182="",E182=""),F182,G181+IF(D182="",0,D182)-IF(E182="",0,E182))</f>
        <v/>
      </c>
    </row>
    <row r="183">
      <c r="A183" s="3" t="inlineStr">
        <is>
          <t>HSBC HKD Savings Account</t>
        </is>
      </c>
      <c r="B183" s="4" t="n">
        <v>45996</v>
      </c>
      <c r="C183" s="3" t="inlineStr">
        <is>
          <t>APS CHARGES I01 SALARY</t>
        </is>
      </c>
      <c r="D183" s="5" t="n"/>
      <c r="E183" s="6" t="n">
        <v>5</v>
      </c>
      <c r="F183" s="7" t="n">
        <v>10683.68</v>
      </c>
      <c r="G183" s="8">
        <f>IF(AND(D183="",E183=""),F183,G182+IF(D183="",0,D183)-IF(E183="",0,E183))</f>
        <v/>
      </c>
    </row>
    <row r="184">
      <c r="A184" s="3" t="inlineStr">
        <is>
          <t>HSBC HKD Savings Account</t>
        </is>
      </c>
      <c r="B184" s="4" t="n">
        <v>45997</v>
      </c>
      <c r="C184" s="3" t="inlineStr">
        <is>
          <t>004521304535034 LOAN INTEREST</t>
        </is>
      </c>
      <c r="D184" s="5" t="n"/>
      <c r="E184" s="6" t="n">
        <v>2350</v>
      </c>
      <c r="F184" s="7" t="n">
        <v>8333.68</v>
      </c>
      <c r="G184" s="8">
        <f>IF(AND(D184="",E184=""),F184,G183+IF(D184="",0,D184)-IF(E184="",0,E184))</f>
        <v/>
      </c>
    </row>
    <row r="185">
      <c r="A185" s="3" t="inlineStr">
        <is>
          <t>HSBC HKD Savings Account</t>
        </is>
      </c>
      <c r="B185" s="4" t="n">
        <v>45999</v>
      </c>
      <c r="C185" s="3" t="inlineStr">
        <is>
          <t>ICARE CHEQUE DEPOSIT MACHINE (08DEC25)</t>
        </is>
      </c>
      <c r="D185" s="5" t="n">
        <v>10000</v>
      </c>
      <c r="E185" s="6" t="n"/>
      <c r="F185" s="7" t="n">
        <v>18333.68</v>
      </c>
      <c r="G185" s="8">
        <f>IF(AND(D185="",E185=""),F185,G184+IF(D185="",0,D185)-IF(E185="",0,E185))</f>
        <v/>
      </c>
    </row>
    <row r="186">
      <c r="A186" s="3" t="inlineStr">
        <is>
          <t>HSBC HKD Savings Account</t>
        </is>
      </c>
      <c r="B186" s="4" t="n">
        <v>46000</v>
      </c>
      <c r="C186" s="3" t="inlineStr">
        <is>
          <t>TIB7 LIMITED ATM TRANSFER (09DEC25)</t>
        </is>
      </c>
      <c r="D186" s="5" t="n">
        <v>2200</v>
      </c>
      <c r="E186" s="6" t="n"/>
      <c r="F186" s="7" t="n">
        <v>20533.68</v>
      </c>
      <c r="G186" s="8">
        <f>IF(AND(D186="",E186=""),F186,G185+IF(D186="",0,D186)-IF(E186="",0,E186))</f>
        <v/>
      </c>
    </row>
    <row r="187">
      <c r="A187" s="3" t="inlineStr">
        <is>
          <t>HSBC HKD Savings Account</t>
        </is>
      </c>
      <c r="B187" s="4" t="n">
        <v>46007</v>
      </c>
      <c r="C187" s="3" t="inlineStr">
        <is>
          <t>5592-4033-3377-2530 NC1695533679(16DEC25)</t>
        </is>
      </c>
      <c r="D187" s="5" t="n"/>
      <c r="E187" s="6" t="n">
        <v>158</v>
      </c>
      <c r="F187" s="7" t="n"/>
      <c r="G187" s="8">
        <f>IF(AND(D187="",E187=""),F187,G186+IF(D187="",0,D187)-IF(E187="",0,E187))</f>
        <v/>
      </c>
    </row>
    <row r="188">
      <c r="A188" s="3" t="inlineStr">
        <is>
          <t>HSBC HKD Savings Account</t>
        </is>
      </c>
      <c r="B188" s="4" t="n">
        <v>46007</v>
      </c>
      <c r="C188" s="3" t="inlineStr">
        <is>
          <t>LIGNUM ACCOUNTING SE HC125C1648914538 16DEC</t>
        </is>
      </c>
      <c r="D188" s="5" t="n"/>
      <c r="E188" s="6" t="n">
        <v>2200</v>
      </c>
      <c r="F188" s="7" t="n">
        <v>18175.68</v>
      </c>
      <c r="G188" s="8">
        <f>IF(AND(D188="",E188=""),F188,G187+IF(D188="",0,D188)-IF(E188="",0,E188))</f>
        <v/>
      </c>
    </row>
    <row r="189">
      <c r="A189" s="3" t="inlineStr">
        <is>
          <t>HSBC HKD Savings Account</t>
        </is>
      </c>
      <c r="B189" s="4" t="n">
        <v>46018</v>
      </c>
      <c r="C189" s="3" t="inlineStr">
        <is>
          <t>CREDIT INTEREST</t>
        </is>
      </c>
      <c r="D189" s="5" t="n">
        <v>0.03</v>
      </c>
      <c r="E189" s="6" t="n"/>
      <c r="F189" s="7" t="n">
        <v>18175.71</v>
      </c>
      <c r="G189" s="8">
        <f>IF(AND(D189="",E189=""),F189,G188+IF(D189="",0,D189)-IF(E189="",0,E189))</f>
        <v/>
      </c>
    </row>
    <row r="190">
      <c r="A190" s="3" t="inlineStr">
        <is>
          <t>HSBC HKD Savings Account</t>
        </is>
      </c>
      <c r="B190" s="4" t="n">
        <v>46021</v>
      </c>
      <c r="C190" s="3" t="inlineStr">
        <is>
          <t>KUDIAN CHEQUE DEPOSIT MACHINE (30DEC25)</t>
        </is>
      </c>
      <c r="D190" s="5" t="n">
        <v>8000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HSBC HKD Savings Account</t>
        </is>
      </c>
      <c r="B191" s="4" t="n">
        <v>46021</v>
      </c>
      <c r="C191" s="3" t="inlineStr">
        <is>
          <t>MAKIT CHEQUE DEPOSIT MACHINE (30DEC25)</t>
        </is>
      </c>
      <c r="D191" s="5" t="n">
        <v>6000</v>
      </c>
      <c r="E191" s="6" t="n"/>
      <c r="F191" s="7" t="n">
        <v>32175.71</v>
      </c>
      <c r="G191" s="8">
        <f>IF(AND(D191="",E191=""),F191,G190+IF(D191="",0,D191)-IF(E191="",0,E191))</f>
        <v/>
      </c>
    </row>
    <row r="192">
      <c r="A192" s="3" t="inlineStr">
        <is>
          <t>HSBC HKD Savings Account</t>
        </is>
      </c>
      <c r="B192" s="4" t="n">
        <v>46027</v>
      </c>
      <c r="C192" s="3" t="inlineStr">
        <is>
          <t>W OFFICE LIMITED N10571394062(05JAN26)</t>
        </is>
      </c>
      <c r="D192" s="5" t="n">
        <v>17000</v>
      </c>
      <c r="E192" s="6" t="n"/>
      <c r="F192" s="7" t="n"/>
      <c r="G192" s="8">
        <f>IF(AND(D192="",E192=""),F192,G191+IF(D192="",0,D192)-IF(E192="",0,E192))</f>
        <v/>
      </c>
    </row>
    <row r="193">
      <c r="A193" s="3" t="inlineStr">
        <is>
          <t>HSBC HKD Savings Account</t>
        </is>
      </c>
      <c r="B193" s="4" t="n">
        <v>46027</v>
      </c>
      <c r="C193" s="3" t="inlineStr">
        <is>
          <t>CHARGES HC12610509360146 05JAN</t>
        </is>
      </c>
      <c r="D193" s="5" t="n"/>
      <c r="E193" s="6" t="n">
        <v>5</v>
      </c>
      <c r="F193" s="7" t="n"/>
      <c r="G193" s="8">
        <f>IF(AND(D193="",E193=""),F193,G192+IF(D193="",0,D193)-IF(E193="",0,E193))</f>
        <v/>
      </c>
    </row>
    <row r="194">
      <c r="A194" s="3" t="inlineStr">
        <is>
          <t>HSBC HKD Savings Account</t>
        </is>
      </c>
      <c r="B194" s="4" t="n">
        <v>46027</v>
      </c>
      <c r="C194" s="3" t="inlineStr">
        <is>
          <t>DM SECRETARY LIMITED HC12610509360146 05JAN</t>
        </is>
      </c>
      <c r="D194" s="5" t="n"/>
      <c r="E194" s="6" t="n">
        <v>3207</v>
      </c>
      <c r="F194" s="7" t="n"/>
      <c r="G194" s="8">
        <f>IF(AND(D194="",E194=""),F194,G193+IF(D194="",0,D194)-IF(E194="",0,E194))</f>
        <v/>
      </c>
    </row>
    <row r="195">
      <c r="A195" s="3" t="inlineStr">
        <is>
          <t>HSBC HKD Savings Account</t>
        </is>
      </c>
      <c r="B195" s="4" t="n">
        <v>46027</v>
      </c>
      <c r="C195" s="3" t="inlineStr">
        <is>
          <t>SALARY SALARY</t>
        </is>
      </c>
      <c r="D195" s="5" t="n"/>
      <c r="E195" s="6" t="n">
        <v>42543</v>
      </c>
      <c r="F195" s="7" t="n"/>
      <c r="G195" s="8">
        <f>IF(AND(D195="",E195=""),F195,G194+IF(D195="",0,D195)-IF(E195="",0,E195))</f>
        <v/>
      </c>
    </row>
    <row r="196">
      <c r="A196" s="3" t="inlineStr">
        <is>
          <t>HSBC HKD Savings Account</t>
        </is>
      </c>
      <c r="B196" s="4" t="n">
        <v>46027</v>
      </c>
      <c r="C196" s="3" t="inlineStr">
        <is>
          <t>LAM Y*** M** J**** HC12610509860483 05JAN</t>
        </is>
      </c>
      <c r="D196" s="5" t="n"/>
      <c r="E196" s="6" t="n">
        <v>100</v>
      </c>
      <c r="F196" s="7" t="n">
        <v>3320.71</v>
      </c>
      <c r="G196" s="8">
        <f>IF(AND(D196="",E196=""),F196,G195+IF(D196="",0,D196)-IF(E196="",0,E196))</f>
        <v/>
      </c>
    </row>
    <row r="197">
      <c r="A197" s="3" t="inlineStr">
        <is>
          <t>HSBC HKD Savings Account</t>
        </is>
      </c>
      <c r="B197" s="4" t="n">
        <v>46028</v>
      </c>
      <c r="C197" s="3" t="inlineStr">
        <is>
          <t>APS CHARGES SALARY SALARY</t>
        </is>
      </c>
      <c r="D197" s="5" t="n"/>
      <c r="E197" s="6" t="n">
        <v>4</v>
      </c>
      <c r="F197" s="7" t="n"/>
      <c r="G197" s="8">
        <f>IF(AND(D197="",E197=""),F197,G196+IF(D197="",0,D197)-IF(E197="",0,E197))</f>
        <v/>
      </c>
    </row>
    <row r="198">
      <c r="A198" s="3" t="inlineStr">
        <is>
          <t>HSBC HKD Savings Account</t>
        </is>
      </c>
      <c r="B198" s="4" t="n">
        <v>46028</v>
      </c>
      <c r="C198" s="3" t="inlineStr">
        <is>
          <t>004521304535034 LOAN INTEREST</t>
        </is>
      </c>
      <c r="D198" s="5" t="n"/>
      <c r="E198" s="6" t="n">
        <v>2350</v>
      </c>
      <c r="F198" s="7" t="n">
        <v>966.71</v>
      </c>
      <c r="G198" s="8">
        <f>IF(AND(D198="",E198=""),F198,G197+IF(D198="",0,D198)-IF(E198="",0,E198))</f>
        <v/>
      </c>
    </row>
    <row r="199">
      <c r="A199" s="3" t="inlineStr">
        <is>
          <t>HSBC HKD Savings Account</t>
        </is>
      </c>
      <c r="B199" s="4" t="n">
        <v>46035</v>
      </c>
      <c r="C199" s="3" t="inlineStr">
        <is>
          <t>WONG YU TING HC12611335634461 13JAN</t>
        </is>
      </c>
      <c r="D199" s="5" t="n">
        <v>50000</v>
      </c>
      <c r="E199" s="6" t="n"/>
      <c r="F199" s="7" t="n">
        <v>50966.71</v>
      </c>
      <c r="G199" s="8">
        <f>IF(AND(D199="",E199=""),F199,G198+IF(D199="",0,D199)-IF(E199="",0,E199))</f>
        <v/>
      </c>
    </row>
    <row r="200">
      <c r="A200" s="3" t="inlineStr">
        <is>
          <t>HSBC HKD Savings Account</t>
        </is>
      </c>
      <c r="B200" s="4" t="n">
        <v>46036</v>
      </c>
      <c r="C200" s="3" t="inlineStr">
        <is>
          <t>CR TO 168-294437-001 N11408059644(14JAN26)</t>
        </is>
      </c>
      <c r="D200" s="5" t="n"/>
      <c r="E200" s="6" t="n">
        <v>5980</v>
      </c>
      <c r="F200" s="7" t="n">
        <v>44986.71</v>
      </c>
      <c r="G200" s="8">
        <f>IF(AND(D200="",E200=""),F200,G199+IF(D200="",0,D200)-IF(E200="",0,E200))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2026-06-23T04:24:23Z</dcterms:created>
  <dcterms:modified xmlns:dcterms="http://purl.org/dc/terms/" xmlns:xsi="http://www.w3.org/2001/XMLSchema-instance" xsi:type="dcterms:W3CDTF">2026-06-23T04:24:24Z</dcterms:modified>
</cp:coreProperties>
</file>